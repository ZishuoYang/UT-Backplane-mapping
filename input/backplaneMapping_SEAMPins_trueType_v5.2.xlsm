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yzs\Documents\GitHub\UT-Backplane-mapping\input\"/>
    </mc:Choice>
  </mc:AlternateContent>
  <xr:revisionPtr revIDLastSave="0" documentId="13_ncr:1_{7DC838FE-8D56-4FE7-843A-52FB6840EFCC}" xr6:coauthVersionLast="36" xr6:coauthVersionMax="36" xr10:uidLastSave="{00000000-0000-0000-0000-000000000000}"/>
  <bookViews>
    <workbookView xWindow="0" yWindow="0" windowWidth="13500" windowHeight="10320" tabRatio="676" activeTab="3" xr2:uid="{00000000-000D-0000-FFFF-FFFF00000000}"/>
  </bookViews>
  <sheets>
    <sheet name="Backplane diagram" sheetId="10" r:id="rId1"/>
    <sheet name="Hybrid-to-GBTx master" sheetId="18" r:id="rId2"/>
    <sheet name="Hybrid Positions" sheetId="28" r:id="rId3"/>
    <sheet name="0" sheetId="51" r:id="rId4"/>
    <sheet name="1" sheetId="52" r:id="rId5"/>
    <sheet name="2" sheetId="53" r:id="rId6"/>
    <sheet name="3" sheetId="54" r:id="rId7"/>
    <sheet name="4" sheetId="55" r:id="rId8"/>
    <sheet name="5" sheetId="56" r:id="rId9"/>
    <sheet name="6" sheetId="57" r:id="rId10"/>
    <sheet name="7" sheetId="58" r:id="rId11"/>
    <sheet name="8" sheetId="59" r:id="rId12"/>
    <sheet name="9" sheetId="60" r:id="rId13"/>
    <sheet name="10" sheetId="61" r:id="rId14"/>
    <sheet name="11" sheetId="62" r:id="rId15"/>
    <sheet name="template" sheetId="63" r:id="rId16"/>
  </sheets>
  <definedNames>
    <definedName name="__xlnm.Print_Area" localSheetId="1">'Hybrid-to-GBTx master'!$C$3:$AA$66</definedName>
    <definedName name="_xlnm.Print_Area" localSheetId="1">'Hybrid-to-GBTx master'!$A$1:$AA$131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26" i="18" l="1"/>
  <c r="D125" i="18"/>
  <c r="D124" i="18"/>
  <c r="U115" i="18"/>
  <c r="U114" i="18"/>
  <c r="V114" i="18" s="1"/>
  <c r="O114" i="18"/>
  <c r="P114" i="18" s="1"/>
  <c r="I114" i="18"/>
  <c r="J114" i="18" s="1"/>
  <c r="R113" i="18"/>
  <c r="H113" i="18"/>
  <c r="G113" i="18"/>
  <c r="F113" i="18"/>
  <c r="I113" i="18" s="1"/>
  <c r="J113" i="18" s="1"/>
  <c r="S112" i="18"/>
  <c r="R112" i="18"/>
  <c r="U112" i="18" s="1"/>
  <c r="N112" i="18"/>
  <c r="M112" i="18"/>
  <c r="L112" i="18"/>
  <c r="H112" i="18"/>
  <c r="G112" i="18"/>
  <c r="F112" i="18"/>
  <c r="S111" i="18"/>
  <c r="U111" i="18" s="1"/>
  <c r="V111" i="18" s="1"/>
  <c r="R111" i="18"/>
  <c r="N111" i="18"/>
  <c r="M111" i="18"/>
  <c r="L111" i="18"/>
  <c r="O111" i="18" s="1"/>
  <c r="P111" i="18" s="1"/>
  <c r="H111" i="18"/>
  <c r="G111" i="18"/>
  <c r="F111" i="18"/>
  <c r="S110" i="18"/>
  <c r="R110" i="18"/>
  <c r="U110" i="18" s="1"/>
  <c r="N110" i="18"/>
  <c r="M110" i="18"/>
  <c r="L110" i="18"/>
  <c r="O110" i="18" s="1"/>
  <c r="H110" i="18"/>
  <c r="G110" i="18"/>
  <c r="F110" i="18"/>
  <c r="S109" i="18"/>
  <c r="R109" i="18"/>
  <c r="N109" i="18"/>
  <c r="N113" i="18" s="1"/>
  <c r="M109" i="18"/>
  <c r="M113" i="18" s="1"/>
  <c r="L109" i="18"/>
  <c r="L113" i="18" s="1"/>
  <c r="H109" i="18"/>
  <c r="G109" i="18"/>
  <c r="I109" i="18" s="1"/>
  <c r="F109" i="18"/>
  <c r="S108" i="18"/>
  <c r="R108" i="18"/>
  <c r="N108" i="18"/>
  <c r="M108" i="18"/>
  <c r="L108" i="18"/>
  <c r="O108" i="18" s="1"/>
  <c r="P108" i="18" s="1"/>
  <c r="H108" i="18"/>
  <c r="I108" i="18" s="1"/>
  <c r="G108" i="18"/>
  <c r="F108" i="18"/>
  <c r="U107" i="18"/>
  <c r="R115" i="18" s="1"/>
  <c r="W115" i="18" s="1"/>
  <c r="O107" i="18"/>
  <c r="L115" i="18" s="1"/>
  <c r="I107" i="18"/>
  <c r="X107" i="18" s="1"/>
  <c r="X106" i="18"/>
  <c r="W106" i="18"/>
  <c r="U106" i="18"/>
  <c r="O106" i="18"/>
  <c r="Q106" i="18" s="1"/>
  <c r="I106" i="18"/>
  <c r="K106" i="18" s="1"/>
  <c r="U105" i="18"/>
  <c r="O105" i="18"/>
  <c r="I105" i="18"/>
  <c r="X105" i="18" s="1"/>
  <c r="L103" i="18"/>
  <c r="V102" i="18"/>
  <c r="U102" i="18"/>
  <c r="O102" i="18"/>
  <c r="P102" i="18" s="1"/>
  <c r="I102" i="18"/>
  <c r="J102" i="18" s="1"/>
  <c r="R101" i="18"/>
  <c r="U101" i="18" s="1"/>
  <c r="V101" i="18" s="1"/>
  <c r="M101" i="18"/>
  <c r="H101" i="18"/>
  <c r="G101" i="18"/>
  <c r="F101" i="18"/>
  <c r="S100" i="18"/>
  <c r="R100" i="18"/>
  <c r="N100" i="18"/>
  <c r="M100" i="18"/>
  <c r="L100" i="18"/>
  <c r="H100" i="18"/>
  <c r="G100" i="18"/>
  <c r="F100" i="18"/>
  <c r="S99" i="18"/>
  <c r="R99" i="18"/>
  <c r="U99" i="18" s="1"/>
  <c r="O99" i="18"/>
  <c r="N99" i="18"/>
  <c r="M99" i="18"/>
  <c r="L99" i="18"/>
  <c r="H99" i="18"/>
  <c r="G99" i="18"/>
  <c r="F99" i="18"/>
  <c r="I99" i="18" s="1"/>
  <c r="J99" i="18" s="1"/>
  <c r="S98" i="18"/>
  <c r="R98" i="18"/>
  <c r="N98" i="18"/>
  <c r="M98" i="18"/>
  <c r="L98" i="18"/>
  <c r="O98" i="18" s="1"/>
  <c r="H98" i="18"/>
  <c r="G98" i="18"/>
  <c r="F98" i="18"/>
  <c r="I98" i="18" s="1"/>
  <c r="U97" i="18"/>
  <c r="V97" i="18" s="1"/>
  <c r="S97" i="18"/>
  <c r="S101" i="18" s="1"/>
  <c r="R97" i="18"/>
  <c r="N97" i="18"/>
  <c r="N101" i="18" s="1"/>
  <c r="M97" i="18"/>
  <c r="L97" i="18"/>
  <c r="L101" i="18" s="1"/>
  <c r="H97" i="18"/>
  <c r="G97" i="18"/>
  <c r="I97" i="18" s="1"/>
  <c r="F97" i="18"/>
  <c r="S96" i="18"/>
  <c r="R96" i="18"/>
  <c r="N96" i="18"/>
  <c r="M96" i="18"/>
  <c r="L96" i="18"/>
  <c r="H96" i="18"/>
  <c r="G96" i="18"/>
  <c r="F96" i="18"/>
  <c r="U95" i="18"/>
  <c r="O95" i="18"/>
  <c r="I95" i="18"/>
  <c r="F103" i="18" s="1"/>
  <c r="U94" i="18"/>
  <c r="W94" i="18" s="1"/>
  <c r="O94" i="18"/>
  <c r="Q94" i="18" s="1"/>
  <c r="I94" i="18"/>
  <c r="K94" i="18" s="1"/>
  <c r="U93" i="18"/>
  <c r="O93" i="18"/>
  <c r="I93" i="18"/>
  <c r="X91" i="18"/>
  <c r="D60" i="18"/>
  <c r="D59" i="18"/>
  <c r="F52" i="18" s="1"/>
  <c r="D58" i="18"/>
  <c r="U48" i="18"/>
  <c r="V48" i="18" s="1"/>
  <c r="O48" i="18"/>
  <c r="I48" i="18"/>
  <c r="J48" i="18" s="1"/>
  <c r="S47" i="18"/>
  <c r="H47" i="18"/>
  <c r="G47" i="18"/>
  <c r="F47" i="18"/>
  <c r="I47" i="18" s="1"/>
  <c r="T46" i="18"/>
  <c r="S46" i="18"/>
  <c r="R46" i="18"/>
  <c r="N46" i="18"/>
  <c r="M46" i="18"/>
  <c r="L46" i="18"/>
  <c r="O46" i="18" s="1"/>
  <c r="H46" i="18"/>
  <c r="G46" i="18"/>
  <c r="F46" i="18"/>
  <c r="I46" i="18" s="1"/>
  <c r="T45" i="18"/>
  <c r="S45" i="18"/>
  <c r="R45" i="18"/>
  <c r="N45" i="18"/>
  <c r="M45" i="18"/>
  <c r="L45" i="18"/>
  <c r="O45" i="18" s="1"/>
  <c r="P45" i="18" s="1"/>
  <c r="H45" i="18"/>
  <c r="G45" i="18"/>
  <c r="F45" i="18"/>
  <c r="T44" i="18"/>
  <c r="S44" i="18"/>
  <c r="R44" i="18"/>
  <c r="N44" i="18"/>
  <c r="M44" i="18"/>
  <c r="L44" i="18"/>
  <c r="H44" i="18"/>
  <c r="G44" i="18"/>
  <c r="F44" i="18"/>
  <c r="T43" i="18"/>
  <c r="T47" i="18" s="1"/>
  <c r="S43" i="18"/>
  <c r="R43" i="18"/>
  <c r="N43" i="18"/>
  <c r="N47" i="18" s="1"/>
  <c r="M43" i="18"/>
  <c r="L43" i="18"/>
  <c r="L47" i="18" s="1"/>
  <c r="H43" i="18"/>
  <c r="G43" i="18"/>
  <c r="F43" i="18"/>
  <c r="T42" i="18"/>
  <c r="S42" i="18"/>
  <c r="R42" i="18"/>
  <c r="N42" i="18"/>
  <c r="M42" i="18"/>
  <c r="O42" i="18" s="1"/>
  <c r="P42" i="18" s="1"/>
  <c r="L42" i="18"/>
  <c r="H42" i="18"/>
  <c r="G42" i="18"/>
  <c r="F42" i="18"/>
  <c r="I42" i="18" s="1"/>
  <c r="J42" i="18" s="1"/>
  <c r="U41" i="18"/>
  <c r="R49" i="18" s="1"/>
  <c r="U49" i="18" s="1"/>
  <c r="O41" i="18"/>
  <c r="L49" i="18" s="1"/>
  <c r="I41" i="18"/>
  <c r="F49" i="18" s="1"/>
  <c r="U40" i="18"/>
  <c r="W40" i="18" s="1"/>
  <c r="Q40" i="18"/>
  <c r="O40" i="18"/>
  <c r="I40" i="18"/>
  <c r="X40" i="18" s="1"/>
  <c r="U39" i="18"/>
  <c r="O39" i="18"/>
  <c r="I39" i="18"/>
  <c r="X39" i="18" s="1"/>
  <c r="U36" i="18"/>
  <c r="V36" i="18" s="1"/>
  <c r="O36" i="18"/>
  <c r="P36" i="18" s="1"/>
  <c r="I36" i="18"/>
  <c r="X36" i="18" s="1"/>
  <c r="M35" i="18"/>
  <c r="L35" i="18"/>
  <c r="H35" i="18"/>
  <c r="G35" i="18"/>
  <c r="F35" i="18"/>
  <c r="T34" i="18"/>
  <c r="S34" i="18"/>
  <c r="R34" i="18"/>
  <c r="N34" i="18"/>
  <c r="M34" i="18"/>
  <c r="L34" i="18"/>
  <c r="H34" i="18"/>
  <c r="G34" i="18"/>
  <c r="F34" i="18"/>
  <c r="T33" i="18"/>
  <c r="S33" i="18"/>
  <c r="R33" i="18"/>
  <c r="U33" i="18" s="1"/>
  <c r="N33" i="18"/>
  <c r="M33" i="18"/>
  <c r="L33" i="18"/>
  <c r="O33" i="18" s="1"/>
  <c r="P33" i="18" s="1"/>
  <c r="H33" i="18"/>
  <c r="G33" i="18"/>
  <c r="F33" i="18"/>
  <c r="I33" i="18" s="1"/>
  <c r="T32" i="18"/>
  <c r="S32" i="18"/>
  <c r="R32" i="18"/>
  <c r="N32" i="18"/>
  <c r="M32" i="18"/>
  <c r="L32" i="18"/>
  <c r="O32" i="18" s="1"/>
  <c r="H32" i="18"/>
  <c r="G32" i="18"/>
  <c r="F32" i="18"/>
  <c r="T31" i="18"/>
  <c r="T35" i="18" s="1"/>
  <c r="S31" i="18"/>
  <c r="S35" i="18" s="1"/>
  <c r="R31" i="18"/>
  <c r="N31" i="18"/>
  <c r="N35" i="18" s="1"/>
  <c r="M31" i="18"/>
  <c r="L31" i="18"/>
  <c r="H31" i="18"/>
  <c r="I31" i="18" s="1"/>
  <c r="G31" i="18"/>
  <c r="F31" i="18"/>
  <c r="T30" i="18"/>
  <c r="S30" i="18"/>
  <c r="R30" i="18"/>
  <c r="U30" i="18" s="1"/>
  <c r="V30" i="18" s="1"/>
  <c r="N30" i="18"/>
  <c r="O30" i="18" s="1"/>
  <c r="M30" i="18"/>
  <c r="L30" i="18"/>
  <c r="H30" i="18"/>
  <c r="G30" i="18"/>
  <c r="F30" i="18"/>
  <c r="U29" i="18"/>
  <c r="R37" i="18" s="1"/>
  <c r="O29" i="18"/>
  <c r="L37" i="18" s="1"/>
  <c r="Q37" i="18" s="1"/>
  <c r="I29" i="18"/>
  <c r="U28" i="18"/>
  <c r="W28" i="18" s="1"/>
  <c r="O28" i="18"/>
  <c r="I28" i="18"/>
  <c r="K28" i="18" s="1"/>
  <c r="U27" i="18"/>
  <c r="X27" i="18" s="1"/>
  <c r="O27" i="18"/>
  <c r="I27" i="18"/>
  <c r="X25" i="18"/>
  <c r="Q115" i="18" l="1"/>
  <c r="O115" i="18"/>
  <c r="U130" i="18"/>
  <c r="U64" i="18"/>
  <c r="O130" i="18"/>
  <c r="O35" i="18"/>
  <c r="P35" i="18" s="1"/>
  <c r="I45" i="18"/>
  <c r="J45" i="18" s="1"/>
  <c r="I96" i="18"/>
  <c r="I129" i="18" s="1"/>
  <c r="K129" i="18" s="1"/>
  <c r="O43" i="18"/>
  <c r="P43" i="18" s="1"/>
  <c r="X48" i="18"/>
  <c r="J36" i="18"/>
  <c r="X94" i="18"/>
  <c r="U100" i="18"/>
  <c r="X28" i="18"/>
  <c r="M47" i="18"/>
  <c r="O47" i="18" s="1"/>
  <c r="F115" i="18"/>
  <c r="K115" i="18" s="1"/>
  <c r="I32" i="18"/>
  <c r="I44" i="18"/>
  <c r="U45" i="18"/>
  <c r="V45" i="18" s="1"/>
  <c r="U46" i="18"/>
  <c r="R118" i="18"/>
  <c r="O100" i="18"/>
  <c r="F118" i="18"/>
  <c r="X118" i="18" s="1"/>
  <c r="X46" i="18"/>
  <c r="Q28" i="18"/>
  <c r="Q50" i="18" s="1"/>
  <c r="U32" i="18"/>
  <c r="I34" i="18"/>
  <c r="U42" i="18"/>
  <c r="V42" i="18" s="1"/>
  <c r="U96" i="18"/>
  <c r="V96" i="18" s="1"/>
  <c r="U108" i="18"/>
  <c r="V108" i="18" s="1"/>
  <c r="X114" i="18"/>
  <c r="J31" i="18"/>
  <c r="R51" i="18"/>
  <c r="W37" i="18"/>
  <c r="U37" i="18"/>
  <c r="P30" i="18"/>
  <c r="R47" i="18"/>
  <c r="U47" i="18" s="1"/>
  <c r="V47" i="18" s="1"/>
  <c r="U43" i="18"/>
  <c r="V43" i="18" s="1"/>
  <c r="K49" i="18"/>
  <c r="I49" i="18"/>
  <c r="L117" i="18"/>
  <c r="Q103" i="18"/>
  <c r="Q116" i="18" s="1"/>
  <c r="S113" i="18"/>
  <c r="U109" i="18"/>
  <c r="V109" i="18" s="1"/>
  <c r="W50" i="18"/>
  <c r="I30" i="18"/>
  <c r="I64" i="18"/>
  <c r="J33" i="18"/>
  <c r="X33" i="18"/>
  <c r="K40" i="18"/>
  <c r="X42" i="18"/>
  <c r="Q49" i="18"/>
  <c r="O49" i="18"/>
  <c r="O103" i="18"/>
  <c r="F37" i="18"/>
  <c r="X29" i="18"/>
  <c r="O64" i="18"/>
  <c r="V33" i="18"/>
  <c r="U34" i="18"/>
  <c r="P48" i="18"/>
  <c r="W49" i="18"/>
  <c r="J97" i="18"/>
  <c r="O97" i="18"/>
  <c r="P97" i="18" s="1"/>
  <c r="X99" i="18"/>
  <c r="P99" i="18"/>
  <c r="V99" i="18"/>
  <c r="J108" i="18"/>
  <c r="X108" i="18"/>
  <c r="R103" i="18"/>
  <c r="X95" i="18"/>
  <c r="O31" i="18"/>
  <c r="P31" i="18" s="1"/>
  <c r="O34" i="18"/>
  <c r="X34" i="18" s="1"/>
  <c r="O44" i="18"/>
  <c r="O62" i="18" s="1"/>
  <c r="Q62" i="18" s="1"/>
  <c r="J47" i="18"/>
  <c r="I62" i="18"/>
  <c r="I112" i="18"/>
  <c r="O113" i="18"/>
  <c r="P113" i="18" s="1"/>
  <c r="X41" i="18"/>
  <c r="O101" i="18"/>
  <c r="P101" i="18" s="1"/>
  <c r="X93" i="18"/>
  <c r="I100" i="18"/>
  <c r="X102" i="18"/>
  <c r="O128" i="18"/>
  <c r="Q128" i="18" s="1"/>
  <c r="U31" i="18"/>
  <c r="V31" i="18" s="1"/>
  <c r="V50" i="18" s="1"/>
  <c r="I35" i="18"/>
  <c r="R35" i="18"/>
  <c r="U35" i="18" s="1"/>
  <c r="V35" i="18" s="1"/>
  <c r="O37" i="18"/>
  <c r="L51" i="18"/>
  <c r="I43" i="18"/>
  <c r="U44" i="18"/>
  <c r="U62" i="18" s="1"/>
  <c r="W62" i="18" s="1"/>
  <c r="O96" i="18"/>
  <c r="U98" i="18"/>
  <c r="U128" i="18" s="1"/>
  <c r="W128" i="18" s="1"/>
  <c r="I101" i="18"/>
  <c r="K103" i="18"/>
  <c r="I103" i="18"/>
  <c r="J109" i="18"/>
  <c r="O109" i="18"/>
  <c r="P109" i="18" s="1"/>
  <c r="I110" i="18"/>
  <c r="I111" i="18"/>
  <c r="I130" i="18" s="1"/>
  <c r="O112" i="18"/>
  <c r="U113" i="18"/>
  <c r="V113" i="18" s="1"/>
  <c r="V116" i="18" s="1"/>
  <c r="L118" i="18"/>
  <c r="L52" i="18"/>
  <c r="R52" i="18"/>
  <c r="X52" i="18" s="1"/>
  <c r="P47" i="18" l="1"/>
  <c r="X47" i="18"/>
  <c r="X112" i="18"/>
  <c r="X45" i="18"/>
  <c r="F117" i="18"/>
  <c r="X100" i="18"/>
  <c r="J96" i="18"/>
  <c r="J116" i="18" s="1"/>
  <c r="X98" i="18"/>
  <c r="K62" i="18"/>
  <c r="I115" i="18"/>
  <c r="X115" i="18" s="1"/>
  <c r="K116" i="18"/>
  <c r="U129" i="18"/>
  <c r="W129" i="18" s="1"/>
  <c r="X32" i="18"/>
  <c r="X110" i="18"/>
  <c r="I128" i="18"/>
  <c r="K128" i="18" s="1"/>
  <c r="AB128" i="18" s="1"/>
  <c r="X31" i="18"/>
  <c r="J101" i="18"/>
  <c r="X101" i="18"/>
  <c r="X113" i="18"/>
  <c r="R117" i="18"/>
  <c r="W103" i="18"/>
  <c r="W116" i="18" s="1"/>
  <c r="U103" i="18"/>
  <c r="X103" i="18" s="1"/>
  <c r="X111" i="18"/>
  <c r="J111" i="18"/>
  <c r="P96" i="18"/>
  <c r="P116" i="18" s="1"/>
  <c r="O129" i="18"/>
  <c r="Q129" i="18" s="1"/>
  <c r="X96" i="18"/>
  <c r="X43" i="18"/>
  <c r="J43" i="18"/>
  <c r="X35" i="18"/>
  <c r="J35" i="18"/>
  <c r="P50" i="18"/>
  <c r="K37" i="18"/>
  <c r="K50" i="18" s="1"/>
  <c r="I37" i="18"/>
  <c r="X37" i="18" s="1"/>
  <c r="F51" i="18"/>
  <c r="X51" i="18" s="1"/>
  <c r="X53" i="18" s="1"/>
  <c r="X117" i="18"/>
  <c r="X119" i="18" s="1"/>
  <c r="X109" i="18"/>
  <c r="AB62" i="18"/>
  <c r="X44" i="18"/>
  <c r="X97" i="18"/>
  <c r="I63" i="18"/>
  <c r="K63" i="18" s="1"/>
  <c r="X30" i="18"/>
  <c r="J30" i="18"/>
  <c r="X49" i="18"/>
  <c r="O63" i="18"/>
  <c r="Q63" i="18" s="1"/>
  <c r="U63" i="18"/>
  <c r="W63" i="18" s="1"/>
  <c r="AB129" i="18" l="1"/>
  <c r="AB63" i="18"/>
  <c r="J50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tobannon</author>
  </authors>
  <commentList>
    <comment ref="K2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Q28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W28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I3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31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31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40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Q40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W40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I43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43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43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94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Q94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W94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I97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97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97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106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Q106" authorId="0" shapeId="0" xr:uid="{00000000-0006-0000-0100-000014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W106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I109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109" authorId="0" shapeId="0" xr:uid="{00000000-0006-0000-0100-000017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109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</commentList>
</comments>
</file>

<file path=xl/sharedStrings.xml><?xml version="1.0" encoding="utf-8"?>
<sst xmlns="http://schemas.openxmlformats.org/spreadsheetml/2006/main" count="17592" uniqueCount="1005">
  <si>
    <t>A10</t>
  </si>
  <si>
    <t>Signal ID</t>
  </si>
  <si>
    <t>GBTx ID</t>
  </si>
  <si>
    <t>B10</t>
  </si>
  <si>
    <t>C10</t>
  </si>
  <si>
    <t>D10</t>
  </si>
  <si>
    <t>E10</t>
  </si>
  <si>
    <t>F10</t>
  </si>
  <si>
    <t>G10</t>
  </si>
  <si>
    <t>H10</t>
  </si>
  <si>
    <t>S</t>
  </si>
  <si>
    <t>X</t>
  </si>
  <si>
    <t>B</t>
  </si>
  <si>
    <t>F</t>
  </si>
  <si>
    <t>C</t>
  </si>
  <si>
    <t>ref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</si>
  <si>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</si>
  <si>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</si>
  <si>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</si>
  <si>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</si>
  <si>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</si>
  <si>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</si>
  <si>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</si>
  <si>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</si>
  <si>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</si>
  <si>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</si>
  <si>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</si>
  <si>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</si>
  <si>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</si>
  <si>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</si>
  <si>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</si>
  <si>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</si>
  <si>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A13</t>
  </si>
  <si>
    <t>B13</t>
  </si>
  <si>
    <t>C13</t>
  </si>
  <si>
    <t>D13</t>
  </si>
  <si>
    <t>E13</t>
  </si>
  <si>
    <t>F13</t>
  </si>
  <si>
    <t>G13</t>
  </si>
  <si>
    <t>H13</t>
  </si>
  <si>
    <t>I13</t>
  </si>
  <si>
    <t>J13</t>
  </si>
  <si>
    <t>A14</t>
  </si>
  <si>
    <t>B14</t>
  </si>
  <si>
    <t>C14</t>
  </si>
  <si>
    <t>D14</t>
  </si>
  <si>
    <t>E14</t>
  </si>
  <si>
    <t>F14</t>
  </si>
  <si>
    <t>G14</t>
  </si>
  <si>
    <t>H14</t>
  </si>
  <si>
    <t>I14</t>
  </si>
  <si>
    <t>J14</t>
  </si>
  <si>
    <t>A15</t>
  </si>
  <si>
    <t>B15</t>
  </si>
  <si>
    <t>C15</t>
  </si>
  <si>
    <t>D15</t>
  </si>
  <si>
    <t>E15</t>
  </si>
  <si>
    <t>F15</t>
  </si>
  <si>
    <t>G15</t>
  </si>
  <si>
    <t>H15</t>
  </si>
  <si>
    <t>I15</t>
  </si>
  <si>
    <t>J15</t>
  </si>
  <si>
    <t>A16</t>
  </si>
  <si>
    <t>B16</t>
  </si>
  <si>
    <t>C16</t>
  </si>
  <si>
    <t>D16</t>
  </si>
  <si>
    <t>E16</t>
  </si>
  <si>
    <t>F16</t>
  </si>
  <si>
    <t>G16</t>
  </si>
  <si>
    <t>H16</t>
  </si>
  <si>
    <t>I16</t>
  </si>
  <si>
    <t>J16</t>
  </si>
  <si>
    <t>A17</t>
  </si>
  <si>
    <t>B17</t>
  </si>
  <si>
    <t>C17</t>
  </si>
  <si>
    <t>D17</t>
  </si>
  <si>
    <t>E17</t>
  </si>
  <si>
    <t>F17</t>
  </si>
  <si>
    <t>G17</t>
  </si>
  <si>
    <t>H17</t>
  </si>
  <si>
    <t>I17</t>
  </si>
  <si>
    <t>J17</t>
  </si>
  <si>
    <t>A18</t>
  </si>
  <si>
    <t>B18</t>
  </si>
  <si>
    <t>C18</t>
  </si>
  <si>
    <t>D18</t>
  </si>
  <si>
    <t>E18</t>
  </si>
  <si>
    <t>F18</t>
  </si>
  <si>
    <t>G18</t>
  </si>
  <si>
    <t>H18</t>
  </si>
  <si>
    <t>I18</t>
  </si>
  <si>
    <t>J18</t>
  </si>
  <si>
    <t>A19</t>
  </si>
  <si>
    <t>B19</t>
  </si>
  <si>
    <t>C19</t>
  </si>
  <si>
    <t>D19</t>
  </si>
  <si>
    <t>E19</t>
  </si>
  <si>
    <t>F19</t>
  </si>
  <si>
    <t>G19</t>
  </si>
  <si>
    <t>H19</t>
  </si>
  <si>
    <t>I19</t>
  </si>
  <si>
    <t>J19</t>
  </si>
  <si>
    <t>A20</t>
  </si>
  <si>
    <t>B20</t>
  </si>
  <si>
    <t>C20</t>
  </si>
  <si>
    <t>D20</t>
  </si>
  <si>
    <t>E20</t>
  </si>
  <si>
    <t>F20</t>
  </si>
  <si>
    <t>G20</t>
  </si>
  <si>
    <t>H20</t>
  </si>
  <si>
    <t>I20</t>
  </si>
  <si>
    <t>J20</t>
  </si>
  <si>
    <t>A21</t>
  </si>
  <si>
    <t>B21</t>
  </si>
  <si>
    <t>C21</t>
  </si>
  <si>
    <t>D21</t>
  </si>
  <si>
    <t>E21</t>
  </si>
  <si>
    <t>F21</t>
  </si>
  <si>
    <t>G21</t>
  </si>
  <si>
    <t>H21</t>
  </si>
  <si>
    <t>I21</t>
  </si>
  <si>
    <t>J21</t>
  </si>
  <si>
    <t>A22</t>
  </si>
  <si>
    <t>B22</t>
  </si>
  <si>
    <t>C22</t>
  </si>
  <si>
    <t>D22</t>
  </si>
  <si>
    <t>E22</t>
  </si>
  <si>
    <t>F22</t>
  </si>
  <si>
    <t>G22</t>
  </si>
  <si>
    <t>H22</t>
  </si>
  <si>
    <t>A23</t>
  </si>
  <si>
    <t>B23</t>
  </si>
  <si>
    <t>C23</t>
  </si>
  <si>
    <t>D23</t>
  </si>
  <si>
    <t>E23</t>
  </si>
  <si>
    <t>F23</t>
  </si>
  <si>
    <t>G23</t>
  </si>
  <si>
    <t>H23</t>
  </si>
  <si>
    <t>A24</t>
  </si>
  <si>
    <t>B24</t>
  </si>
  <si>
    <t>C24</t>
  </si>
  <si>
    <t>D24</t>
  </si>
  <si>
    <t>E24</t>
  </si>
  <si>
    <t>F24</t>
  </si>
  <si>
    <t>G24</t>
  </si>
  <si>
    <t>H24</t>
  </si>
  <si>
    <t>A25</t>
  </si>
  <si>
    <t>B25</t>
  </si>
  <si>
    <t>C25</t>
  </si>
  <si>
    <t>D25</t>
  </si>
  <si>
    <t>E25</t>
  </si>
  <si>
    <t>F25</t>
  </si>
  <si>
    <t>G25</t>
  </si>
  <si>
    <t>H25</t>
  </si>
  <si>
    <t>A26</t>
  </si>
  <si>
    <t>B26</t>
  </si>
  <si>
    <t>C26</t>
  </si>
  <si>
    <t>D26</t>
  </si>
  <si>
    <t>E26</t>
  </si>
  <si>
    <t>F26</t>
  </si>
  <si>
    <t>G26</t>
  </si>
  <si>
    <t>H26</t>
  </si>
  <si>
    <t>A27</t>
  </si>
  <si>
    <t>B27</t>
  </si>
  <si>
    <t>C27</t>
  </si>
  <si>
    <t>D27</t>
  </si>
  <si>
    <t>E27</t>
  </si>
  <si>
    <t>F27</t>
  </si>
  <si>
    <t>G27</t>
  </si>
  <si>
    <t>H27</t>
  </si>
  <si>
    <t>A28</t>
  </si>
  <si>
    <t>B28</t>
  </si>
  <si>
    <t>C28</t>
  </si>
  <si>
    <t>D28</t>
  </si>
  <si>
    <t>E28</t>
  </si>
  <si>
    <t>F28</t>
  </si>
  <si>
    <t>G28</t>
  </si>
  <si>
    <t>H28</t>
  </si>
  <si>
    <t>I28</t>
  </si>
  <si>
    <t>J28</t>
  </si>
  <si>
    <t>A29</t>
  </si>
  <si>
    <t>B29</t>
  </si>
  <si>
    <t>C29</t>
  </si>
  <si>
    <t>D29</t>
  </si>
  <si>
    <t>E29</t>
  </si>
  <si>
    <t>F29</t>
  </si>
  <si>
    <t>G29</t>
  </si>
  <si>
    <t>H29</t>
  </si>
  <si>
    <t>I29</t>
  </si>
  <si>
    <t>J29</t>
  </si>
  <si>
    <t>A30</t>
  </si>
  <si>
    <t>B30</t>
  </si>
  <si>
    <t>C30</t>
  </si>
  <si>
    <t>D30</t>
  </si>
  <si>
    <t>E30</t>
  </si>
  <si>
    <t>F30</t>
  </si>
  <si>
    <t>G30</t>
  </si>
  <si>
    <t>H30</t>
  </si>
  <si>
    <t>I30</t>
  </si>
  <si>
    <t>J30</t>
  </si>
  <si>
    <t>A31</t>
  </si>
  <si>
    <t>B31</t>
  </si>
  <si>
    <t>C31</t>
  </si>
  <si>
    <t>D31</t>
  </si>
  <si>
    <t>E31</t>
  </si>
  <si>
    <t>F31</t>
  </si>
  <si>
    <t>G31</t>
  </si>
  <si>
    <t>H31</t>
  </si>
  <si>
    <t>I31</t>
  </si>
  <si>
    <t>J31</t>
  </si>
  <si>
    <t>A32</t>
  </si>
  <si>
    <t>B32</t>
  </si>
  <si>
    <t>C32</t>
  </si>
  <si>
    <t>D32</t>
  </si>
  <si>
    <t>E32</t>
  </si>
  <si>
    <t>F32</t>
  </si>
  <si>
    <t>G32</t>
  </si>
  <si>
    <t>H32</t>
  </si>
  <si>
    <t>I32</t>
  </si>
  <si>
    <t>J32</t>
  </si>
  <si>
    <t>A33</t>
  </si>
  <si>
    <t>B33</t>
  </si>
  <si>
    <t>C33</t>
  </si>
  <si>
    <t>D33</t>
  </si>
  <si>
    <t>E33</t>
  </si>
  <si>
    <t>F33</t>
  </si>
  <si>
    <t>G33</t>
  </si>
  <si>
    <t>H33</t>
  </si>
  <si>
    <t>A34</t>
  </si>
  <si>
    <t>B34</t>
  </si>
  <si>
    <t>C34</t>
  </si>
  <si>
    <t>D34</t>
  </si>
  <si>
    <t>E34</t>
  </si>
  <si>
    <t>F34</t>
  </si>
  <si>
    <t>G34</t>
  </si>
  <si>
    <t>H34</t>
  </si>
  <si>
    <t>A35</t>
  </si>
  <si>
    <t>B35</t>
  </si>
  <si>
    <t>C35</t>
  </si>
  <si>
    <t>D35</t>
  </si>
  <si>
    <t>E35</t>
  </si>
  <si>
    <t>F35</t>
  </si>
  <si>
    <t>G35</t>
  </si>
  <si>
    <t>H35</t>
  </si>
  <si>
    <t>A36</t>
  </si>
  <si>
    <t>B36</t>
  </si>
  <si>
    <t>C36</t>
  </si>
  <si>
    <t>D36</t>
  </si>
  <si>
    <t>E36</t>
  </si>
  <si>
    <t>F36</t>
  </si>
  <si>
    <t>G36</t>
  </si>
  <si>
    <t>H36</t>
  </si>
  <si>
    <t>A37</t>
  </si>
  <si>
    <t>B37</t>
  </si>
  <si>
    <t>C37</t>
  </si>
  <si>
    <t>D37</t>
  </si>
  <si>
    <t>E37</t>
  </si>
  <si>
    <t>F37</t>
  </si>
  <si>
    <t>G37</t>
  </si>
  <si>
    <t>H37</t>
  </si>
  <si>
    <t>I37</t>
  </si>
  <si>
    <t>J37</t>
  </si>
  <si>
    <t>A38</t>
  </si>
  <si>
    <t>B38</t>
  </si>
  <si>
    <t>C38</t>
  </si>
  <si>
    <t>D38</t>
  </si>
  <si>
    <t>E38</t>
  </si>
  <si>
    <t>F38</t>
  </si>
  <si>
    <t>G38</t>
  </si>
  <si>
    <t>H38</t>
  </si>
  <si>
    <t>I38</t>
  </si>
  <si>
    <t>J38</t>
  </si>
  <si>
    <t>A39</t>
  </si>
  <si>
    <t>B39</t>
  </si>
  <si>
    <t>C39</t>
  </si>
  <si>
    <t>D39</t>
  </si>
  <si>
    <t>E39</t>
  </si>
  <si>
    <t>F39</t>
  </si>
  <si>
    <t>G39</t>
  </si>
  <si>
    <t>H39</t>
  </si>
  <si>
    <t>I39</t>
  </si>
  <si>
    <t>J39</t>
  </si>
  <si>
    <t>A40</t>
  </si>
  <si>
    <t>B40</t>
  </si>
  <si>
    <t>C40</t>
  </si>
  <si>
    <t>D40</t>
  </si>
  <si>
    <t>E40</t>
  </si>
  <si>
    <t>F40</t>
  </si>
  <si>
    <t>G40</t>
  </si>
  <si>
    <t>H40</t>
  </si>
  <si>
    <t>I40</t>
  </si>
  <si>
    <t>J40</t>
  </si>
  <si>
    <t>A01</t>
  </si>
  <si>
    <t>B01</t>
  </si>
  <si>
    <t>C01</t>
  </si>
  <si>
    <t>D01</t>
  </si>
  <si>
    <t>F01</t>
  </si>
  <si>
    <t>G01</t>
  </si>
  <si>
    <t>H01</t>
  </si>
  <si>
    <t>I01</t>
  </si>
  <si>
    <t>J01</t>
  </si>
  <si>
    <t>A02</t>
  </si>
  <si>
    <t>B02</t>
  </si>
  <si>
    <t>C02</t>
  </si>
  <si>
    <t>D02</t>
  </si>
  <si>
    <t>F02</t>
  </si>
  <si>
    <t>G02</t>
  </si>
  <si>
    <t>H02</t>
  </si>
  <si>
    <t>I02</t>
  </si>
  <si>
    <t>J02</t>
  </si>
  <si>
    <t>A03</t>
  </si>
  <si>
    <t>B03</t>
  </si>
  <si>
    <t>C03</t>
  </si>
  <si>
    <t>D03</t>
  </si>
  <si>
    <t>F03</t>
  </si>
  <si>
    <t>G03</t>
  </si>
  <si>
    <t>H03</t>
  </si>
  <si>
    <t>A04</t>
  </si>
  <si>
    <t>B04</t>
  </si>
  <si>
    <t>C04</t>
  </si>
  <si>
    <t>D04</t>
  </si>
  <si>
    <t>F04</t>
  </si>
  <si>
    <t>G04</t>
  </si>
  <si>
    <t>H04</t>
  </si>
  <si>
    <t>I05</t>
  </si>
  <si>
    <t>J05</t>
  </si>
  <si>
    <t>I06</t>
  </si>
  <si>
    <t>J06</t>
  </si>
  <si>
    <t>C08</t>
  </si>
  <si>
    <t>D08</t>
  </si>
  <si>
    <t>E08</t>
  </si>
  <si>
    <t>F08</t>
  </si>
  <si>
    <t>C09</t>
  </si>
  <si>
    <t>D09</t>
  </si>
  <si>
    <t>E09</t>
  </si>
  <si>
    <t>F09</t>
  </si>
  <si>
    <t>S = Stereo ( UTaU, UTbV ), X = Vertical ( UTaX, UTbX )</t>
  </si>
  <si>
    <t>0 - 5 = DCB index for S or X detector plane</t>
  </si>
  <si>
    <t>MCB = Master Control Board</t>
  </si>
  <si>
    <t>0 - 2 = Stave index for S or X detector plane</t>
  </si>
  <si>
    <t>F/B = Front/Back face of stave*</t>
  </si>
  <si>
    <t>*"Front" corresponds to Ray's "C-Side Front" convention</t>
  </si>
  <si>
    <t>⟵</t>
  </si>
  <si>
    <t>S = Stereo ( aU, bV ), X = Vertical ( aX, bX )</t>
  </si>
  <si>
    <t>Stereo stave 0</t>
  </si>
  <si>
    <t>Back face</t>
  </si>
  <si>
    <t>Click on any pigtail connector to be taken to the corresponding sheet</t>
  </si>
  <si>
    <t>Double-click column title below to sort by that column</t>
  </si>
  <si>
    <r>
      <rPr>
        <b/>
        <u/>
        <sz val="18"/>
        <rFont val="Calibri"/>
        <family val="2"/>
      </rPr>
      <t>PEPI Chassis Dual-Quadrant Partition of the UT</t>
    </r>
    <r>
      <rPr>
        <b/>
        <u/>
        <sz val="18"/>
        <color indexed="10"/>
        <rFont val="Calibri"/>
        <family val="2"/>
      </rPr>
      <t xml:space="preserve">b </t>
    </r>
    <r>
      <rPr>
        <b/>
        <u/>
        <sz val="18"/>
        <rFont val="Calibri"/>
        <family val="2"/>
      </rPr>
      <t>plane style:</t>
    </r>
  </si>
  <si>
    <t>Based upon REV 6 NUMEROLOGY</t>
  </si>
  <si>
    <t>( 6 GBTx's / DCB )</t>
  </si>
  <si>
    <r>
      <t>KEY (eg 1(4</t>
    </r>
    <r>
      <rPr>
        <b/>
        <sz val="12"/>
        <rFont val="Symbol"/>
        <family val="1"/>
        <charset val="2"/>
      </rPr>
      <t>a</t>
    </r>
    <r>
      <rPr>
        <b/>
        <sz val="12"/>
        <rFont val="Arial Black"/>
        <family val="2"/>
      </rPr>
      <t>) ):</t>
    </r>
  </si>
  <si>
    <t>x(yz) --&gt;</t>
  </si>
  <si>
    <t>(x=#GBTx's, y=Slot ID, z=BP ID)</t>
  </si>
  <si>
    <t>#GBTx's (Card ID)</t>
  </si>
  <si>
    <t>8 FE ASICs</t>
  </si>
  <si>
    <t>4 FE ASICs</t>
  </si>
  <si>
    <t>V Plane</t>
  </si>
  <si>
    <t>C-Side Front</t>
  </si>
  <si>
    <t>C-Side Back</t>
  </si>
  <si>
    <t>Master-Control</t>
  </si>
  <si>
    <t>X Plane</t>
  </si>
  <si>
    <t>BP Type:</t>
  </si>
  <si>
    <t>Dual-Quadrant Backplane-Inner</t>
  </si>
  <si>
    <t>Dual-Quadrant Backplane-Center</t>
  </si>
  <si>
    <t>Dual-Quadrant Backplane-Outer</t>
  </si>
  <si>
    <t>Backplane Slot ID (Distribution):</t>
  </si>
  <si>
    <r>
      <rPr>
        <sz val="8"/>
        <rFont val="Symbol"/>
        <family val="1"/>
        <charset val="2"/>
      </rPr>
      <t>0a,</t>
    </r>
    <r>
      <rPr>
        <sz val="8"/>
        <color indexed="8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0a</t>
    </r>
    <r>
      <rPr>
        <sz val="8"/>
        <color indexed="8"/>
        <rFont val="Symbol"/>
        <family val="1"/>
        <charset val="2"/>
      </rPr>
      <t xml:space="preserve">, 1a, </t>
    </r>
    <r>
      <rPr>
        <sz val="8"/>
        <color theme="3" tint="0.39997558519241921"/>
        <rFont val="Symbol"/>
        <family val="1"/>
        <charset val="2"/>
      </rPr>
      <t>1a</t>
    </r>
    <r>
      <rPr>
        <sz val="8"/>
        <color indexed="8"/>
        <rFont val="Symbol"/>
        <family val="1"/>
        <charset val="2"/>
      </rPr>
      <t xml:space="preserve">, 2a, </t>
    </r>
    <r>
      <rPr>
        <sz val="8"/>
        <color theme="3" tint="0.39997558519241921"/>
        <rFont val="Symbol"/>
        <family val="1"/>
        <charset val="2"/>
      </rPr>
      <t>2a</t>
    </r>
    <r>
      <rPr>
        <sz val="8"/>
        <color indexed="8"/>
        <rFont val="Symbol"/>
        <family val="1"/>
        <charset val="2"/>
      </rPr>
      <t xml:space="preserve">, 3a, </t>
    </r>
    <r>
      <rPr>
        <sz val="8"/>
        <color theme="3" tint="0.39997558519241921"/>
        <rFont val="Symbol"/>
        <family val="1"/>
        <charset val="2"/>
      </rPr>
      <t>3a</t>
    </r>
    <r>
      <rPr>
        <sz val="8"/>
        <color indexed="8"/>
        <rFont val="Symbol"/>
        <family val="1"/>
        <charset val="2"/>
      </rPr>
      <t xml:space="preserve">, 4a, </t>
    </r>
    <r>
      <rPr>
        <sz val="8"/>
        <color theme="3" tint="0.39997558519241921"/>
        <rFont val="Symbol"/>
        <family val="1"/>
        <charset val="2"/>
      </rPr>
      <t>4a</t>
    </r>
    <r>
      <rPr>
        <sz val="8"/>
        <color indexed="8"/>
        <rFont val="Symbol"/>
        <family val="1"/>
        <charset val="2"/>
      </rPr>
      <t xml:space="preserve">, 5a, </t>
    </r>
    <r>
      <rPr>
        <sz val="8"/>
        <color theme="3" tint="0.39997558519241921"/>
        <rFont val="Symbol"/>
        <family val="1"/>
        <charset val="2"/>
      </rPr>
      <t xml:space="preserve">5a, </t>
    </r>
    <r>
      <rPr>
        <sz val="8"/>
        <color theme="9" tint="-0.499984740745262"/>
        <rFont val="Arial"/>
        <family val="2"/>
      </rPr>
      <t>MC</t>
    </r>
  </si>
  <si>
    <r>
      <rPr>
        <sz val="8"/>
        <rFont val="Symbol"/>
        <family val="1"/>
        <charset val="2"/>
      </rPr>
      <t xml:space="preserve">0b, </t>
    </r>
    <r>
      <rPr>
        <sz val="8"/>
        <color theme="3" tint="0.39997558519241921"/>
        <rFont val="Symbol"/>
        <family val="1"/>
        <charset val="2"/>
      </rPr>
      <t>0b</t>
    </r>
    <r>
      <rPr>
        <sz val="8"/>
        <rFont val="Symbol"/>
        <family val="1"/>
        <charset val="2"/>
      </rPr>
      <t>,</t>
    </r>
    <r>
      <rPr>
        <sz val="8"/>
        <color theme="3" tint="0.39997558519241921"/>
        <rFont val="Symbol"/>
        <family val="1"/>
        <charset val="2"/>
      </rPr>
      <t xml:space="preserve"> </t>
    </r>
    <r>
      <rPr>
        <sz val="8"/>
        <rFont val="Symbol"/>
        <family val="1"/>
        <charset val="2"/>
      </rPr>
      <t>1b,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1b,</t>
    </r>
    <r>
      <rPr>
        <sz val="8"/>
        <color indexed="8"/>
        <rFont val="Symbol"/>
        <family val="1"/>
        <charset val="2"/>
      </rPr>
      <t xml:space="preserve"> 2b, </t>
    </r>
    <r>
      <rPr>
        <sz val="8"/>
        <color theme="3" tint="0.39997558519241921"/>
        <rFont val="Symbol"/>
        <family val="1"/>
        <charset val="2"/>
      </rPr>
      <t>2b</t>
    </r>
    <r>
      <rPr>
        <sz val="8"/>
        <color indexed="8"/>
        <rFont val="Symbol"/>
        <family val="1"/>
        <charset val="2"/>
      </rPr>
      <t xml:space="preserve">, 3b, </t>
    </r>
    <r>
      <rPr>
        <sz val="8"/>
        <color theme="3" tint="0.39997558519241921"/>
        <rFont val="Symbol"/>
        <family val="1"/>
        <charset val="2"/>
      </rPr>
      <t>3b</t>
    </r>
    <r>
      <rPr>
        <sz val="8"/>
        <color indexed="8"/>
        <rFont val="Symbol"/>
        <family val="1"/>
        <charset val="2"/>
      </rPr>
      <t xml:space="preserve">, 4b, </t>
    </r>
    <r>
      <rPr>
        <sz val="8"/>
        <color theme="3" tint="0.39997558519241921"/>
        <rFont val="Symbol"/>
        <family val="1"/>
        <charset val="2"/>
      </rPr>
      <t>4b</t>
    </r>
    <r>
      <rPr>
        <sz val="8"/>
        <color indexed="8"/>
        <rFont val="Symbol"/>
        <family val="1"/>
        <charset val="2"/>
      </rPr>
      <t xml:space="preserve">, 5b, </t>
    </r>
    <r>
      <rPr>
        <sz val="8"/>
        <color theme="3" tint="0.39997558519241921"/>
        <rFont val="Symbol"/>
        <family val="1"/>
        <charset val="2"/>
      </rPr>
      <t>5</t>
    </r>
    <r>
      <rPr>
        <sz val="8"/>
        <color indexed="8"/>
        <rFont val="Symbol"/>
        <family val="1"/>
        <charset val="2"/>
      </rPr>
      <t>b,</t>
    </r>
    <r>
      <rPr>
        <sz val="8"/>
        <color theme="9" tint="-0.499984740745262"/>
        <rFont val="Symbol"/>
        <family val="1"/>
        <charset val="2"/>
      </rPr>
      <t xml:space="preserve"> </t>
    </r>
    <r>
      <rPr>
        <sz val="8"/>
        <color theme="9" tint="-0.499984740745262"/>
        <rFont val="Times New Roman"/>
        <family val="1"/>
      </rPr>
      <t>MC</t>
    </r>
  </si>
  <si>
    <r>
      <rPr>
        <sz val="8"/>
        <rFont val="Symbol"/>
        <family val="1"/>
        <charset val="2"/>
      </rPr>
      <t>0g,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0g</t>
    </r>
    <r>
      <rPr>
        <sz val="8"/>
        <rFont val="Symbol"/>
        <family val="1"/>
        <charset val="2"/>
      </rPr>
      <t>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rFont val="Symbol"/>
        <family val="1"/>
        <charset val="2"/>
      </rPr>
      <t xml:space="preserve">1g, </t>
    </r>
    <r>
      <rPr>
        <sz val="8"/>
        <color theme="3" tint="0.39997558519241921"/>
        <rFont val="Symbol"/>
        <family val="1"/>
        <charset val="2"/>
      </rPr>
      <t>1g</t>
    </r>
    <r>
      <rPr>
        <sz val="8"/>
        <rFont val="Symbol"/>
        <family val="1"/>
        <charset val="2"/>
      </rPr>
      <t xml:space="preserve">, </t>
    </r>
    <r>
      <rPr>
        <sz val="8"/>
        <color indexed="8"/>
        <rFont val="Symbol"/>
        <family val="1"/>
        <charset val="2"/>
      </rPr>
      <t xml:space="preserve">2g, </t>
    </r>
    <r>
      <rPr>
        <sz val="8"/>
        <color theme="3" tint="0.39997558519241921"/>
        <rFont val="Symbol"/>
        <family val="1"/>
        <charset val="2"/>
      </rPr>
      <t>2g</t>
    </r>
    <r>
      <rPr>
        <sz val="8"/>
        <color indexed="8"/>
        <rFont val="Symbol"/>
        <family val="1"/>
        <charset val="2"/>
      </rPr>
      <t xml:space="preserve">, 3g, </t>
    </r>
    <r>
      <rPr>
        <sz val="8"/>
        <color theme="3" tint="0.39997558519241921"/>
        <rFont val="Symbol"/>
        <family val="1"/>
        <charset val="2"/>
      </rPr>
      <t>3g</t>
    </r>
    <r>
      <rPr>
        <sz val="8"/>
        <color indexed="8"/>
        <rFont val="Symbol"/>
        <family val="1"/>
        <charset val="2"/>
      </rPr>
      <t xml:space="preserve">, 4g, </t>
    </r>
    <r>
      <rPr>
        <sz val="8"/>
        <color theme="3" tint="0.39997558519241921"/>
        <rFont val="Symbol"/>
        <family val="1"/>
        <charset val="2"/>
      </rPr>
      <t>4g</t>
    </r>
    <r>
      <rPr>
        <sz val="8"/>
        <color indexed="8"/>
        <rFont val="Symbol"/>
        <family val="1"/>
        <charset val="2"/>
      </rPr>
      <t xml:space="preserve">, 5g, </t>
    </r>
    <r>
      <rPr>
        <sz val="8"/>
        <color theme="3" tint="0.39997558519241921"/>
        <rFont val="Symbol"/>
        <family val="1"/>
        <charset val="2"/>
      </rPr>
      <t>5g</t>
    </r>
    <r>
      <rPr>
        <sz val="8"/>
        <color indexed="8"/>
        <rFont val="Symbol"/>
        <family val="1"/>
        <charset val="2"/>
      </rPr>
      <t xml:space="preserve">, </t>
    </r>
    <r>
      <rPr>
        <sz val="8"/>
        <color theme="9" tint="-0.499984740745262"/>
        <rFont val="Arial"/>
        <family val="2"/>
      </rPr>
      <t>MC</t>
    </r>
  </si>
  <si>
    <t>Empty DCB Slots:</t>
  </si>
  <si>
    <t>N/A</t>
  </si>
  <si>
    <t>vacant GBTx Sockets:  # (BP slot ID)</t>
  </si>
  <si>
    <t>1(5a)</t>
  </si>
  <si>
    <t>1(2a)</t>
  </si>
  <si>
    <t>1(5b)</t>
  </si>
  <si>
    <t>1(2b)</t>
  </si>
  <si>
    <t>1(5g)</t>
  </si>
  <si>
    <t>1(2g)</t>
  </si>
  <si>
    <t>1(4a)</t>
  </si>
  <si>
    <t>1(4b)</t>
  </si>
  <si>
    <t>1(4g)</t>
  </si>
  <si>
    <t>V-Plane</t>
  </si>
  <si>
    <t>x2</t>
  </si>
  <si>
    <t>X-plane</t>
  </si>
  <si>
    <t>1(3a)</t>
  </si>
  <si>
    <t>1(3b)</t>
  </si>
  <si>
    <t>1(3g)</t>
  </si>
  <si>
    <t>Stave Type:</t>
  </si>
  <si>
    <t>A*</t>
  </si>
  <si>
    <t>A</t>
  </si>
  <si>
    <t># populated DCB slots /  Backplane</t>
  </si>
  <si>
    <t>DCB's per PEPI  UTb Chassis:</t>
  </si>
  <si>
    <t>SubTotals</t>
  </si>
  <si>
    <t>Ext BP Wires:
Signal</t>
  </si>
  <si>
    <t>Ext BP Power + Return + Sense</t>
  </si>
  <si>
    <t>Total</t>
  </si>
  <si>
    <t>Plane UTbV</t>
  </si>
  <si>
    <t># ASICs</t>
  </si>
  <si>
    <t># 4-ASICs Groups</t>
  </si>
  <si>
    <t># GBTx's</t>
  </si>
  <si>
    <t># i2C Interfaces needed for SALT</t>
  </si>
  <si>
    <t># i2C Interfaces needed GBTx's</t>
  </si>
  <si>
    <t># GBTx-Master TFC Ports Needed</t>
  </si>
  <si>
    <t># REF_Clks needed for GBTx's</t>
  </si>
  <si>
    <t># REF_Clks needed for SALT's</t>
  </si>
  <si>
    <t xml:space="preserve"># temperature sensors: Hybrid </t>
  </si>
  <si>
    <t>#temperature sensors for board slots</t>
  </si>
  <si>
    <t>activated DCB equivalent:</t>
  </si>
  <si>
    <t>Plane UTbX</t>
  </si>
  <si>
    <t>SUBTOTALS:</t>
  </si>
  <si>
    <t>PEPI Chassis DCB Function
Thermal Load:</t>
  </si>
  <si>
    <t>Watts</t>
  </si>
  <si>
    <t>PEPI Chassis Master-Control  Function Thermal Load:</t>
  </si>
  <si>
    <t>Total PEPI Chassis Thermal Load</t>
  </si>
  <si>
    <t>Migrate 12 total RefClk Signals (ie Need conns along BP Edges!!)</t>
  </si>
  <si>
    <t>DCB 2.5V current:</t>
  </si>
  <si>
    <t>Amps</t>
  </si>
  <si>
    <t>DC Power pin count assumes:</t>
  </si>
  <si>
    <t>1.25Amps/pin</t>
  </si>
  <si>
    <t>DCB 1.5V current:</t>
  </si>
  <si>
    <t>x2 for round trip</t>
  </si>
  <si>
    <t>4 sense line per board</t>
  </si>
  <si>
    <t>Migrate 6 RefClk Signals</t>
  </si>
  <si>
    <t>M-C 1.5V current:</t>
  </si>
  <si>
    <t>Amps (SCA)</t>
  </si>
  <si>
    <t>Amps (GBTx-Master)</t>
  </si>
  <si>
    <t>M-C 2.5V current:</t>
  </si>
  <si>
    <t>Amps (VTRx)</t>
  </si>
  <si>
    <t>Per Octant (AKA Dual Quadrant):</t>
  </si>
  <si>
    <t>8 TFC ports per GBTx-Master</t>
  </si>
  <si>
    <t>=====&gt;</t>
  </si>
  <si>
    <t># of GBTx-Mastersbased upon TFC port needs:</t>
  </si>
  <si>
    <t>GBTx-Master Circuits</t>
  </si>
  <si>
    <t>GBTx-Masters</t>
  </si>
  <si>
    <t>16 i2C ports per GBT-SCA</t>
  </si>
  <si>
    <t># of GBTx-SCA's:</t>
  </si>
  <si>
    <t>GBT-SCA circuits</t>
  </si>
  <si>
    <t>GBT-SCA's</t>
  </si>
  <si>
    <t>8 REF Clks per GBTx</t>
  </si>
  <si>
    <t># of GBTx-Masters based upon ref clk needs:</t>
  </si>
  <si>
    <t>8 bidir SCA elink control ports per GBTx-Master</t>
  </si>
  <si>
    <t>ACTUAL GBTx-Masters</t>
  </si>
  <si>
    <r>
      <rPr>
        <b/>
        <u/>
        <sz val="18"/>
        <rFont val="Calibri"/>
        <family val="2"/>
      </rPr>
      <t>PEPI Chassis Dual-Quadrant Partition of the UT</t>
    </r>
    <r>
      <rPr>
        <b/>
        <u/>
        <sz val="18"/>
        <color indexed="10"/>
        <rFont val="Calibri"/>
        <family val="2"/>
      </rPr>
      <t xml:space="preserve">a </t>
    </r>
    <r>
      <rPr>
        <b/>
        <u/>
        <sz val="18"/>
        <rFont val="Calibri"/>
        <family val="2"/>
      </rPr>
      <t>plane style:</t>
    </r>
  </si>
  <si>
    <t>U Plane</t>
  </si>
  <si>
    <t>Empty Slots</t>
  </si>
  <si>
    <t>U-Plane</t>
  </si>
  <si>
    <t/>
  </si>
  <si>
    <t>4 empty Std Board Slots</t>
  </si>
  <si>
    <t>6 empty Std Board Slots</t>
  </si>
  <si>
    <t>20 empty DCB sockets</t>
  </si>
  <si>
    <t>6 Master-Control (MC) slots</t>
  </si>
  <si>
    <t>24 empty DCB sockets</t>
  </si>
  <si>
    <t>Stereo stave 1</t>
  </si>
  <si>
    <t>Pigtail socket 5</t>
  </si>
  <si>
    <t>Stereo stave 2</t>
  </si>
  <si>
    <t>BLACK: trace active on all backplanes</t>
  </si>
  <si>
    <t>P1</t>
  </si>
  <si>
    <t>P2</t>
  </si>
  <si>
    <t>P3</t>
  </si>
  <si>
    <t>P4</t>
  </si>
  <si>
    <t>Names of Hybrid positions on the DataFlex</t>
  </si>
  <si>
    <t>RED is always DataFlex-Medium</t>
  </si>
  <si>
    <t>BLACK is DataFlex-Short, except on Stave 0 where it is DataFlex-Long</t>
  </si>
  <si>
    <t>2(0b)</t>
  </si>
  <si>
    <t>2(0g)</t>
  </si>
  <si>
    <t>2(4a)</t>
  </si>
  <si>
    <t>2(3b)</t>
  </si>
  <si>
    <t>2(4b)</t>
  </si>
  <si>
    <t>2(3g)</t>
  </si>
  <si>
    <t>2(4g)</t>
  </si>
  <si>
    <t>2(1a), 2(0a)</t>
  </si>
  <si>
    <t>Vertical stave 0</t>
  </si>
  <si>
    <t>Vertical stave 1</t>
  </si>
  <si>
    <t>Vertical stave 2</t>
  </si>
  <si>
    <r>
      <t xml:space="preserve">1V, </t>
    </r>
    <r>
      <rPr>
        <sz val="10"/>
        <color theme="3" tint="0.39997558519241921"/>
        <rFont val="Calibri"/>
        <family val="2"/>
      </rPr>
      <t>1X</t>
    </r>
  </si>
  <si>
    <r>
      <t xml:space="preserve">1V, </t>
    </r>
    <r>
      <rPr>
        <sz val="10"/>
        <color theme="3" tint="0.39997558519241921"/>
        <rFont val="Calibri"/>
        <family val="2"/>
      </rPr>
      <t>1X</t>
    </r>
    <r>
      <rPr>
        <sz val="10"/>
        <color indexed="8"/>
        <rFont val="Calibri"/>
        <family val="2"/>
      </rPr>
      <t xml:space="preserve"> </t>
    </r>
  </si>
  <si>
    <r>
      <t xml:space="preserve">1V, </t>
    </r>
    <r>
      <rPr>
        <sz val="10"/>
        <color theme="3" tint="0.39997558519241921"/>
        <rFont val="Calibri"/>
        <family val="2"/>
      </rPr>
      <t>1X</t>
    </r>
    <r>
      <rPr>
        <sz val="10"/>
        <rFont val="Calibri"/>
        <family val="2"/>
      </rPr>
      <t xml:space="preserve">, 5V, </t>
    </r>
    <r>
      <rPr>
        <sz val="10"/>
        <color theme="3" tint="0.39997558519241921"/>
        <rFont val="Calibri"/>
        <family val="2"/>
      </rPr>
      <t>5X</t>
    </r>
  </si>
  <si>
    <t>Master sheet for True-Type backplane mapping</t>
  </si>
  <si>
    <t>BLUE: trace depopulates on middle (beta) and outer (gamma) backplanes</t>
  </si>
  <si>
    <t>SEAM pin</t>
  </si>
  <si>
    <t>DC5_ELK_CH0_N</t>
  </si>
  <si>
    <t>DC5_ELK_CH0_P</t>
  </si>
  <si>
    <t>DC5_ELK_CH1_N</t>
  </si>
  <si>
    <t>DC5_ELK_CH1_P</t>
  </si>
  <si>
    <t>DC4_ELK_CH0_N</t>
  </si>
  <si>
    <t>DC4_ELK_CH0_P</t>
  </si>
  <si>
    <t>DC4_ELK_CH1_N</t>
  </si>
  <si>
    <t>DC4_ELK_CH1_P</t>
  </si>
  <si>
    <t>DC3_ELK_CH0_N</t>
  </si>
  <si>
    <t>DC3_ELK_CH0_P</t>
  </si>
  <si>
    <t>DC3_ELK_CH1_N</t>
  </si>
  <si>
    <t>DC3_ELK_CH1_P</t>
  </si>
  <si>
    <t>DC2_ELK_CH0_N</t>
  </si>
  <si>
    <t>DC2_ELK_CH0_P</t>
  </si>
  <si>
    <t>DC2_ELK_CH1_N</t>
  </si>
  <si>
    <t>DC2_ELK_CH1_P</t>
  </si>
  <si>
    <t>DC1_ELK_CH0_N</t>
  </si>
  <si>
    <t>DC1_ELK_CH0_P</t>
  </si>
  <si>
    <t>DC1_ELK_CH1_N</t>
  </si>
  <si>
    <t>DC1_ELK_CH1_P</t>
  </si>
  <si>
    <t>DC0_ELK_CH0_N</t>
  </si>
  <si>
    <t>DC0_ELK_CH0_P</t>
  </si>
  <si>
    <t>DC0_ELK_CH1_N</t>
  </si>
  <si>
    <t>DC0_ELK_CH1_P</t>
  </si>
  <si>
    <t>MC_TFC0_N</t>
  </si>
  <si>
    <t>MC_TFC0_P</t>
  </si>
  <si>
    <t>DC5_ELK_CH2_N</t>
  </si>
  <si>
    <t>DC5_ELK_CH2_P</t>
  </si>
  <si>
    <t>DC5_ELK_CH3_N</t>
  </si>
  <si>
    <t>DC5_ELK_CH3_P</t>
  </si>
  <si>
    <t>DC4_ELK_CH2_N</t>
  </si>
  <si>
    <t>DC4_ELK_CH2_P</t>
  </si>
  <si>
    <t>DC4_ELK_CH3_N</t>
  </si>
  <si>
    <t>DC4_ELK_CH3_P</t>
  </si>
  <si>
    <t>DC3_ELK_CH2_N</t>
  </si>
  <si>
    <t>DC3_ELK_CH2_P</t>
  </si>
  <si>
    <t>DC3_ELK_CH3_N</t>
  </si>
  <si>
    <t>DC3_ELK_CH3_P</t>
  </si>
  <si>
    <t>DC2_ELK_CH2_N</t>
  </si>
  <si>
    <t>DC2_ELK_CH2_P</t>
  </si>
  <si>
    <t>DC2_ELK_CH3_N</t>
  </si>
  <si>
    <t>DC2_ELK_CH3_P</t>
  </si>
  <si>
    <t>DC1_ELK_CH2_N</t>
  </si>
  <si>
    <t>DC1_ELK_CH2_P</t>
  </si>
  <si>
    <t>DC1_ELK_CH3_N</t>
  </si>
  <si>
    <t>DC1_ELK_CH3_P</t>
  </si>
  <si>
    <t>DC0_ELK_CH2_N</t>
  </si>
  <si>
    <t>DC0_ELK_CH2_P</t>
  </si>
  <si>
    <t>DC0_ELK_CH3_N</t>
  </si>
  <si>
    <t>DC0_ELK_CH3_P</t>
  </si>
  <si>
    <t>DC5_ELK_CH4_N</t>
  </si>
  <si>
    <t>DC5_ELK_CH4_P</t>
  </si>
  <si>
    <t>DC5_ELK_CH5_N</t>
  </si>
  <si>
    <t>DC5_ELK_CH5_P</t>
  </si>
  <si>
    <t>DC4_ELK_CH4_N</t>
  </si>
  <si>
    <t>DC4_ELK_CH4_P</t>
  </si>
  <si>
    <t>DC4_ELK_CH5_N</t>
  </si>
  <si>
    <t>DC4_ELK_CH5_P</t>
  </si>
  <si>
    <t>DC3_ELK_CH4_N</t>
  </si>
  <si>
    <t>DC3_ELK_CH4_P</t>
  </si>
  <si>
    <t>DC3_ELK_CH5_N</t>
  </si>
  <si>
    <t>DC3_ELK_CH5_P</t>
  </si>
  <si>
    <t>DC2_ELK_CH4_N</t>
  </si>
  <si>
    <t>DC2_ELK_CH4_P</t>
  </si>
  <si>
    <t>DC2_ELK_CH5_N</t>
  </si>
  <si>
    <t>DC2_ELK_CH5_P</t>
  </si>
  <si>
    <t>DC1_ELK_CH4_N</t>
  </si>
  <si>
    <t>DC1_ELK_CH4_P</t>
  </si>
  <si>
    <t>DC1_ELK_CH5_N</t>
  </si>
  <si>
    <t>DC1_ELK_CH5_P</t>
  </si>
  <si>
    <t>DC0_ELK_CH4_N</t>
  </si>
  <si>
    <t>DC0_ELK_CH4_P</t>
  </si>
  <si>
    <t>DC0_ELK_CH5_N</t>
  </si>
  <si>
    <t>DC0_ELK_CH5_P</t>
  </si>
  <si>
    <t>DC5_ELK_CH6_N</t>
  </si>
  <si>
    <t>DC5_ELK_CH6_P</t>
  </si>
  <si>
    <t>DC5_ELK_CH7_N</t>
  </si>
  <si>
    <t>DC5_ELK_CH7_P</t>
  </si>
  <si>
    <t>DC4_ELK_CH6_N</t>
  </si>
  <si>
    <t>DC4_ELK_CH6_P</t>
  </si>
  <si>
    <t>DC4_ELK_CH7_N</t>
  </si>
  <si>
    <t>DC4_ELK_CH7_P</t>
  </si>
  <si>
    <t>DC3_ELK_CH6_N</t>
  </si>
  <si>
    <t>DC3_ELK_CH6_P</t>
  </si>
  <si>
    <t>DC3_ELK_CH7_N</t>
  </si>
  <si>
    <t>DC3_ELK_CH7_P</t>
  </si>
  <si>
    <t>DC2_ELK_CH6_N</t>
  </si>
  <si>
    <t>DC2_ELK_CH6_P</t>
  </si>
  <si>
    <t>DC2_ELK_CH7_N</t>
  </si>
  <si>
    <t>DC2_ELK_CH7_P</t>
  </si>
  <si>
    <t>DC1_ELK_CH6_N</t>
  </si>
  <si>
    <t>DC1_ELK_CH6_P</t>
  </si>
  <si>
    <t>DC1_ELK_CH7_N</t>
  </si>
  <si>
    <t>DC1_ELK_CH7_P</t>
  </si>
  <si>
    <t>DC0_ELK_CH6_N</t>
  </si>
  <si>
    <t>DC0_ELK_CH6_P</t>
  </si>
  <si>
    <t>DC0_ELK_CH7_N</t>
  </si>
  <si>
    <t>DC0_ELK_CH7_P</t>
  </si>
  <si>
    <t>DC5_ELK_CH8_N</t>
  </si>
  <si>
    <t>DC5_ELK_CH8_P</t>
  </si>
  <si>
    <t>DC5_ELK_CH9_N</t>
  </si>
  <si>
    <t>DC5_ELK_CH9_P</t>
  </si>
  <si>
    <t>DC4_ELK_CH8_N</t>
  </si>
  <si>
    <t>DC4_ELK_CH8_P</t>
  </si>
  <si>
    <t>DC4_ELK_CH9_N</t>
  </si>
  <si>
    <t>DC4_ELK_CH9_P</t>
  </si>
  <si>
    <t>DC3_ELK_CH8_N</t>
  </si>
  <si>
    <t>DC3_ELK_CH8_P</t>
  </si>
  <si>
    <t>DC3_ELK_CH9_N</t>
  </si>
  <si>
    <t>DC3_ELK_CH9_P</t>
  </si>
  <si>
    <t>DC2_ELK_CH8_N</t>
  </si>
  <si>
    <t>DC2_ELK_CH8_P</t>
  </si>
  <si>
    <t>DC2_ELK_CH9_N</t>
  </si>
  <si>
    <t>DC2_ELK_CH9_P</t>
  </si>
  <si>
    <t>DC1_ELK_CH8_N</t>
  </si>
  <si>
    <t>DC1_ELK_CH8_P</t>
  </si>
  <si>
    <t>DC1_ELK_CH9_N</t>
  </si>
  <si>
    <t>DC1_ELK_CH9_P</t>
  </si>
  <si>
    <t>DC0_ELK_CH8_N</t>
  </si>
  <si>
    <t>DC0_ELK_CH8_P</t>
  </si>
  <si>
    <t>DC0_ELK_CH9_N</t>
  </si>
  <si>
    <t>DC0_ELK_CH9_P</t>
  </si>
  <si>
    <t>MC_TFC1_N</t>
  </si>
  <si>
    <t>MC_TFC1_P</t>
  </si>
  <si>
    <t>DC5_ELK_CH10_N</t>
  </si>
  <si>
    <t>DC5_ELK_CH10_P</t>
  </si>
  <si>
    <t>DC5_ELK_CH11_N</t>
  </si>
  <si>
    <t>DC5_ELK_CH11_P</t>
  </si>
  <si>
    <t>DC4_ELK_CH10_N</t>
  </si>
  <si>
    <t>DC4_ELK_CH10_P</t>
  </si>
  <si>
    <t>DC4_ELK_CH11_N</t>
  </si>
  <si>
    <t>DC4_ELK_CH11_P</t>
  </si>
  <si>
    <t>DC3_ELK_CH10_N</t>
  </si>
  <si>
    <t>DC3_ELK_CH10_P</t>
  </si>
  <si>
    <t>DC3_ELK_CH11_N</t>
  </si>
  <si>
    <t>DC3_ELK_CH11_P</t>
  </si>
  <si>
    <t>DC2_ELK_CH10_N</t>
  </si>
  <si>
    <t>DC2_ELK_CH10_P</t>
  </si>
  <si>
    <t>DC2_ELK_CH11_N</t>
  </si>
  <si>
    <t>DC2_ELK_CH11_P</t>
  </si>
  <si>
    <t>DC1_ELK_CH10_N</t>
  </si>
  <si>
    <t>DC1_ELK_CH10_P</t>
  </si>
  <si>
    <t>DC1_ELK_CH11_N</t>
  </si>
  <si>
    <t>DC1_ELK_CH11_P</t>
  </si>
  <si>
    <t>DC0_ELK_CH10_N</t>
  </si>
  <si>
    <t>DC0_ELK_CH10_P</t>
  </si>
  <si>
    <t>DC0_ELK_CH11_N</t>
  </si>
  <si>
    <t>DC0_ELK_CH11_P</t>
  </si>
  <si>
    <t>DC_OUT_RCLK0_N</t>
  </si>
  <si>
    <t>DC_OUT_RCLK0_P</t>
  </si>
  <si>
    <t>DC_OUT_RCLK1_N</t>
  </si>
  <si>
    <t>DC_OUT_RCLK1_P</t>
  </si>
  <si>
    <t>DC_OUT_RCLK2_N</t>
  </si>
  <si>
    <t>DC_OUT_RCLK2_P</t>
  </si>
  <si>
    <t>DC_OUT_RCLK3_N</t>
  </si>
  <si>
    <t>DC_OUT_RCLK3_P</t>
  </si>
  <si>
    <t>MC_TFC4_N</t>
  </si>
  <si>
    <t>MC_TFC4_P</t>
  </si>
  <si>
    <t>MC_TFC5_N</t>
  </si>
  <si>
    <t>MC_TFC5_P</t>
  </si>
  <si>
    <t>DC_OUT_RCLK4_N</t>
  </si>
  <si>
    <t>DC_OUT_RCLK4_P</t>
  </si>
  <si>
    <t>DC_OUT_RCLK5_N</t>
  </si>
  <si>
    <t>DC_OUT_RCLK5_P</t>
  </si>
  <si>
    <t>MC_TFC2_N</t>
  </si>
  <si>
    <t>MC_TFC2_P</t>
  </si>
  <si>
    <t>MC_TFC3_N</t>
  </si>
  <si>
    <t>MC_TFC3_P</t>
  </si>
  <si>
    <t>EC_RESET_GPIO_2</t>
  </si>
  <si>
    <t>EC_RESET_GPIO_3</t>
  </si>
  <si>
    <t>EC_RESET_GPIO_4</t>
  </si>
  <si>
    <t>EC_RESET_GPIO_5</t>
  </si>
  <si>
    <t>EC_ADC_2</t>
  </si>
  <si>
    <t>EC_ADC_3</t>
  </si>
  <si>
    <t>EC_ADC_4</t>
  </si>
  <si>
    <t>EC_ADC_5</t>
  </si>
  <si>
    <t>EC_ADC_6</t>
  </si>
  <si>
    <t>EC_ADC_7</t>
  </si>
  <si>
    <t>EC_RESET_GPIO_0</t>
  </si>
  <si>
    <t>EC_RESET_GPIO_1</t>
  </si>
  <si>
    <t>EC_HYB_i2C_SCL_0</t>
  </si>
  <si>
    <t>EC_HYB_i2C_SDA_0</t>
  </si>
  <si>
    <t>EC_HYB_i2C_SCL_1</t>
  </si>
  <si>
    <t>EC_HYB_i2C_SDA_1</t>
  </si>
  <si>
    <t>EC_HYB_i2C_SCL_2</t>
  </si>
  <si>
    <t>EC_HYB_i2C_SDA_2</t>
  </si>
  <si>
    <t>EC_HYB_i2C_SCL_3</t>
  </si>
  <si>
    <t>EC_HYB_i2C_SDA_3</t>
  </si>
  <si>
    <t>EC_HYB_i2C_SCL_4</t>
  </si>
  <si>
    <t>EC_HYB_i2C_SDA_4</t>
  </si>
  <si>
    <t>EC_HYB_i2C_SCL_5</t>
  </si>
  <si>
    <t>EC_HYB_i2C_SDA_5</t>
  </si>
  <si>
    <t>Pigtail slot</t>
  </si>
  <si>
    <t>1.5V</t>
  </si>
  <si>
    <t>GND</t>
  </si>
  <si>
    <t>2.5V</t>
  </si>
  <si>
    <t>00 - 1</t>
  </si>
  <si>
    <t>00 - 2</t>
  </si>
  <si>
    <t>00 - 3</t>
  </si>
  <si>
    <t>00 - 4</t>
  </si>
  <si>
    <t>Pigtail
pin</t>
  </si>
  <si>
    <t>00 - 5</t>
  </si>
  <si>
    <t>00 - 6</t>
  </si>
  <si>
    <t>DCB socket 0</t>
  </si>
  <si>
    <t>DCB socket 1</t>
  </si>
  <si>
    <t>02 - 1</t>
  </si>
  <si>
    <t>02 - 2</t>
  </si>
  <si>
    <t>02 - 3</t>
  </si>
  <si>
    <t>02 - 4</t>
  </si>
  <si>
    <t>04 - 1</t>
  </si>
  <si>
    <t>04 - 2</t>
  </si>
  <si>
    <t>04 - 3</t>
  </si>
  <si>
    <t>04 - 4</t>
  </si>
  <si>
    <t>04 - 5</t>
  </si>
  <si>
    <t>DCB socket 2</t>
  </si>
  <si>
    <t>DCB socket 3</t>
  </si>
  <si>
    <t>DCB socket 4</t>
  </si>
  <si>
    <t>DCB socket 5</t>
  </si>
  <si>
    <t>DCB socket 6</t>
  </si>
  <si>
    <t>DCB socket 7</t>
  </si>
  <si>
    <t>DCB socket 8</t>
  </si>
  <si>
    <t>DCB socket 9</t>
  </si>
  <si>
    <t>DCB socket 10</t>
  </si>
  <si>
    <t>DCB socket 11</t>
  </si>
  <si>
    <t>02 - 5</t>
  </si>
  <si>
    <t>02 - 6</t>
  </si>
  <si>
    <t>04 - 6</t>
  </si>
  <si>
    <t>DCB connectors</t>
  </si>
  <si>
    <t>Click on any DCB connector to be taken to the corresponding sheet</t>
  </si>
  <si>
    <t>EC_SEC_DIN_ELK_N</t>
  </si>
  <si>
    <t>EC_SEC_DIN_ELK_P</t>
  </si>
  <si>
    <t>EC_SEC_CLK_ELK_N</t>
  </si>
  <si>
    <t>EC_SEC_CLK_ELK_P</t>
  </si>
  <si>
    <t>MC_SEC_DIN_ELK_N</t>
  </si>
  <si>
    <t>MC_SEC_DIN_ELK_P</t>
  </si>
  <si>
    <t>MC_SEC_DOUT_ELK_N</t>
  </si>
  <si>
    <t>MC_SEC_DOUT_ELK_P</t>
  </si>
  <si>
    <t>AGND</t>
  </si>
  <si>
    <t>EC_SEC_DOUT_ELK_N</t>
  </si>
  <si>
    <t>EC_SEC_DOUT_ELK_P</t>
  </si>
  <si>
    <t>MC_SEC_CLK_ELK_P</t>
  </si>
  <si>
    <t>MC_SEC_CLK_ELK_N</t>
  </si>
  <si>
    <t>SEAM slot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</si>
  <si>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</si>
  <si>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</si>
  <si>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</si>
  <si>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</si>
  <si>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</si>
  <si>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</si>
  <si>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</si>
  <si>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</si>
  <si>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</si>
  <si>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</si>
  <si>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B41</t>
  </si>
  <si>
    <t>B42</t>
  </si>
  <si>
    <t>B43</t>
  </si>
  <si>
    <t>B44</t>
  </si>
  <si>
    <t>B45</t>
  </si>
  <si>
    <t>B46</t>
  </si>
  <si>
    <t>B47</t>
  </si>
  <si>
    <t>B48</t>
  </si>
  <si>
    <t>B49</t>
  </si>
  <si>
    <t>B50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</si>
  <si>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</si>
  <si>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</si>
  <si>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</si>
  <si>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</si>
  <si>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</si>
  <si>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</si>
  <si>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</si>
  <si>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</si>
  <si>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</si>
  <si>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</si>
  <si>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</si>
  <si>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</si>
  <si>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</si>
  <si>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</si>
  <si>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</si>
  <si>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</si>
  <si>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</si>
  <si>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</si>
  <si>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</si>
  <si>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</si>
  <si>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</si>
  <si>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</si>
  <si>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</si>
  <si>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</si>
  <si>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</si>
  <si>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</si>
  <si>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</si>
  <si>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</si>
  <si>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</si>
  <si>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</si>
  <si>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</si>
  <si>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</si>
  <si>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</si>
  <si>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</si>
  <si>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</si>
  <si>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</si>
  <si>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</si>
  <si>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</si>
  <si>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</si>
  <si>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</si>
  <si>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G41</t>
  </si>
  <si>
    <t>G42</t>
  </si>
  <si>
    <t>G43</t>
  </si>
  <si>
    <t>G44</t>
  </si>
  <si>
    <t>G45</t>
  </si>
  <si>
    <t>G46</t>
  </si>
  <si>
    <t>G47</t>
  </si>
  <si>
    <t>G48</t>
  </si>
  <si>
    <t>G49</t>
  </si>
  <si>
    <t>G50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</si>
  <si>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</si>
  <si>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</si>
  <si>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</si>
  <si>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</si>
  <si>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</si>
  <si>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</si>
  <si>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</si>
  <si>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</si>
  <si>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</si>
  <si>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</si>
  <si>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</si>
  <si>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</si>
  <si>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</si>
  <si>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</si>
  <si>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</si>
  <si>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</si>
  <si>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</si>
  <si>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</si>
  <si>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</si>
  <si>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</si>
  <si>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</si>
  <si>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</si>
  <si>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</si>
  <si>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</si>
  <si>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</si>
  <si>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</si>
  <si>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</si>
  <si>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</si>
  <si>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</si>
  <si>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</si>
  <si>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</si>
  <si>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</si>
  <si>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</si>
  <si>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</si>
  <si>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</si>
  <si>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</si>
  <si>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</si>
  <si>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</si>
  <si>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</si>
  <si>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</si>
  <si>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</si>
  <si>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</si>
  <si>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</si>
  <si>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</si>
  <si>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</si>
  <si>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</si>
  <si>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</si>
  <si>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</si>
  <si>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</si>
  <si>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</si>
  <si>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</si>
  <si>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</si>
  <si>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</si>
  <si>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</si>
  <si>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</si>
  <si>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</si>
  <si>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</si>
  <si>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</si>
  <si>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</si>
  <si>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</si>
  <si>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</si>
  <si>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</si>
  <si>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</si>
  <si>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</si>
  <si>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</si>
  <si>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</si>
  <si>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</si>
  <si>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</si>
  <si>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</si>
  <si>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</si>
  <si>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</si>
  <si>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</si>
  <si>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</si>
  <si>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</si>
  <si>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</si>
  <si>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</si>
  <si>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</si>
  <si>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</si>
  <si>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</si>
  <si>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</si>
  <si>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</si>
  <si>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</si>
  <si>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1V5_SENSE_POS</t>
  </si>
  <si>
    <t>1V5_SENSE_NEG</t>
  </si>
  <si>
    <t>EC_ADC_REF13</t>
  </si>
  <si>
    <t>EC_ADC_REF14</t>
  </si>
  <si>
    <t>EC_ADC_REF15</t>
  </si>
  <si>
    <t>M/S = Medium / Short(Long) side of stave*</t>
  </si>
  <si>
    <t>*S is DataFlex-Short, except for on stave-0 is DataFlex-Long</t>
  </si>
  <si>
    <t>BLACK is DataFlex-S, except on Stave 0 where it is DataFlex-L</t>
  </si>
  <si>
    <t>Inactive GBTx:  # (BP slot ID)</t>
  </si>
  <si>
    <r>
      <t xml:space="preserve">2(2b), </t>
    </r>
    <r>
      <rPr>
        <sz val="10"/>
        <color theme="3" tint="0.39997558519241921"/>
        <rFont val="Symbol"/>
        <family val="1"/>
        <charset val="2"/>
      </rPr>
      <t>2(2b)</t>
    </r>
    <r>
      <rPr>
        <sz val="10"/>
        <color indexed="8"/>
        <rFont val="Symbol"/>
        <family val="1"/>
        <charset val="2"/>
      </rPr>
      <t xml:space="preserve">, 2(3b), </t>
    </r>
    <r>
      <rPr>
        <sz val="10"/>
        <color theme="3" tint="0.39997558519241921"/>
        <rFont val="Symbol"/>
        <family val="1"/>
        <charset val="2"/>
      </rPr>
      <t>2(3b)</t>
    </r>
  </si>
  <si>
    <t>1(3a),1(2a)</t>
  </si>
  <si>
    <t>Note: Diagram above  is conceptual and not up to date</t>
  </si>
  <si>
    <t>4(3a)</t>
  </si>
  <si>
    <r>
      <t xml:space="preserve">2(2g), </t>
    </r>
    <r>
      <rPr>
        <sz val="10"/>
        <color theme="3" tint="0.39997558519241921"/>
        <rFont val="Symbol"/>
        <family val="1"/>
        <charset val="2"/>
      </rPr>
      <t>2(2g)</t>
    </r>
    <r>
      <rPr>
        <sz val="10"/>
        <color indexed="8"/>
        <rFont val="Symbol"/>
        <family val="1"/>
        <charset val="2"/>
      </rPr>
      <t xml:space="preserve">, 2(3g), </t>
    </r>
    <r>
      <rPr>
        <sz val="10"/>
        <color theme="3" tint="0.39997558519241921"/>
        <rFont val="Symbol"/>
        <family val="1"/>
        <charset val="2"/>
      </rPr>
      <t>2(3g)</t>
    </r>
    <r>
      <rPr>
        <sz val="10"/>
        <color indexed="8"/>
        <rFont val="Symbol"/>
        <family val="1"/>
        <charset val="2"/>
      </rPr>
      <t>, 2(4g), 2</t>
    </r>
    <r>
      <rPr>
        <sz val="10"/>
        <color theme="3" tint="0.39997558519241921"/>
        <rFont val="Symbol"/>
        <family val="1"/>
        <charset val="2"/>
      </rPr>
      <t>(4g)</t>
    </r>
  </si>
  <si>
    <t>M</t>
  </si>
  <si>
    <t>01 - 1</t>
  </si>
  <si>
    <t>01 - 2</t>
  </si>
  <si>
    <t>01 - 3</t>
  </si>
  <si>
    <t>01 - 4</t>
  </si>
  <si>
    <t>01 - 5</t>
  </si>
  <si>
    <t>01 - 6</t>
  </si>
  <si>
    <t>03 - 1</t>
  </si>
  <si>
    <t>03 - 2</t>
  </si>
  <si>
    <t>03 - 3</t>
  </si>
  <si>
    <t>05 - 5</t>
  </si>
  <si>
    <t>03 - 6</t>
  </si>
  <si>
    <t>03 - 4</t>
  </si>
  <si>
    <t>03 - 5</t>
  </si>
  <si>
    <t>05 - 1</t>
  </si>
  <si>
    <t>05 - 2</t>
  </si>
  <si>
    <t>05 - 3</t>
  </si>
  <si>
    <t>05 - 4</t>
  </si>
  <si>
    <t>05 - 6</t>
  </si>
  <si>
    <t>06 - 1</t>
  </si>
  <si>
    <t>06 - 2</t>
  </si>
  <si>
    <t>06 - 3</t>
  </si>
  <si>
    <t>06 - 4</t>
  </si>
  <si>
    <t>06 - 5</t>
  </si>
  <si>
    <t>06 - 6</t>
  </si>
  <si>
    <t>07 - 1</t>
  </si>
  <si>
    <t>07 - 2</t>
  </si>
  <si>
    <t>07 - 3</t>
  </si>
  <si>
    <t>07 - 4</t>
  </si>
  <si>
    <t>07 - 5</t>
  </si>
  <si>
    <t>07 - 6</t>
  </si>
  <si>
    <t>08 - 1</t>
  </si>
  <si>
    <t>08 - 2</t>
  </si>
  <si>
    <t>08 - 3</t>
  </si>
  <si>
    <t>08 - 4</t>
  </si>
  <si>
    <t>08 - 5</t>
  </si>
  <si>
    <t>08 - 6</t>
  </si>
  <si>
    <t>09 - 1</t>
  </si>
  <si>
    <t>09 - 2</t>
  </si>
  <si>
    <t>09 - 3</t>
  </si>
  <si>
    <t>09 - 4</t>
  </si>
  <si>
    <t>09 - 5</t>
  </si>
  <si>
    <t>09 - 6</t>
  </si>
  <si>
    <t>10 - 1</t>
  </si>
  <si>
    <t>10 - 2</t>
  </si>
  <si>
    <t>10 - 3</t>
  </si>
  <si>
    <t>10 - 4</t>
  </si>
  <si>
    <t>10 - 5</t>
  </si>
  <si>
    <t>10 - 6</t>
  </si>
  <si>
    <t>11 - 1</t>
  </si>
  <si>
    <t>11 - 2</t>
  </si>
  <si>
    <t>11 - 3</t>
  </si>
  <si>
    <t>11 - 4</t>
  </si>
  <si>
    <t>11 - 5</t>
  </si>
  <si>
    <t>11 - 6</t>
  </si>
  <si>
    <t>I23</t>
  </si>
  <si>
    <t>J23</t>
  </si>
  <si>
    <t>J22</t>
  </si>
  <si>
    <t>J27</t>
  </si>
  <si>
    <t>I26</t>
  </si>
  <si>
    <t>I04</t>
  </si>
  <si>
    <t>J04</t>
  </si>
  <si>
    <t>J12</t>
  </si>
  <si>
    <t>I03</t>
  </si>
  <si>
    <t>H08</t>
  </si>
  <si>
    <t>I09</t>
  </si>
  <si>
    <t>A09</t>
  </si>
  <si>
    <t>B09</t>
  </si>
  <si>
    <t>B05</t>
  </si>
  <si>
    <t>A07</t>
  </si>
  <si>
    <t>B08</t>
  </si>
  <si>
    <t>C05</t>
  </si>
  <si>
    <t>D05</t>
  </si>
  <si>
    <t>01 / S - 0</t>
  </si>
  <si>
    <t>02 / X - 1</t>
  </si>
  <si>
    <t>04 / X - 2</t>
  </si>
  <si>
    <t>05 / S - 2</t>
  </si>
  <si>
    <t>06 / X - 3</t>
  </si>
  <si>
    <t>07 / S - 3</t>
  </si>
  <si>
    <t>08 / X - 4</t>
  </si>
  <si>
    <t>09 / S - 4</t>
  </si>
  <si>
    <t>00 / X - 0</t>
  </si>
  <si>
    <t>03 / S -1</t>
  </si>
  <si>
    <t>03 / S - 1</t>
  </si>
  <si>
    <t>10 / X - 5</t>
  </si>
  <si>
    <t>11 / S - 5</t>
  </si>
  <si>
    <t>00|01</t>
  </si>
  <si>
    <t>02|03</t>
  </si>
  <si>
    <t>04|05</t>
  </si>
  <si>
    <t>06|07</t>
  </si>
  <si>
    <t>04|05|08</t>
  </si>
  <si>
    <t>E14/B24|A05/E14|I27</t>
  </si>
  <si>
    <t>08|09</t>
  </si>
  <si>
    <t>A05/E14/B24|I27/A05/E14</t>
  </si>
  <si>
    <t>10|11</t>
  </si>
  <si>
    <t>06|07|11</t>
  </si>
  <si>
    <t>A05/E14|E14/B24|I27</t>
  </si>
  <si>
    <t>I27/A05/E14|A05/E14/B24</t>
  </si>
  <si>
    <t>A05/E14/B24|B24</t>
  </si>
  <si>
    <t>I27|I27/A05</t>
  </si>
  <si>
    <t>I27/A05|I27</t>
  </si>
  <si>
    <t>E14/B24|A05/E14/B24</t>
  </si>
  <si>
    <t>00 / X-0-M</t>
  </si>
  <si>
    <t>01 / X-0-S</t>
  </si>
  <si>
    <t>02 / S-0-S</t>
  </si>
  <si>
    <t>03 / S-0-M</t>
  </si>
  <si>
    <t>04 / X-1-M</t>
  </si>
  <si>
    <t>05 / X-1-S</t>
  </si>
  <si>
    <t>06 / S-1-S</t>
  </si>
  <si>
    <t>07 / S-1-M</t>
  </si>
  <si>
    <t>08 / X-2-M</t>
  </si>
  <si>
    <t>09 / X-2-S</t>
  </si>
  <si>
    <t>10 / S-2-S</t>
  </si>
  <si>
    <t>11 / S-2-M</t>
  </si>
  <si>
    <t>SEAM pin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</si>
</sst>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0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  <font>
      <b/>
      <sz val="14"/>
      <color rgb="FFEA0202"/>
      <name val="Calibri"/>
      <family val="2"/>
      <scheme val="minor"/>
    </font>
    <font>
      <sz val="12"/>
      <color theme="5"/>
      <name val="Calibri"/>
      <family val="2"/>
      <scheme val="minor"/>
    </font>
    <font>
      <b/>
      <sz val="12"/>
      <color rgb="FFEA0202"/>
      <name val="Calibri"/>
      <family val="2"/>
      <scheme val="minor"/>
    </font>
    <font>
      <sz val="12"/>
      <color theme="1"/>
      <name val="Calibri"/>
      <family val="2"/>
    </font>
    <font>
      <sz val="14"/>
      <color rgb="FF3366FF"/>
      <name val="STIXGeneral-Regular"/>
    </font>
    <font>
      <sz val="14"/>
      <color theme="0"/>
      <name val="Courier"/>
    </font>
    <font>
      <sz val="12"/>
      <color theme="0"/>
      <name val="Courier"/>
    </font>
    <font>
      <sz val="11"/>
      <color indexed="8"/>
      <name val="Calibri"/>
      <family val="2"/>
    </font>
    <font>
      <b/>
      <u/>
      <sz val="18"/>
      <color indexed="10"/>
      <name val="Calibri"/>
      <family val="2"/>
    </font>
    <font>
      <b/>
      <u/>
      <sz val="18"/>
      <name val="Calibri"/>
      <family val="2"/>
    </font>
    <font>
      <sz val="12"/>
      <color indexed="8"/>
      <name val="Symbol"/>
      <family val="1"/>
      <charset val="2"/>
    </font>
    <font>
      <b/>
      <sz val="12"/>
      <color indexed="54"/>
      <name val="Symbol"/>
      <family val="1"/>
      <charset val="2"/>
    </font>
    <font>
      <b/>
      <u/>
      <sz val="18"/>
      <color indexed="8"/>
      <name val="Calibri"/>
      <family val="2"/>
    </font>
    <font>
      <b/>
      <sz val="16"/>
      <color indexed="8"/>
      <name val="Symbol"/>
      <family val="1"/>
      <charset val="2"/>
    </font>
    <font>
      <b/>
      <sz val="11"/>
      <color indexed="8"/>
      <name val="Calibri"/>
      <family val="2"/>
    </font>
    <font>
      <b/>
      <sz val="12"/>
      <name val="Arial Black"/>
      <family val="2"/>
    </font>
    <font>
      <b/>
      <sz val="12"/>
      <name val="Symbol"/>
      <family val="1"/>
      <charset val="2"/>
    </font>
    <font>
      <b/>
      <sz val="11"/>
      <name val="Calibri"/>
      <family val="2"/>
    </font>
    <font>
      <sz val="10"/>
      <name val="Arial"/>
      <family val="2"/>
    </font>
    <font>
      <b/>
      <sz val="12"/>
      <color rgb="FF000000"/>
      <name val="Calibri"/>
      <family val="2"/>
    </font>
    <font>
      <b/>
      <sz val="12"/>
      <color indexed="8"/>
      <name val="Calibri"/>
      <family val="2"/>
    </font>
    <font>
      <b/>
      <sz val="12"/>
      <color rgb="FF538DD5"/>
      <name val="Calibri"/>
      <family val="2"/>
    </font>
    <font>
      <b/>
      <sz val="12"/>
      <color rgb="FFFF0000"/>
      <name val="Calibri"/>
      <family val="2"/>
    </font>
    <font>
      <b/>
      <sz val="12"/>
      <name val="Calibri"/>
      <family val="2"/>
    </font>
    <font>
      <b/>
      <sz val="12"/>
      <color theme="9" tint="-0.249977111117893"/>
      <name val="Calibri"/>
      <family val="2"/>
    </font>
    <font>
      <b/>
      <u/>
      <sz val="16"/>
      <color indexed="8"/>
      <name val="Calibri"/>
      <family val="2"/>
    </font>
    <font>
      <b/>
      <u/>
      <sz val="11"/>
      <color indexed="8"/>
      <name val="Calibri"/>
      <family val="2"/>
    </font>
    <font>
      <u/>
      <sz val="12"/>
      <color indexed="8"/>
      <name val="Calibri"/>
      <family val="2"/>
    </font>
    <font>
      <sz val="12"/>
      <color indexed="8"/>
      <name val="Calibri"/>
      <family val="2"/>
    </font>
    <font>
      <sz val="8"/>
      <color indexed="8"/>
      <name val="Symbol"/>
      <family val="1"/>
      <charset val="2"/>
    </font>
    <font>
      <sz val="8"/>
      <name val="Symbol"/>
      <family val="1"/>
      <charset val="2"/>
    </font>
    <font>
      <sz val="8"/>
      <color theme="3" tint="0.39997558519241921"/>
      <name val="Symbol"/>
      <family val="1"/>
      <charset val="2"/>
    </font>
    <font>
      <sz val="8"/>
      <color theme="9" tint="-0.499984740745262"/>
      <name val="Arial"/>
      <family val="2"/>
    </font>
    <font>
      <sz val="8"/>
      <color indexed="8"/>
      <name val="Calibri"/>
      <family val="2"/>
    </font>
    <font>
      <sz val="8"/>
      <color rgb="FFFF0000"/>
      <name val="Symbol"/>
      <family val="1"/>
      <charset val="2"/>
    </font>
    <font>
      <sz val="8"/>
      <color theme="9" tint="-0.499984740745262"/>
      <name val="Symbol"/>
      <family val="1"/>
      <charset val="2"/>
    </font>
    <font>
      <sz val="8"/>
      <color theme="9" tint="-0.499984740745262"/>
      <name val="Times New Roman"/>
      <family val="1"/>
    </font>
    <font>
      <b/>
      <sz val="11"/>
      <color theme="9" tint="-0.499984740745262"/>
      <name val="Calibri"/>
      <family val="2"/>
    </font>
    <font>
      <sz val="10"/>
      <color indexed="8"/>
      <name val="Calibri"/>
      <family val="2"/>
    </font>
    <font>
      <sz val="10"/>
      <color theme="3" tint="0.39997558519241921"/>
      <name val="Calibri"/>
      <family val="2"/>
    </font>
    <font>
      <i/>
      <sz val="10"/>
      <color indexed="8"/>
      <name val="Symbol"/>
      <family val="1"/>
      <charset val="2"/>
    </font>
    <font>
      <sz val="10"/>
      <color indexed="8"/>
      <name val="Symbol"/>
      <family val="1"/>
      <charset val="2"/>
    </font>
    <font>
      <sz val="10"/>
      <color theme="3" tint="0.39997558519241921"/>
      <name val="Symbol"/>
      <family val="1"/>
      <charset val="2"/>
    </font>
    <font>
      <b/>
      <sz val="11"/>
      <color theme="3" tint="0.39997558519241921"/>
      <name val="Calibri"/>
      <family val="2"/>
    </font>
    <font>
      <sz val="10"/>
      <color rgb="FFFF0000"/>
      <name val="Symbol"/>
      <family val="1"/>
      <charset val="2"/>
    </font>
    <font>
      <b/>
      <sz val="11"/>
      <color theme="5" tint="-0.249977111117893"/>
      <name val="Calibri"/>
      <family val="2"/>
    </font>
    <font>
      <sz val="11"/>
      <color theme="7"/>
      <name val="Calibri"/>
      <family val="2"/>
    </font>
    <font>
      <b/>
      <sz val="11"/>
      <color theme="6" tint="-0.499984740745262"/>
      <name val="Calibri"/>
      <family val="2"/>
    </font>
    <font>
      <b/>
      <sz val="14"/>
      <color indexed="8"/>
      <name val="Calibri"/>
      <family val="2"/>
    </font>
    <font>
      <b/>
      <sz val="11"/>
      <color theme="9" tint="-0.249977111117893"/>
      <name val="Calibri"/>
      <family val="2"/>
    </font>
    <font>
      <b/>
      <sz val="11"/>
      <color theme="4" tint="-0.249977111117893"/>
      <name val="Calibri"/>
      <family val="2"/>
    </font>
    <font>
      <sz val="10"/>
      <name val="Symbol"/>
      <family val="1"/>
      <charset val="2"/>
    </font>
    <font>
      <b/>
      <u/>
      <sz val="12"/>
      <color indexed="8"/>
      <name val="Calibri"/>
      <family val="2"/>
    </font>
    <font>
      <sz val="1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403151"/>
      <name val="Calibri"/>
      <family val="2"/>
      <scheme val="minor"/>
    </font>
    <font>
      <b/>
      <sz val="12"/>
      <color rgb="FF3366FF"/>
      <name val="Calibri"/>
      <family val="2"/>
      <scheme val="minor"/>
    </font>
    <font>
      <sz val="10"/>
      <color rgb="FFFF0000"/>
      <name val="Calibri"/>
      <family val="2"/>
    </font>
    <font>
      <b/>
      <sz val="12"/>
      <color rgb="FFFF0000"/>
      <name val="Calibri"/>
      <family val="2"/>
      <scheme val="minor"/>
    </font>
    <font>
      <sz val="12"/>
      <color rgb="FF3366FF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u/>
      <sz val="12"/>
      <color theme="5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  <font>
      <b/>
      <sz val="12"/>
      <color rgb="FF40315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u/>
      <sz val="12"/>
      <color theme="0"/>
      <name val="Calibri"/>
      <family val="2"/>
      <scheme val="minor"/>
    </font>
    <font>
      <u/>
      <sz val="12"/>
      <color theme="4" tint="0.59999389629810485"/>
      <name val="Calibri"/>
      <family val="2"/>
      <scheme val="minor"/>
    </font>
    <font>
      <sz val="12"/>
      <color rgb="FFFFC000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6" tint="-0.249977111117893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u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u/>
      <sz val="12"/>
      <color rgb="FF3366FF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rgb="FF0070C0"/>
      <name val="Calibri"/>
      <family val="2"/>
      <scheme val="minor"/>
    </font>
    <font>
      <b/>
      <u/>
      <sz val="12"/>
      <color theme="6" tint="-0.249977111117893"/>
      <name val="Calibri"/>
      <family val="2"/>
      <scheme val="minor"/>
    </font>
    <font>
      <b/>
      <u/>
      <sz val="12"/>
      <color theme="5" tint="-0.249977111117893"/>
      <name val="Calibri"/>
      <family val="2"/>
      <scheme val="minor"/>
    </font>
    <font>
      <b/>
      <u/>
      <sz val="12"/>
      <color rgb="FF7030A0"/>
      <name val="Calibri"/>
      <family val="2"/>
      <scheme val="minor"/>
    </font>
    <font>
      <u/>
      <sz val="12"/>
      <color rgb="FF7030A0"/>
      <name val="Calibri"/>
      <family val="2"/>
      <scheme val="minor"/>
    </font>
    <font>
      <b/>
      <u/>
      <sz val="12"/>
      <color theme="9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rgb="FF00B050"/>
      <name val="Calibri"/>
      <family val="2"/>
      <scheme val="minor"/>
    </font>
    <font>
      <b/>
      <u/>
      <sz val="12"/>
      <color theme="7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5" tint="-0.249977111117893"/>
      <name val="Calibri"/>
      <family val="2"/>
    </font>
    <font>
      <sz val="11"/>
      <color theme="6" tint="-0.499984740745262"/>
      <name val="Calibri"/>
      <family val="2"/>
    </font>
    <font>
      <sz val="11"/>
      <color theme="9" tint="-0.249977111117893"/>
      <name val="Calibri"/>
      <family val="2"/>
    </font>
    <font>
      <sz val="11"/>
      <color theme="4" tint="-0.249977111117893"/>
      <name val="Calibri"/>
      <family val="2"/>
    </font>
    <font>
      <u/>
      <sz val="12"/>
      <color rgb="FF3366FF"/>
      <name val="Calibri"/>
      <family val="2"/>
    </font>
    <font>
      <u/>
      <sz val="12"/>
      <color theme="1"/>
      <name val="Calibri"/>
      <family val="2"/>
    </font>
    <font>
      <sz val="12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u/>
      <sz val="12"/>
      <color theme="0" tint="-0.249977111117893"/>
      <name val="Calibri"/>
      <family val="2"/>
      <scheme val="minor"/>
    </font>
    <font>
      <u/>
      <sz val="12"/>
      <color theme="3" tint="0.79998168889431442"/>
      <name val="Calibri"/>
      <family val="2"/>
      <scheme val="minor"/>
    </font>
    <font>
      <sz val="12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ED58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D607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3"/>
        <bgColor indexed="34"/>
      </patternFill>
    </fill>
    <fill>
      <patternFill patternType="solid">
        <fgColor indexed="50"/>
        <bgColor indexed="22"/>
      </patternFill>
    </fill>
    <fill>
      <patternFill patternType="solid">
        <fgColor rgb="FF92D050"/>
        <bgColor indexed="22"/>
      </patternFill>
    </fill>
    <fill>
      <patternFill patternType="solid">
        <fgColor rgb="FF92D050"/>
        <bgColor theme="0" tint="-0.24994659260841701"/>
      </patternFill>
    </fill>
    <fill>
      <patternFill patternType="solid">
        <fgColor rgb="FFFFFF00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ED58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122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indexed="8"/>
      </top>
      <bottom/>
      <diagonal/>
    </border>
    <border>
      <left style="medium">
        <color auto="1"/>
      </left>
      <right style="medium">
        <color indexed="8"/>
      </right>
      <top style="medium">
        <color auto="1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auto="1"/>
      </top>
      <bottom style="medium">
        <color indexed="8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rgb="FF000000"/>
      </bottom>
      <diagonal/>
    </border>
    <border>
      <left/>
      <right style="medium">
        <color auto="1"/>
      </right>
      <top/>
      <bottom style="medium">
        <color rgb="FF000000"/>
      </bottom>
      <diagonal/>
    </border>
    <border>
      <left style="medium">
        <color auto="1"/>
      </left>
      <right style="medium">
        <color indexed="8"/>
      </right>
      <top style="medium">
        <color indexed="8"/>
      </top>
      <bottom style="medium">
        <color auto="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/>
      <bottom style="medium">
        <color auto="1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medium">
        <color auto="1"/>
      </top>
      <bottom style="thick">
        <color theme="1"/>
      </bottom>
      <diagonal/>
    </border>
    <border>
      <left/>
      <right/>
      <top style="medium">
        <color auto="1"/>
      </top>
      <bottom style="thick">
        <color theme="1"/>
      </bottom>
      <diagonal/>
    </border>
    <border>
      <left/>
      <right style="thick">
        <color auto="1"/>
      </right>
      <top style="medium">
        <color auto="1"/>
      </top>
      <bottom style="thick">
        <color theme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ck">
        <color theme="1"/>
      </top>
      <bottom/>
      <diagonal/>
    </border>
    <border>
      <left/>
      <right/>
      <top style="thick">
        <color theme="1"/>
      </top>
      <bottom style="thick">
        <color theme="1"/>
      </bottom>
      <diagonal/>
    </border>
    <border>
      <left/>
      <right style="thick">
        <color auto="1"/>
      </right>
      <top style="thick">
        <color theme="1"/>
      </top>
      <bottom/>
      <diagonal/>
    </border>
    <border>
      <left style="thick">
        <color auto="1"/>
      </left>
      <right/>
      <top style="thick">
        <color theme="1"/>
      </top>
      <bottom style="thick">
        <color theme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theme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8"/>
      </left>
      <right/>
      <top/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ck">
        <color theme="1"/>
      </right>
      <top/>
      <bottom/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8"/>
      </left>
      <right style="medium">
        <color rgb="FF000000"/>
      </right>
      <top style="medium">
        <color auto="1"/>
      </top>
      <bottom/>
      <diagonal/>
    </border>
    <border>
      <left style="medium">
        <color indexed="8"/>
      </left>
      <right style="medium">
        <color rgb="FF000000"/>
      </right>
      <top/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ck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ck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ck">
        <color theme="1"/>
      </top>
      <bottom/>
      <diagonal/>
    </border>
    <border>
      <left style="thin">
        <color theme="1"/>
      </left>
      <right style="thin">
        <color theme="1"/>
      </right>
      <top style="thick">
        <color theme="1"/>
      </top>
      <bottom/>
      <diagonal/>
    </border>
    <border>
      <left style="thin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ck">
        <color theme="1"/>
      </right>
      <top style="thin">
        <color theme="1"/>
      </top>
      <bottom/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ck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n">
        <color theme="1"/>
      </bottom>
      <diagonal/>
    </border>
    <border>
      <left style="thick">
        <color theme="1"/>
      </left>
      <right style="thick">
        <color theme="1"/>
      </right>
      <top style="thin">
        <color theme="1"/>
      </top>
      <bottom style="thick">
        <color theme="1"/>
      </bottom>
      <diagonal/>
    </border>
    <border>
      <left style="thick">
        <color theme="1"/>
      </left>
      <right style="thick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ck">
        <color theme="1"/>
      </right>
      <top/>
      <bottom style="thick">
        <color theme="1"/>
      </bottom>
      <diagonal/>
    </border>
    <border>
      <left style="thin">
        <color theme="1"/>
      </left>
      <right/>
      <top style="thin">
        <color theme="1"/>
      </top>
      <bottom style="thick">
        <color theme="1"/>
      </bottom>
      <diagonal/>
    </border>
    <border>
      <left style="thick">
        <color theme="1"/>
      </left>
      <right/>
      <top style="thick">
        <color theme="1"/>
      </top>
      <bottom style="thick">
        <color theme="1"/>
      </bottom>
      <diagonal/>
    </border>
    <border>
      <left/>
      <right style="thick">
        <color auto="1"/>
      </right>
      <top style="thick">
        <color theme="1"/>
      </top>
      <bottom style="thick">
        <color theme="1"/>
      </bottom>
      <diagonal/>
    </border>
    <border>
      <left/>
      <right style="thin">
        <color theme="1"/>
      </right>
      <top style="thick">
        <color theme="1"/>
      </top>
      <bottom/>
      <diagonal/>
    </border>
    <border>
      <left/>
      <right style="thin">
        <color theme="1"/>
      </right>
      <top style="thick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ck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ck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11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3" fillId="0" borderId="0"/>
    <xf numFmtId="0" fontId="2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95" fillId="0" borderId="0"/>
  </cellStyleXfs>
  <cellXfs count="528">
    <xf numFmtId="0" fontId="0" fillId="0" borderId="0" xfId="0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2" fillId="4" borderId="9" xfId="0" applyFont="1" applyFill="1" applyBorder="1" applyAlignment="1" applyProtection="1">
      <alignment horizontal="center" vertical="center" wrapText="1"/>
      <protection locked="0"/>
    </xf>
    <xf numFmtId="0" fontId="2" fillId="4" borderId="10" xfId="0" applyFont="1" applyFill="1" applyBorder="1" applyAlignment="1" applyProtection="1">
      <alignment horizontal="center" vertical="center"/>
      <protection locked="0"/>
    </xf>
    <xf numFmtId="0" fontId="2" fillId="4" borderId="10" xfId="0" applyFont="1" applyFill="1" applyBorder="1" applyAlignment="1" applyProtection="1">
      <alignment horizontal="center" vertical="center" wrapText="1"/>
      <protection locked="0"/>
    </xf>
    <xf numFmtId="0" fontId="2" fillId="4" borderId="15" xfId="0" applyFont="1" applyFill="1" applyBorder="1" applyAlignment="1" applyProtection="1">
      <alignment horizontal="center" vertical="center" wrapText="1"/>
      <protection locked="0"/>
    </xf>
    <xf numFmtId="0" fontId="2" fillId="4" borderId="11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1" fillId="0" borderId="8" xfId="0" applyFont="1" applyBorder="1" applyAlignment="1" applyProtection="1">
      <alignment horizontal="center"/>
      <protection locked="0"/>
    </xf>
    <xf numFmtId="0" fontId="0" fillId="0" borderId="0" xfId="0" applyAlignment="1" applyProtection="1">
      <protection locked="0"/>
    </xf>
    <xf numFmtId="0" fontId="2" fillId="0" borderId="0" xfId="0" applyFont="1" applyAlignment="1" applyProtection="1">
      <protection locked="0"/>
    </xf>
    <xf numFmtId="0" fontId="7" fillId="2" borderId="0" xfId="0" applyFont="1" applyFill="1" applyBorder="1" applyAlignment="1" applyProtection="1">
      <alignment horizontal="center"/>
      <protection locked="0"/>
    </xf>
    <xf numFmtId="0" fontId="9" fillId="0" borderId="0" xfId="0" applyFont="1" applyAlignment="1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" fillId="4" borderId="2" xfId="0" applyFont="1" applyFill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/>
    </xf>
    <xf numFmtId="0" fontId="12" fillId="7" borderId="16" xfId="0" applyFont="1" applyFill="1" applyBorder="1" applyAlignment="1" applyProtection="1">
      <alignment horizontal="center"/>
      <protection locked="0"/>
    </xf>
    <xf numFmtId="0" fontId="13" fillId="0" borderId="0" xfId="15" applyBorder="1" applyAlignment="1">
      <alignment horizontal="left" vertical="center"/>
    </xf>
    <xf numFmtId="0" fontId="13" fillId="0" borderId="0" xfId="15" applyAlignment="1">
      <alignment horizontal="left" vertical="center"/>
    </xf>
    <xf numFmtId="0" fontId="14" fillId="0" borderId="0" xfId="15" applyFont="1" applyBorder="1" applyAlignment="1">
      <alignment horizontal="left" vertical="center"/>
    </xf>
    <xf numFmtId="0" fontId="13" fillId="0" borderId="22" xfId="15" applyBorder="1" applyAlignment="1">
      <alignment horizontal="left" vertical="center"/>
    </xf>
    <xf numFmtId="0" fontId="16" fillId="0" borderId="0" xfId="15" applyFont="1" applyBorder="1" applyAlignment="1">
      <alignment horizontal="left" vertical="center"/>
    </xf>
    <xf numFmtId="0" fontId="17" fillId="0" borderId="0" xfId="15" applyFont="1" applyBorder="1" applyAlignment="1">
      <alignment horizontal="left" vertical="center"/>
    </xf>
    <xf numFmtId="0" fontId="18" fillId="0" borderId="0" xfId="15" applyFont="1" applyBorder="1" applyAlignment="1">
      <alignment horizontal="left" vertical="center"/>
    </xf>
    <xf numFmtId="0" fontId="19" fillId="0" borderId="0" xfId="15" applyFont="1" applyAlignment="1">
      <alignment horizontal="left" vertical="center"/>
    </xf>
    <xf numFmtId="0" fontId="13" fillId="0" borderId="0" xfId="15" applyBorder="1"/>
    <xf numFmtId="0" fontId="20" fillId="0" borderId="12" xfId="15" applyFont="1" applyBorder="1" applyAlignment="1">
      <alignment horizontal="center"/>
    </xf>
    <xf numFmtId="0" fontId="13" fillId="3" borderId="12" xfId="15" applyFill="1" applyBorder="1" applyAlignment="1">
      <alignment horizontal="left" vertical="center"/>
    </xf>
    <xf numFmtId="0" fontId="21" fillId="3" borderId="13" xfId="15" applyFont="1" applyFill="1" applyBorder="1" applyAlignment="1">
      <alignment horizontal="right" vertical="center"/>
    </xf>
    <xf numFmtId="0" fontId="21" fillId="3" borderId="13" xfId="15" applyFont="1" applyFill="1" applyBorder="1" applyAlignment="1">
      <alignment horizontal="center" vertical="center"/>
    </xf>
    <xf numFmtId="0" fontId="21" fillId="3" borderId="13" xfId="15" applyFont="1" applyFill="1" applyBorder="1" applyAlignment="1">
      <alignment horizontal="left" vertical="center"/>
    </xf>
    <xf numFmtId="0" fontId="23" fillId="3" borderId="13" xfId="15" applyFont="1" applyFill="1" applyBorder="1" applyAlignment="1">
      <alignment horizontal="left" vertical="center"/>
    </xf>
    <xf numFmtId="0" fontId="18" fillId="3" borderId="14" xfId="15" applyFont="1" applyFill="1" applyBorder="1" applyAlignment="1">
      <alignment horizontal="left" vertical="center"/>
    </xf>
    <xf numFmtId="0" fontId="27" fillId="0" borderId="25" xfId="16" applyFont="1" applyFill="1" applyBorder="1" applyAlignment="1">
      <alignment horizontal="center" vertical="center" wrapText="1"/>
    </xf>
    <xf numFmtId="0" fontId="13" fillId="0" borderId="13" xfId="15" applyBorder="1" applyAlignment="1">
      <alignment horizontal="center" vertical="center"/>
    </xf>
    <xf numFmtId="0" fontId="13" fillId="0" borderId="14" xfId="15" applyBorder="1" applyAlignment="1">
      <alignment horizontal="center" vertical="center"/>
    </xf>
    <xf numFmtId="0" fontId="13" fillId="0" borderId="0" xfId="15"/>
    <xf numFmtId="0" fontId="31" fillId="0" borderId="7" xfId="15" applyFont="1" applyBorder="1" applyAlignment="1">
      <alignment vertical="center"/>
    </xf>
    <xf numFmtId="0" fontId="31" fillId="0" borderId="4" xfId="15" applyFont="1" applyBorder="1" applyAlignment="1">
      <alignment vertical="center"/>
    </xf>
    <xf numFmtId="0" fontId="32" fillId="0" borderId="5" xfId="15" applyFont="1" applyBorder="1" applyAlignment="1">
      <alignment horizontal="right" vertical="center"/>
    </xf>
    <xf numFmtId="0" fontId="13" fillId="0" borderId="5" xfId="15" applyBorder="1"/>
    <xf numFmtId="0" fontId="13" fillId="0" borderId="6" xfId="15" applyBorder="1"/>
    <xf numFmtId="0" fontId="29" fillId="0" borderId="30" xfId="16" applyFont="1" applyFill="1" applyBorder="1" applyAlignment="1">
      <alignment horizontal="center" vertical="center" wrapText="1"/>
    </xf>
    <xf numFmtId="0" fontId="13" fillId="0" borderId="8" xfId="15" applyBorder="1"/>
    <xf numFmtId="0" fontId="31" fillId="0" borderId="0" xfId="15" applyFont="1" applyBorder="1" applyAlignment="1">
      <alignment vertical="center"/>
    </xf>
    <xf numFmtId="0" fontId="20" fillId="0" borderId="0" xfId="15" applyFont="1" applyBorder="1" applyAlignment="1">
      <alignment horizontal="right"/>
    </xf>
    <xf numFmtId="0" fontId="34" fillId="0" borderId="0" xfId="15" applyFont="1" applyBorder="1"/>
    <xf numFmtId="0" fontId="13" fillId="0" borderId="0" xfId="15" applyBorder="1" applyAlignment="1">
      <alignment horizontal="center" vertical="center"/>
    </xf>
    <xf numFmtId="0" fontId="13" fillId="0" borderId="0" xfId="15" applyFill="1" applyBorder="1" applyAlignment="1">
      <alignment horizontal="center" vertical="center"/>
    </xf>
    <xf numFmtId="0" fontId="13" fillId="0" borderId="7" xfId="15" applyBorder="1"/>
    <xf numFmtId="0" fontId="20" fillId="0" borderId="0" xfId="15" applyFont="1" applyFill="1" applyBorder="1" applyAlignment="1">
      <alignment horizontal="right"/>
    </xf>
    <xf numFmtId="0" fontId="39" fillId="0" borderId="0" xfId="15" applyFont="1" applyBorder="1"/>
    <xf numFmtId="0" fontId="43" fillId="0" borderId="0" xfId="15" applyFont="1" applyBorder="1" applyAlignment="1">
      <alignment horizontal="left" vertical="center"/>
    </xf>
    <xf numFmtId="0" fontId="20" fillId="0" borderId="0" xfId="15" applyFont="1" applyAlignment="1">
      <alignment horizontal="right"/>
    </xf>
    <xf numFmtId="0" fontId="44" fillId="0" borderId="0" xfId="15" applyFont="1" applyBorder="1"/>
    <xf numFmtId="0" fontId="44" fillId="0" borderId="35" xfId="15" applyFont="1" applyBorder="1"/>
    <xf numFmtId="0" fontId="20" fillId="0" borderId="0" xfId="15" applyFont="1" applyBorder="1"/>
    <xf numFmtId="0" fontId="44" fillId="0" borderId="39" xfId="15" applyFont="1" applyBorder="1"/>
    <xf numFmtId="0" fontId="47" fillId="0" borderId="40" xfId="15" applyFont="1" applyBorder="1" applyAlignment="1">
      <alignment horizontal="left"/>
    </xf>
    <xf numFmtId="0" fontId="47" fillId="0" borderId="41" xfId="15" applyFont="1" applyBorder="1" applyAlignment="1"/>
    <xf numFmtId="0" fontId="47" fillId="0" borderId="42" xfId="15" applyFont="1" applyBorder="1" applyAlignment="1">
      <alignment horizontal="right" vertical="center"/>
    </xf>
    <xf numFmtId="0" fontId="47" fillId="0" borderId="43" xfId="15" applyFont="1" applyBorder="1" applyAlignment="1">
      <alignment horizontal="left"/>
    </xf>
    <xf numFmtId="0" fontId="49" fillId="0" borderId="0" xfId="15" applyFont="1" applyBorder="1" applyAlignment="1">
      <alignment horizontal="left" vertical="top"/>
    </xf>
    <xf numFmtId="0" fontId="13" fillId="0" borderId="0" xfId="15" applyBorder="1" applyAlignment="1">
      <alignment wrapText="1"/>
    </xf>
    <xf numFmtId="0" fontId="13" fillId="0" borderId="39" xfId="15" applyBorder="1"/>
    <xf numFmtId="0" fontId="13" fillId="0" borderId="35" xfId="15" applyBorder="1"/>
    <xf numFmtId="0" fontId="52" fillId="0" borderId="0" xfId="15" applyFont="1" applyBorder="1" applyAlignment="1">
      <alignment vertical="center" wrapText="1"/>
    </xf>
    <xf numFmtId="0" fontId="52" fillId="0" borderId="0" xfId="15" quotePrefix="1" applyFont="1" applyBorder="1" applyAlignment="1">
      <alignment horizontal="center" vertical="center"/>
    </xf>
    <xf numFmtId="0" fontId="52" fillId="0" borderId="0" xfId="15" applyFont="1" applyFill="1" applyBorder="1" applyAlignment="1">
      <alignment horizontal="center" vertical="center"/>
    </xf>
    <xf numFmtId="0" fontId="52" fillId="0" borderId="0" xfId="15" applyFont="1" applyBorder="1"/>
    <xf numFmtId="0" fontId="52" fillId="0" borderId="0" xfId="15" applyFont="1" applyBorder="1" applyAlignment="1">
      <alignment vertical="center"/>
    </xf>
    <xf numFmtId="0" fontId="20" fillId="0" borderId="7" xfId="15" applyFont="1" applyBorder="1" applyAlignment="1">
      <alignment horizontal="left"/>
    </xf>
    <xf numFmtId="0" fontId="54" fillId="0" borderId="0" xfId="15" applyFont="1" applyBorder="1"/>
    <xf numFmtId="0" fontId="26" fillId="0" borderId="0" xfId="15" applyFont="1" applyBorder="1" applyAlignment="1">
      <alignment horizontal="right"/>
    </xf>
    <xf numFmtId="0" fontId="26" fillId="0" borderId="0" xfId="15" applyFont="1" applyBorder="1" applyAlignment="1">
      <alignment horizontal="center" vertical="center"/>
    </xf>
    <xf numFmtId="0" fontId="13" fillId="0" borderId="0" xfId="15" applyAlignment="1">
      <alignment horizontal="center" vertical="center"/>
    </xf>
    <xf numFmtId="0" fontId="13" fillId="14" borderId="57" xfId="15" applyFill="1" applyBorder="1" applyAlignment="1">
      <alignment horizontal="center" vertical="center"/>
    </xf>
    <xf numFmtId="0" fontId="13" fillId="14" borderId="58" xfId="15" applyFill="1" applyBorder="1" applyAlignment="1">
      <alignment horizontal="right" vertical="center"/>
    </xf>
    <xf numFmtId="0" fontId="13" fillId="14" borderId="0" xfId="15" applyFill="1" applyBorder="1" applyAlignment="1">
      <alignment horizontal="center" vertical="center"/>
    </xf>
    <xf numFmtId="0" fontId="13" fillId="14" borderId="0" xfId="15" applyFont="1" applyFill="1" applyBorder="1" applyAlignment="1">
      <alignment horizontal="center" vertical="center"/>
    </xf>
    <xf numFmtId="0" fontId="13" fillId="14" borderId="0" xfId="15" applyFont="1" applyFill="1" applyBorder="1" applyAlignment="1">
      <alignment horizontal="right" vertical="center"/>
    </xf>
    <xf numFmtId="0" fontId="13" fillId="0" borderId="8" xfId="15" applyBorder="1" applyAlignment="1">
      <alignment horizontal="center" vertical="center"/>
    </xf>
    <xf numFmtId="0" fontId="13" fillId="0" borderId="7" xfId="15" applyBorder="1" applyAlignment="1">
      <alignment horizontal="center" vertical="center"/>
    </xf>
    <xf numFmtId="0" fontId="32" fillId="0" borderId="0" xfId="15" applyFont="1" applyBorder="1" applyAlignment="1">
      <alignment horizontal="center" vertical="center"/>
    </xf>
    <xf numFmtId="0" fontId="32" fillId="0" borderId="0" xfId="15" applyFont="1" applyBorder="1" applyAlignment="1">
      <alignment horizontal="center" vertical="center" wrapText="1"/>
    </xf>
    <xf numFmtId="0" fontId="13" fillId="0" borderId="8" xfId="15" applyFont="1" applyBorder="1" applyAlignment="1">
      <alignment horizontal="center" vertical="center"/>
    </xf>
    <xf numFmtId="0" fontId="20" fillId="0" borderId="12" xfId="15" applyFont="1" applyFill="1" applyBorder="1" applyAlignment="1">
      <alignment horizontal="right"/>
    </xf>
    <xf numFmtId="0" fontId="13" fillId="0" borderId="13" xfId="15" applyBorder="1"/>
    <xf numFmtId="0" fontId="13" fillId="0" borderId="14" xfId="15" applyFill="1" applyBorder="1" applyAlignment="1">
      <alignment horizontal="right"/>
    </xf>
    <xf numFmtId="0" fontId="13" fillId="0" borderId="34" xfId="15" applyFont="1" applyBorder="1" applyAlignment="1">
      <alignment horizontal="center" vertical="center"/>
    </xf>
    <xf numFmtId="0" fontId="13" fillId="0" borderId="60" xfId="15" applyFont="1" applyBorder="1" applyAlignment="1">
      <alignment horizontal="center" vertical="center"/>
    </xf>
    <xf numFmtId="0" fontId="13" fillId="0" borderId="32" xfId="15" applyFont="1" applyBorder="1" applyAlignment="1">
      <alignment horizontal="center" vertical="center"/>
    </xf>
    <xf numFmtId="0" fontId="13" fillId="0" borderId="20" xfId="15" applyBorder="1" applyAlignment="1">
      <alignment horizontal="center"/>
    </xf>
    <xf numFmtId="0" fontId="13" fillId="0" borderId="20" xfId="15" applyBorder="1" applyAlignment="1">
      <alignment horizontal="center" vertical="center"/>
    </xf>
    <xf numFmtId="0" fontId="13" fillId="0" borderId="8" xfId="15" applyFont="1" applyBorder="1" applyAlignment="1">
      <alignment horizontal="left"/>
    </xf>
    <xf numFmtId="0" fontId="13" fillId="14" borderId="7" xfId="15" applyFill="1" applyBorder="1"/>
    <xf numFmtId="0" fontId="13" fillId="14" borderId="0" xfId="15" applyFill="1" applyBorder="1" applyAlignment="1">
      <alignment horizontal="right"/>
    </xf>
    <xf numFmtId="0" fontId="13" fillId="14" borderId="8" xfId="15" applyFill="1" applyBorder="1" applyAlignment="1">
      <alignment horizontal="right"/>
    </xf>
    <xf numFmtId="0" fontId="13" fillId="14" borderId="34" xfId="15" applyFont="1" applyFill="1" applyBorder="1" applyAlignment="1">
      <alignment horizontal="center" vertical="center"/>
    </xf>
    <xf numFmtId="0" fontId="13" fillId="14" borderId="60" xfId="15" applyFont="1" applyFill="1" applyBorder="1" applyAlignment="1">
      <alignment horizontal="center" vertical="center"/>
    </xf>
    <xf numFmtId="0" fontId="13" fillId="14" borderId="32" xfId="15" applyFont="1" applyFill="1" applyBorder="1" applyAlignment="1">
      <alignment horizontal="center" vertical="center"/>
    </xf>
    <xf numFmtId="0" fontId="13" fillId="0" borderId="0" xfId="15" applyFill="1" applyBorder="1" applyAlignment="1">
      <alignment horizontal="right"/>
    </xf>
    <xf numFmtId="0" fontId="13" fillId="0" borderId="8" xfId="15" applyFill="1" applyBorder="1" applyAlignment="1">
      <alignment horizontal="right"/>
    </xf>
    <xf numFmtId="0" fontId="13" fillId="0" borderId="34" xfId="15" applyBorder="1" applyAlignment="1">
      <alignment horizontal="center" vertical="center"/>
    </xf>
    <xf numFmtId="0" fontId="13" fillId="0" borderId="60" xfId="15" applyBorder="1" applyAlignment="1">
      <alignment horizontal="center" vertical="center"/>
    </xf>
    <xf numFmtId="0" fontId="13" fillId="0" borderId="32" xfId="15" applyBorder="1" applyAlignment="1">
      <alignment horizontal="center" vertical="center"/>
    </xf>
    <xf numFmtId="0" fontId="13" fillId="14" borderId="34" xfId="15" applyFill="1" applyBorder="1" applyAlignment="1">
      <alignment horizontal="center"/>
    </xf>
    <xf numFmtId="0" fontId="13" fillId="14" borderId="60" xfId="15" applyFill="1" applyBorder="1" applyAlignment="1">
      <alignment horizontal="center"/>
    </xf>
    <xf numFmtId="0" fontId="13" fillId="0" borderId="34" xfId="15" applyBorder="1" applyAlignment="1">
      <alignment horizontal="center"/>
    </xf>
    <xf numFmtId="0" fontId="13" fillId="0" borderId="60" xfId="15" applyBorder="1" applyAlignment="1">
      <alignment horizontal="center"/>
    </xf>
    <xf numFmtId="0" fontId="13" fillId="0" borderId="32" xfId="15" applyBorder="1" applyAlignment="1">
      <alignment horizontal="center"/>
    </xf>
    <xf numFmtId="164" fontId="13" fillId="0" borderId="0" xfId="15" applyNumberFormat="1" applyBorder="1" applyAlignment="1">
      <alignment horizontal="center" vertical="center"/>
    </xf>
    <xf numFmtId="0" fontId="13" fillId="0" borderId="33" xfId="15" applyBorder="1" applyAlignment="1">
      <alignment horizontal="center"/>
    </xf>
    <xf numFmtId="0" fontId="13" fillId="0" borderId="4" xfId="15" applyBorder="1"/>
    <xf numFmtId="0" fontId="13" fillId="0" borderId="5" xfId="15" applyFill="1" applyBorder="1" applyAlignment="1">
      <alignment horizontal="right"/>
    </xf>
    <xf numFmtId="0" fontId="13" fillId="0" borderId="6" xfId="15" applyFill="1" applyBorder="1" applyAlignment="1">
      <alignment horizontal="right"/>
    </xf>
    <xf numFmtId="0" fontId="13" fillId="14" borderId="4" xfId="15" applyFill="1" applyBorder="1"/>
    <xf numFmtId="0" fontId="13" fillId="14" borderId="5" xfId="15" applyFill="1" applyBorder="1" applyAlignment="1">
      <alignment horizontal="right"/>
    </xf>
    <xf numFmtId="0" fontId="13" fillId="14" borderId="6" xfId="15" applyFill="1" applyBorder="1" applyAlignment="1">
      <alignment horizontal="right"/>
    </xf>
    <xf numFmtId="0" fontId="13" fillId="0" borderId="7" xfId="15" applyFill="1" applyBorder="1"/>
    <xf numFmtId="0" fontId="13" fillId="0" borderId="0" xfId="15" applyFill="1" applyBorder="1" applyAlignment="1">
      <alignment horizontal="center"/>
    </xf>
    <xf numFmtId="0" fontId="20" fillId="0" borderId="0" xfId="15" applyFont="1" applyFill="1" applyBorder="1" applyAlignment="1">
      <alignment horizontal="center"/>
    </xf>
    <xf numFmtId="0" fontId="20" fillId="0" borderId="0" xfId="15" applyFont="1" applyBorder="1" applyAlignment="1">
      <alignment horizontal="left" vertical="center"/>
    </xf>
    <xf numFmtId="0" fontId="13" fillId="0" borderId="0" xfId="15" applyBorder="1" applyAlignment="1">
      <alignment vertical="center"/>
    </xf>
    <xf numFmtId="0" fontId="20" fillId="0" borderId="0" xfId="15" applyFont="1" applyBorder="1" applyAlignment="1">
      <alignment horizontal="left"/>
    </xf>
    <xf numFmtId="0" fontId="20" fillId="0" borderId="0" xfId="15" applyFont="1" applyBorder="1" applyAlignment="1">
      <alignment horizontal="right" vertical="center"/>
    </xf>
    <xf numFmtId="0" fontId="13" fillId="0" borderId="7" xfId="15" applyBorder="1" applyAlignment="1">
      <alignment horizontal="right"/>
    </xf>
    <xf numFmtId="0" fontId="13" fillId="0" borderId="0" xfId="15" applyFill="1" applyBorder="1" applyAlignment="1">
      <alignment horizontal="left"/>
    </xf>
    <xf numFmtId="0" fontId="13" fillId="0" borderId="0" xfId="15" applyBorder="1" applyAlignment="1">
      <alignment horizontal="left"/>
    </xf>
    <xf numFmtId="0" fontId="13" fillId="0" borderId="0" xfId="15" quotePrefix="1" applyBorder="1"/>
    <xf numFmtId="0" fontId="13" fillId="0" borderId="0" xfId="15" applyFont="1" applyBorder="1" applyAlignment="1">
      <alignment horizontal="right"/>
    </xf>
    <xf numFmtId="0" fontId="32" fillId="0" borderId="0" xfId="15" applyFont="1" applyBorder="1" applyAlignment="1">
      <alignment horizontal="right"/>
    </xf>
    <xf numFmtId="0" fontId="13" fillId="0" borderId="61" xfId="15" applyBorder="1" applyAlignment="1">
      <alignment horizontal="right"/>
    </xf>
    <xf numFmtId="2" fontId="13" fillId="0" borderId="0" xfId="15" applyNumberFormat="1" applyBorder="1"/>
    <xf numFmtId="0" fontId="13" fillId="0" borderId="5" xfId="15" applyBorder="1" applyAlignment="1">
      <alignment horizontal="right"/>
    </xf>
    <xf numFmtId="0" fontId="13" fillId="0" borderId="5" xfId="15" applyBorder="1" applyAlignment="1">
      <alignment horizontal="center"/>
    </xf>
    <xf numFmtId="0" fontId="13" fillId="0" borderId="5" xfId="15" applyFont="1" applyBorder="1" applyAlignment="1">
      <alignment horizontal="right"/>
    </xf>
    <xf numFmtId="0" fontId="13" fillId="0" borderId="6" xfId="15" applyFont="1" applyBorder="1" applyAlignment="1">
      <alignment horizontal="left"/>
    </xf>
    <xf numFmtId="0" fontId="31" fillId="0" borderId="12" xfId="15" applyFont="1" applyBorder="1" applyAlignment="1">
      <alignment vertical="center"/>
    </xf>
    <xf numFmtId="0" fontId="20" fillId="0" borderId="13" xfId="15" applyFont="1" applyBorder="1" applyAlignment="1">
      <alignment horizontal="right"/>
    </xf>
    <xf numFmtId="0" fontId="32" fillId="0" borderId="0" xfId="15" applyFont="1" applyBorder="1" applyAlignment="1">
      <alignment horizontal="right" vertical="center"/>
    </xf>
    <xf numFmtId="0" fontId="20" fillId="0" borderId="0" xfId="15" applyFont="1"/>
    <xf numFmtId="0" fontId="24" fillId="0" borderId="0" xfId="16"/>
    <xf numFmtId="0" fontId="13" fillId="14" borderId="60" xfId="15" applyFill="1" applyBorder="1" applyAlignment="1"/>
    <xf numFmtId="2" fontId="13" fillId="0" borderId="34" xfId="15" applyNumberFormat="1" applyBorder="1" applyAlignment="1"/>
    <xf numFmtId="0" fontId="13" fillId="0" borderId="0" xfId="15" quotePrefix="1" applyFill="1" applyBorder="1" applyAlignment="1">
      <alignment horizontal="left"/>
    </xf>
    <xf numFmtId="0" fontId="0" fillId="2" borderId="0" xfId="0" applyFill="1" applyBorder="1" applyAlignment="1" applyProtection="1">
      <alignment horizontal="center" vertical="top"/>
      <protection locked="0"/>
    </xf>
    <xf numFmtId="0" fontId="2" fillId="0" borderId="0" xfId="0" applyFont="1"/>
    <xf numFmtId="0" fontId="62" fillId="0" borderId="0" xfId="0" applyFont="1" applyProtection="1">
      <protection locked="0"/>
    </xf>
    <xf numFmtId="0" fontId="62" fillId="15" borderId="12" xfId="0" applyFont="1" applyFill="1" applyBorder="1" applyAlignment="1" applyProtection="1">
      <alignment horizontal="center"/>
      <protection locked="0"/>
    </xf>
    <xf numFmtId="0" fontId="62" fillId="15" borderId="13" xfId="0" applyFont="1" applyFill="1" applyBorder="1" applyProtection="1">
      <protection locked="0"/>
    </xf>
    <xf numFmtId="0" fontId="62" fillId="15" borderId="13" xfId="0" applyFont="1" applyFill="1" applyBorder="1" applyAlignment="1" applyProtection="1">
      <alignment horizontal="center"/>
      <protection locked="0"/>
    </xf>
    <xf numFmtId="0" fontId="62" fillId="15" borderId="14" xfId="0" applyFont="1" applyFill="1" applyBorder="1" applyProtection="1">
      <protection locked="0"/>
    </xf>
    <xf numFmtId="0" fontId="63" fillId="0" borderId="0" xfId="0" applyFont="1" applyProtection="1">
      <protection locked="0"/>
    </xf>
    <xf numFmtId="0" fontId="62" fillId="15" borderId="7" xfId="0" applyFont="1" applyFill="1" applyBorder="1" applyProtection="1">
      <protection locked="0"/>
    </xf>
    <xf numFmtId="0" fontId="62" fillId="15" borderId="0" xfId="0" applyFont="1" applyFill="1" applyAlignment="1" applyProtection="1">
      <alignment horizontal="center"/>
      <protection locked="0"/>
    </xf>
    <xf numFmtId="0" fontId="62" fillId="15" borderId="8" xfId="0" applyFont="1" applyFill="1" applyBorder="1" applyProtection="1">
      <protection locked="0"/>
    </xf>
    <xf numFmtId="0" fontId="64" fillId="0" borderId="0" xfId="0" applyFont="1" applyProtection="1">
      <protection locked="0"/>
    </xf>
    <xf numFmtId="0" fontId="62" fillId="15" borderId="7" xfId="0" applyFont="1" applyFill="1" applyBorder="1" applyAlignment="1" applyProtection="1">
      <alignment horizontal="center"/>
      <protection locked="0"/>
    </xf>
    <xf numFmtId="0" fontId="62" fillId="15" borderId="0" xfId="0" applyFont="1" applyFill="1" applyAlignment="1" applyProtection="1">
      <alignment horizontal="center" vertical="top"/>
      <protection locked="0"/>
    </xf>
    <xf numFmtId="0" fontId="62" fillId="15" borderId="8" xfId="0" applyFont="1" applyFill="1" applyBorder="1" applyAlignment="1" applyProtection="1">
      <alignment horizontal="center"/>
      <protection locked="0"/>
    </xf>
    <xf numFmtId="0" fontId="62" fillId="0" borderId="0" xfId="0" applyFont="1" applyAlignment="1" applyProtection="1">
      <alignment horizontal="center"/>
      <protection locked="0"/>
    </xf>
    <xf numFmtId="0" fontId="62" fillId="15" borderId="4" xfId="0" applyFont="1" applyFill="1" applyBorder="1" applyAlignment="1" applyProtection="1">
      <alignment horizontal="center"/>
      <protection locked="0"/>
    </xf>
    <xf numFmtId="0" fontId="62" fillId="15" borderId="5" xfId="0" applyFont="1" applyFill="1" applyBorder="1" applyAlignment="1" applyProtection="1">
      <alignment horizontal="center"/>
      <protection locked="0"/>
    </xf>
    <xf numFmtId="0" fontId="62" fillId="15" borderId="6" xfId="0" applyFont="1" applyFill="1" applyBorder="1" applyAlignment="1" applyProtection="1">
      <alignment horizontal="center"/>
      <protection locked="0"/>
    </xf>
    <xf numFmtId="0" fontId="1" fillId="0" borderId="13" xfId="0" applyFont="1" applyBorder="1" applyAlignment="1" applyProtection="1">
      <alignment horizontal="left"/>
    </xf>
    <xf numFmtId="0" fontId="1" fillId="0" borderId="13" xfId="0" applyFont="1" applyBorder="1" applyAlignment="1" applyProtection="1">
      <alignment horizont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67" fillId="10" borderId="56" xfId="15" applyFont="1" applyFill="1" applyBorder="1" applyAlignment="1">
      <alignment horizontal="center" vertical="center"/>
    </xf>
    <xf numFmtId="0" fontId="29" fillId="0" borderId="0" xfId="16" applyFont="1" applyFill="1" applyBorder="1" applyAlignment="1">
      <alignment horizontal="center" vertical="center" wrapText="1"/>
    </xf>
    <xf numFmtId="0" fontId="28" fillId="0" borderId="0" xfId="16" applyFont="1" applyBorder="1" applyAlignment="1">
      <alignment horizontal="center" vertical="center"/>
    </xf>
    <xf numFmtId="0" fontId="29" fillId="0" borderId="0" xfId="16" applyFont="1" applyFill="1" applyBorder="1" applyAlignment="1">
      <alignment horizontal="center" vertical="center"/>
    </xf>
    <xf numFmtId="0" fontId="68" fillId="0" borderId="0" xfId="0" applyFont="1"/>
    <xf numFmtId="0" fontId="69" fillId="0" borderId="0" xfId="0" applyFont="1" applyBorder="1" applyAlignment="1" applyProtection="1">
      <alignment horizontal="center"/>
      <protection locked="0"/>
    </xf>
    <xf numFmtId="0" fontId="70" fillId="0" borderId="0" xfId="0" applyFont="1" applyBorder="1" applyAlignment="1" applyProtection="1">
      <alignment horizontal="center"/>
      <protection locked="0"/>
    </xf>
    <xf numFmtId="0" fontId="67" fillId="13" borderId="71" xfId="15" applyFont="1" applyFill="1" applyBorder="1" applyAlignment="1">
      <alignment horizontal="center" vertical="center"/>
    </xf>
    <xf numFmtId="0" fontId="44" fillId="13" borderId="74" xfId="15" applyFont="1" applyFill="1" applyBorder="1" applyAlignment="1">
      <alignment horizontal="center" vertical="center"/>
    </xf>
    <xf numFmtId="0" fontId="20" fillId="0" borderId="44" xfId="15" applyFont="1" applyBorder="1" applyAlignment="1">
      <alignment horizontal="center" vertical="center"/>
    </xf>
    <xf numFmtId="0" fontId="20" fillId="0" borderId="45" xfId="15" applyFont="1" applyBorder="1" applyAlignment="1">
      <alignment horizontal="center" vertical="center"/>
    </xf>
    <xf numFmtId="0" fontId="20" fillId="0" borderId="46" xfId="15" applyFont="1" applyBorder="1" applyAlignment="1">
      <alignment horizontal="center" vertical="center"/>
    </xf>
    <xf numFmtId="0" fontId="59" fillId="11" borderId="51" xfId="15" applyFont="1" applyFill="1" applyBorder="1" applyAlignment="1">
      <alignment horizontal="center" vertical="center"/>
    </xf>
    <xf numFmtId="0" fontId="50" fillId="13" borderId="87" xfId="15" applyFont="1" applyFill="1" applyBorder="1" applyAlignment="1">
      <alignment horizontal="center" vertical="center"/>
    </xf>
    <xf numFmtId="0" fontId="47" fillId="13" borderId="90" xfId="15" applyFont="1" applyFill="1" applyBorder="1" applyAlignment="1">
      <alignment horizontal="center" vertical="center"/>
    </xf>
    <xf numFmtId="0" fontId="20" fillId="0" borderId="92" xfId="15" applyFont="1" applyBorder="1" applyAlignment="1">
      <alignment horizontal="center" vertical="center"/>
    </xf>
    <xf numFmtId="0" fontId="20" fillId="0" borderId="93" xfId="15" applyFont="1" applyBorder="1" applyAlignment="1">
      <alignment horizontal="center" vertical="center"/>
    </xf>
    <xf numFmtId="0" fontId="20" fillId="0" borderId="94" xfId="15" applyFont="1" applyBorder="1" applyAlignment="1">
      <alignment horizontal="center" vertical="center"/>
    </xf>
    <xf numFmtId="0" fontId="51" fillId="0" borderId="0" xfId="15" applyFont="1" applyBorder="1" applyAlignment="1">
      <alignment vertical="center"/>
    </xf>
    <xf numFmtId="0" fontId="53" fillId="0" borderId="0" xfId="15" applyFont="1" applyBorder="1" applyAlignment="1">
      <alignment vertical="center"/>
    </xf>
    <xf numFmtId="0" fontId="55" fillId="0" borderId="0" xfId="15" applyFont="1" applyBorder="1" applyAlignment="1">
      <alignment vertical="center"/>
    </xf>
    <xf numFmtId="0" fontId="56" fillId="0" borderId="0" xfId="15" applyFont="1" applyBorder="1" applyAlignment="1">
      <alignment vertical="center"/>
    </xf>
    <xf numFmtId="0" fontId="57" fillId="11" borderId="105" xfId="15" applyFont="1" applyFill="1" applyBorder="1" applyAlignment="1">
      <alignment horizontal="center" vertical="center"/>
    </xf>
    <xf numFmtId="0" fontId="50" fillId="10" borderId="101" xfId="15" applyFont="1" applyFill="1" applyBorder="1" applyAlignment="1">
      <alignment horizontal="center" vertical="center"/>
    </xf>
    <xf numFmtId="0" fontId="46" fillId="0" borderId="107" xfId="15" applyFont="1" applyBorder="1" applyAlignment="1"/>
    <xf numFmtId="0" fontId="47" fillId="0" borderId="108" xfId="15" applyFont="1" applyBorder="1" applyAlignment="1">
      <alignment horizontal="right" vertical="center"/>
    </xf>
    <xf numFmtId="0" fontId="44" fillId="0" borderId="36" xfId="15" applyFont="1" applyBorder="1" applyAlignment="1">
      <alignment horizontal="center" vertical="center"/>
    </xf>
    <xf numFmtId="0" fontId="44" fillId="0" borderId="37" xfId="15" applyFont="1" applyBorder="1" applyAlignment="1">
      <alignment horizontal="center" vertical="center"/>
    </xf>
    <xf numFmtId="0" fontId="44" fillId="0" borderId="38" xfId="15" applyFont="1" applyBorder="1" applyAlignment="1">
      <alignment horizontal="center" vertical="center"/>
    </xf>
    <xf numFmtId="0" fontId="20" fillId="0" borderId="109" xfId="15" applyFont="1" applyBorder="1" applyAlignment="1">
      <alignment horizontal="center" vertical="center"/>
    </xf>
    <xf numFmtId="0" fontId="47" fillId="0" borderId="113" xfId="15" applyFont="1" applyBorder="1" applyAlignment="1">
      <alignment horizontal="right" vertical="center"/>
    </xf>
    <xf numFmtId="0" fontId="2" fillId="0" borderId="0" xfId="0" applyFont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right"/>
      <protection locked="0"/>
    </xf>
    <xf numFmtId="0" fontId="62" fillId="15" borderId="0" xfId="0" applyFont="1" applyFill="1" applyAlignment="1" applyProtection="1">
      <protection locked="0"/>
    </xf>
    <xf numFmtId="0" fontId="62" fillId="15" borderId="0" xfId="0" applyFont="1" applyFill="1" applyBorder="1" applyAlignment="1" applyProtection="1">
      <protection locked="0"/>
    </xf>
    <xf numFmtId="0" fontId="62" fillId="15" borderId="5" xfId="0" applyFont="1" applyFill="1" applyBorder="1" applyAlignment="1" applyProtection="1">
      <protection locked="0"/>
    </xf>
    <xf numFmtId="0" fontId="63" fillId="0" borderId="0" xfId="0" applyFont="1" applyAlignment="1" applyProtection="1">
      <alignment vertical="top"/>
      <protection locked="0"/>
    </xf>
    <xf numFmtId="0" fontId="1" fillId="0" borderId="0" xfId="0" applyFont="1" applyBorder="1" applyAlignment="1" applyProtection="1">
      <alignment horizontal="left"/>
    </xf>
    <xf numFmtId="0" fontId="1" fillId="0" borderId="7" xfId="0" applyFont="1" applyBorder="1" applyAlignment="1" applyProtection="1">
      <alignment horizontal="center"/>
    </xf>
    <xf numFmtId="0" fontId="0" fillId="0" borderId="0" xfId="0" applyFill="1" applyBorder="1" applyProtection="1">
      <protection locked="0"/>
    </xf>
    <xf numFmtId="0" fontId="0" fillId="0" borderId="19" xfId="0" applyFill="1" applyBorder="1" applyAlignment="1">
      <alignment horizontal="center"/>
    </xf>
    <xf numFmtId="0" fontId="1" fillId="0" borderId="12" xfId="0" applyFont="1" applyBorder="1" applyAlignment="1" applyProtection="1">
      <alignment horizontal="center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/>
      <protection locked="0"/>
    </xf>
    <xf numFmtId="0" fontId="1" fillId="0" borderId="6" xfId="0" applyFont="1" applyBorder="1" applyAlignment="1" applyProtection="1">
      <alignment horizontal="center"/>
      <protection locked="0"/>
    </xf>
    <xf numFmtId="0" fontId="74" fillId="0" borderId="7" xfId="0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left"/>
    </xf>
    <xf numFmtId="0" fontId="2" fillId="0" borderId="0" xfId="0" applyFont="1" applyBorder="1" applyProtection="1"/>
    <xf numFmtId="0" fontId="74" fillId="0" borderId="0" xfId="0" applyFont="1" applyBorder="1" applyAlignment="1" applyProtection="1">
      <alignment horizontal="left"/>
    </xf>
    <xf numFmtId="0" fontId="75" fillId="0" borderId="0" xfId="0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0" fillId="0" borderId="0" xfId="0" applyBorder="1" applyAlignment="1" applyProtection="1">
      <alignment horizontal="left"/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0" fontId="62" fillId="15" borderId="0" xfId="0" applyFont="1" applyFill="1" applyBorder="1" applyAlignment="1" applyProtection="1">
      <alignment horizontal="center"/>
      <protection locked="0"/>
    </xf>
    <xf numFmtId="0" fontId="62" fillId="15" borderId="0" xfId="0" applyFont="1" applyFill="1" applyBorder="1" applyProtection="1">
      <protection locked="0"/>
    </xf>
    <xf numFmtId="0" fontId="77" fillId="16" borderId="115" xfId="96" applyFont="1" applyFill="1" applyBorder="1"/>
    <xf numFmtId="0" fontId="77" fillId="16" borderId="21" xfId="96" applyFont="1" applyFill="1" applyBorder="1"/>
    <xf numFmtId="0" fontId="77" fillId="16" borderId="114" xfId="96" applyFont="1" applyFill="1" applyBorder="1"/>
    <xf numFmtId="0" fontId="76" fillId="17" borderId="115" xfId="96" applyFont="1" applyFill="1" applyBorder="1"/>
    <xf numFmtId="0" fontId="76" fillId="17" borderId="21" xfId="96" applyFont="1" applyFill="1" applyBorder="1"/>
    <xf numFmtId="0" fontId="76" fillId="17" borderId="114" xfId="96" applyFont="1" applyFill="1" applyBorder="1"/>
    <xf numFmtId="0" fontId="69" fillId="0" borderId="0" xfId="0" applyFont="1" applyBorder="1" applyAlignment="1" applyProtection="1">
      <alignment horizontal="center"/>
    </xf>
    <xf numFmtId="0" fontId="78" fillId="17" borderId="0" xfId="0" applyFont="1" applyFill="1" applyBorder="1" applyAlignment="1" applyProtection="1">
      <alignment horizontal="center"/>
      <protection locked="0"/>
    </xf>
    <xf numFmtId="0" fontId="0" fillId="0" borderId="0" xfId="0" quotePrefix="1" applyBorder="1" applyAlignment="1" applyProtection="1">
      <alignment horizontal="center"/>
      <protection locked="0"/>
    </xf>
    <xf numFmtId="0" fontId="0" fillId="17" borderId="0" xfId="0" applyFill="1" applyBorder="1" applyAlignment="1" applyProtection="1">
      <alignment horizontal="center"/>
      <protection locked="0"/>
    </xf>
    <xf numFmtId="0" fontId="0" fillId="17" borderId="0" xfId="0" applyFill="1" applyBorder="1" applyProtection="1">
      <protection locked="0"/>
    </xf>
    <xf numFmtId="0" fontId="0" fillId="17" borderId="0" xfId="0" applyFill="1" applyBorder="1" applyAlignment="1" applyProtection="1">
      <protection locked="0"/>
    </xf>
    <xf numFmtId="0" fontId="7" fillId="17" borderId="0" xfId="0" applyFont="1" applyFill="1" applyBorder="1" applyAlignment="1" applyProtection="1">
      <alignment horizontal="center"/>
      <protection locked="0"/>
    </xf>
    <xf numFmtId="0" fontId="71" fillId="17" borderId="0" xfId="96" applyFont="1" applyFill="1" applyBorder="1"/>
    <xf numFmtId="0" fontId="62" fillId="15" borderId="116" xfId="0" applyFont="1" applyFill="1" applyBorder="1" applyAlignment="1" applyProtection="1">
      <alignment horizontal="center"/>
      <protection locked="0"/>
    </xf>
    <xf numFmtId="0" fontId="62" fillId="15" borderId="0" xfId="0" applyFont="1" applyFill="1" applyBorder="1" applyAlignment="1" applyProtection="1">
      <alignment horizontal="center" vertical="top"/>
      <protection locked="0"/>
    </xf>
    <xf numFmtId="0" fontId="77" fillId="16" borderId="20" xfId="96" applyFont="1" applyFill="1" applyBorder="1"/>
    <xf numFmtId="0" fontId="0" fillId="0" borderId="7" xfId="0" applyBorder="1" applyAlignment="1" applyProtection="1">
      <alignment horizontal="center"/>
      <protection locked="0"/>
    </xf>
    <xf numFmtId="0" fontId="74" fillId="0" borderId="0" xfId="0" applyFon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2" fillId="0" borderId="0" xfId="0" applyFont="1" applyBorder="1" applyAlignment="1" applyProtection="1">
      <alignment horizontal="left"/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79" fillId="4" borderId="15" xfId="0" applyFont="1" applyFill="1" applyBorder="1" applyAlignment="1" applyProtection="1">
      <alignment horizontal="center" vertical="center" wrapText="1"/>
      <protection locked="0"/>
    </xf>
    <xf numFmtId="0" fontId="79" fillId="4" borderId="10" xfId="0" applyFont="1" applyFill="1" applyBorder="1" applyAlignment="1" applyProtection="1">
      <alignment horizontal="center" vertical="center" wrapText="1"/>
      <protection locked="0"/>
    </xf>
    <xf numFmtId="0" fontId="80" fillId="0" borderId="0" xfId="0" applyFont="1" applyBorder="1" applyAlignment="1" applyProtection="1">
      <alignment horizontal="left"/>
    </xf>
    <xf numFmtId="0" fontId="81" fillId="0" borderId="0" xfId="0" applyFont="1" applyBorder="1" applyAlignment="1" applyProtection="1">
      <alignment horizontal="center"/>
      <protection locked="0"/>
    </xf>
    <xf numFmtId="0" fontId="69" fillId="17" borderId="0" xfId="0" applyFont="1" applyFill="1" applyBorder="1" applyAlignment="1" applyProtection="1">
      <alignment horizontal="center"/>
      <protection locked="0"/>
    </xf>
    <xf numFmtId="0" fontId="69" fillId="13" borderId="0" xfId="0" applyFont="1" applyFill="1" applyBorder="1" applyAlignment="1" applyProtection="1">
      <alignment horizontal="center"/>
      <protection locked="0"/>
    </xf>
    <xf numFmtId="0" fontId="76" fillId="17" borderId="117" xfId="96" applyFont="1" applyFill="1" applyBorder="1"/>
    <xf numFmtId="0" fontId="83" fillId="15" borderId="0" xfId="0" applyFont="1" applyFill="1" applyAlignment="1" applyProtection="1">
      <alignment horizontal="center"/>
      <protection locked="0"/>
    </xf>
    <xf numFmtId="0" fontId="83" fillId="15" borderId="0" xfId="0" applyFont="1" applyFill="1" applyAlignment="1" applyProtection="1">
      <protection locked="0"/>
    </xf>
    <xf numFmtId="0" fontId="83" fillId="15" borderId="0" xfId="0" applyFont="1" applyFill="1" applyBorder="1" applyAlignment="1" applyProtection="1">
      <protection locked="0"/>
    </xf>
    <xf numFmtId="0" fontId="84" fillId="0" borderId="7" xfId="0" applyFont="1" applyBorder="1" applyAlignment="1" applyProtection="1">
      <alignment horizontal="center"/>
    </xf>
    <xf numFmtId="0" fontId="85" fillId="0" borderId="0" xfId="0" applyFont="1" applyBorder="1" applyAlignment="1" applyProtection="1">
      <alignment horizontal="center"/>
      <protection locked="0"/>
    </xf>
    <xf numFmtId="0" fontId="85" fillId="0" borderId="7" xfId="0" applyFont="1" applyBorder="1" applyAlignment="1" applyProtection="1">
      <alignment horizontal="center"/>
    </xf>
    <xf numFmtId="0" fontId="85" fillId="0" borderId="8" xfId="0" applyFont="1" applyBorder="1" applyAlignment="1" applyProtection="1">
      <alignment horizontal="center"/>
      <protection locked="0"/>
    </xf>
    <xf numFmtId="0" fontId="87" fillId="0" borderId="0" xfId="0" applyFont="1" applyBorder="1" applyAlignment="1" applyProtection="1">
      <alignment horizontal="center"/>
      <protection locked="0"/>
    </xf>
    <xf numFmtId="0" fontId="89" fillId="0" borderId="0" xfId="0" applyFont="1" applyBorder="1" applyAlignment="1" applyProtection="1">
      <alignment horizontal="center"/>
      <protection locked="0"/>
    </xf>
    <xf numFmtId="0" fontId="87" fillId="0" borderId="7" xfId="0" applyFont="1" applyBorder="1" applyAlignment="1" applyProtection="1">
      <alignment horizontal="center"/>
    </xf>
    <xf numFmtId="0" fontId="84" fillId="0" borderId="0" xfId="0" quotePrefix="1" applyFont="1" applyBorder="1" applyAlignment="1" applyProtection="1">
      <alignment horizontal="center"/>
      <protection locked="0"/>
    </xf>
    <xf numFmtId="0" fontId="88" fillId="0" borderId="8" xfId="0" applyFont="1" applyBorder="1" applyAlignment="1" applyProtection="1">
      <alignment horizontal="center"/>
      <protection locked="0"/>
    </xf>
    <xf numFmtId="0" fontId="86" fillId="0" borderId="8" xfId="0" applyFont="1" applyBorder="1" applyAlignment="1" applyProtection="1">
      <alignment horizontal="center"/>
      <protection locked="0"/>
    </xf>
    <xf numFmtId="0" fontId="90" fillId="0" borderId="0" xfId="0" applyFont="1" applyBorder="1" applyAlignment="1" applyProtection="1">
      <alignment horizontal="left"/>
    </xf>
    <xf numFmtId="0" fontId="91" fillId="0" borderId="0" xfId="0" applyFont="1" applyBorder="1" applyAlignment="1" applyProtection="1">
      <alignment horizontal="left"/>
    </xf>
    <xf numFmtId="0" fontId="85" fillId="0" borderId="0" xfId="0" applyFont="1" applyBorder="1" applyAlignment="1" applyProtection="1">
      <alignment horizontal="center"/>
    </xf>
    <xf numFmtId="0" fontId="94" fillId="0" borderId="0" xfId="0" applyFont="1" applyBorder="1" applyAlignment="1" applyProtection="1">
      <alignment horizontal="left"/>
    </xf>
    <xf numFmtId="0" fontId="13" fillId="14" borderId="33" xfId="15" applyFill="1" applyBorder="1" applyAlignment="1">
      <alignment horizontal="center"/>
    </xf>
    <xf numFmtId="0" fontId="13" fillId="14" borderId="32" xfId="15" applyFill="1" applyBorder="1" applyAlignment="1">
      <alignment horizontal="center"/>
    </xf>
    <xf numFmtId="0" fontId="13" fillId="14" borderId="58" xfId="15" applyFill="1" applyBorder="1" applyAlignment="1">
      <alignment horizontal="center" vertical="center"/>
    </xf>
    <xf numFmtId="0" fontId="13" fillId="0" borderId="0" xfId="15" applyBorder="1" applyAlignment="1">
      <alignment horizontal="right"/>
    </xf>
    <xf numFmtId="0" fontId="13" fillId="0" borderId="0" xfId="15" quotePrefix="1" applyBorder="1" applyAlignment="1">
      <alignment horizontal="center"/>
    </xf>
    <xf numFmtId="0" fontId="13" fillId="0" borderId="0" xfId="15" applyBorder="1" applyAlignment="1">
      <alignment horizontal="center"/>
    </xf>
    <xf numFmtId="2" fontId="20" fillId="0" borderId="0" xfId="15" applyNumberFormat="1" applyFont="1" applyBorder="1" applyAlignment="1">
      <alignment horizontal="right" vertical="center"/>
    </xf>
    <xf numFmtId="0" fontId="74" fillId="0" borderId="5" xfId="0" applyFont="1" applyBorder="1" applyAlignment="1" applyProtection="1">
      <alignment horizontal="center"/>
    </xf>
    <xf numFmtId="0" fontId="85" fillId="0" borderId="5" xfId="0" applyFont="1" applyBorder="1" applyAlignment="1" applyProtection="1">
      <alignment horizontal="center"/>
      <protection locked="0"/>
    </xf>
    <xf numFmtId="0" fontId="84" fillId="0" borderId="0" xfId="0" applyFont="1" applyBorder="1" applyAlignment="1" applyProtection="1">
      <alignment horizontal="center"/>
    </xf>
    <xf numFmtId="0" fontId="89" fillId="0" borderId="0" xfId="0" applyFont="1" applyBorder="1" applyAlignment="1" applyProtection="1">
      <alignment horizontal="center"/>
    </xf>
    <xf numFmtId="0" fontId="86" fillId="0" borderId="8" xfId="0" applyFont="1" applyBorder="1" applyAlignment="1" applyProtection="1">
      <alignment horizontal="center"/>
    </xf>
    <xf numFmtId="0" fontId="93" fillId="0" borderId="8" xfId="0" applyFont="1" applyBorder="1" applyAlignment="1" applyProtection="1">
      <alignment horizontal="center"/>
      <protection locked="0"/>
    </xf>
    <xf numFmtId="0" fontId="81" fillId="0" borderId="5" xfId="0" applyFont="1" applyBorder="1" applyAlignment="1" applyProtection="1">
      <alignment horizontal="center"/>
      <protection locked="0"/>
    </xf>
    <xf numFmtId="0" fontId="85" fillId="0" borderId="5" xfId="0" applyFont="1" applyBorder="1" applyAlignment="1" applyProtection="1">
      <alignment horizontal="center"/>
    </xf>
    <xf numFmtId="0" fontId="0" fillId="0" borderId="7" xfId="0" applyFont="1" applyBorder="1" applyAlignment="1" applyProtection="1">
      <alignment horizontal="center"/>
      <protection locked="0"/>
    </xf>
    <xf numFmtId="0" fontId="96" fillId="0" borderId="0" xfId="0" applyFont="1" applyBorder="1" applyAlignment="1" applyProtection="1">
      <alignment horizontal="left"/>
    </xf>
    <xf numFmtId="0" fontId="97" fillId="0" borderId="0" xfId="0" applyFont="1" applyBorder="1" applyAlignment="1" applyProtection="1">
      <alignment horizontal="left"/>
    </xf>
    <xf numFmtId="0" fontId="96" fillId="0" borderId="0" xfId="0" applyFont="1" applyBorder="1" applyAlignment="1" applyProtection="1">
      <alignment horizontal="left"/>
      <protection locked="0"/>
    </xf>
    <xf numFmtId="0" fontId="96" fillId="0" borderId="5" xfId="0" applyFont="1" applyBorder="1" applyAlignment="1" applyProtection="1">
      <alignment horizontal="left"/>
    </xf>
    <xf numFmtId="0" fontId="97" fillId="0" borderId="0" xfId="0" applyFont="1" applyBorder="1" applyProtection="1"/>
    <xf numFmtId="0" fontId="97" fillId="0" borderId="0" xfId="0" applyFont="1" applyBorder="1" applyAlignment="1" applyProtection="1">
      <alignment horizontal="left"/>
      <protection locked="0"/>
    </xf>
    <xf numFmtId="0" fontId="98" fillId="0" borderId="0" xfId="0" applyFont="1" applyBorder="1" applyAlignment="1" applyProtection="1">
      <alignment horizontal="left"/>
      <protection locked="0"/>
    </xf>
    <xf numFmtId="0" fontId="98" fillId="0" borderId="0" xfId="0" applyFont="1" applyBorder="1" applyAlignment="1" applyProtection="1">
      <alignment horizontal="left"/>
    </xf>
    <xf numFmtId="0" fontId="80" fillId="0" borderId="0" xfId="0" applyFont="1" applyBorder="1" applyProtection="1"/>
    <xf numFmtId="0" fontId="0" fillId="0" borderId="118" xfId="0" applyBorder="1" applyAlignment="1" applyProtection="1">
      <alignment horizontal="center"/>
      <protection locked="0"/>
    </xf>
    <xf numFmtId="0" fontId="1" fillId="0" borderId="118" xfId="0" applyFont="1" applyBorder="1" applyAlignment="1" applyProtection="1">
      <alignment horizontal="center"/>
      <protection locked="0"/>
    </xf>
    <xf numFmtId="0" fontId="86" fillId="0" borderId="118" xfId="0" applyFont="1" applyBorder="1" applyAlignment="1" applyProtection="1">
      <alignment horizontal="center"/>
    </xf>
    <xf numFmtId="0" fontId="74" fillId="0" borderId="118" xfId="0" applyFont="1" applyBorder="1" applyAlignment="1" applyProtection="1">
      <alignment horizontal="center"/>
    </xf>
    <xf numFmtId="0" fontId="85" fillId="0" borderId="118" xfId="0" applyFont="1" applyBorder="1" applyAlignment="1" applyProtection="1">
      <alignment horizontal="center"/>
      <protection locked="0"/>
    </xf>
    <xf numFmtId="0" fontId="92" fillId="0" borderId="118" xfId="0" applyFont="1" applyBorder="1" applyAlignment="1" applyProtection="1">
      <alignment horizontal="center"/>
      <protection locked="0"/>
    </xf>
    <xf numFmtId="0" fontId="95" fillId="0" borderId="0" xfId="115"/>
    <xf numFmtId="0" fontId="13" fillId="0" borderId="0" xfId="15" applyFont="1"/>
    <xf numFmtId="0" fontId="13" fillId="0" borderId="0" xfId="15" applyFont="1" applyBorder="1"/>
    <xf numFmtId="0" fontId="95" fillId="0" borderId="0" xfId="115" applyFont="1"/>
    <xf numFmtId="0" fontId="13" fillId="14" borderId="117" xfId="15" applyFill="1" applyBorder="1" applyAlignment="1">
      <alignment horizontal="center"/>
    </xf>
    <xf numFmtId="0" fontId="13" fillId="14" borderId="117" xfId="15" applyFill="1" applyBorder="1" applyAlignment="1">
      <alignment horizontal="center" vertical="center"/>
    </xf>
    <xf numFmtId="0" fontId="13" fillId="0" borderId="117" xfId="15" applyBorder="1" applyAlignment="1">
      <alignment horizontal="center"/>
    </xf>
    <xf numFmtId="0" fontId="13" fillId="0" borderId="117" xfId="15" applyBorder="1" applyAlignment="1">
      <alignment horizontal="center" vertical="center"/>
    </xf>
    <xf numFmtId="164" fontId="13" fillId="0" borderId="117" xfId="15" applyNumberFormat="1" applyBorder="1" applyAlignment="1">
      <alignment horizontal="center"/>
    </xf>
    <xf numFmtId="2" fontId="13" fillId="0" borderId="114" xfId="15" applyNumberFormat="1" applyBorder="1" applyAlignment="1">
      <alignment horizontal="center"/>
    </xf>
    <xf numFmtId="0" fontId="13" fillId="0" borderId="114" xfId="15" applyBorder="1" applyAlignment="1">
      <alignment horizontal="center"/>
    </xf>
    <xf numFmtId="2" fontId="13" fillId="0" borderId="114" xfId="15" applyNumberFormat="1" applyBorder="1" applyAlignment="1">
      <alignment horizontal="center" vertical="center"/>
    </xf>
    <xf numFmtId="0" fontId="95" fillId="0" borderId="62" xfId="115" applyBorder="1"/>
    <xf numFmtId="0" fontId="95" fillId="0" borderId="63" xfId="115" applyFont="1" applyBorder="1"/>
    <xf numFmtId="0" fontId="99" fillId="0" borderId="39" xfId="15" applyFont="1" applyBorder="1" applyAlignment="1">
      <alignment vertical="center"/>
    </xf>
    <xf numFmtId="0" fontId="100" fillId="0" borderId="39" xfId="15" applyFont="1" applyBorder="1" applyAlignment="1">
      <alignment vertical="center"/>
    </xf>
    <xf numFmtId="0" fontId="101" fillId="0" borderId="39" xfId="15" applyFont="1" applyBorder="1" applyAlignment="1">
      <alignment vertical="center"/>
    </xf>
    <xf numFmtId="0" fontId="102" fillId="0" borderId="39" xfId="15" applyFont="1" applyBorder="1" applyAlignment="1">
      <alignment vertical="center"/>
    </xf>
    <xf numFmtId="0" fontId="95" fillId="0" borderId="64" xfId="115" applyFont="1" applyBorder="1"/>
    <xf numFmtId="0" fontId="13" fillId="0" borderId="114" xfId="15" applyBorder="1" applyAlignment="1">
      <alignment horizontal="center" vertical="center"/>
    </xf>
    <xf numFmtId="0" fontId="103" fillId="0" borderId="7" xfId="0" applyFont="1" applyFill="1" applyBorder="1" applyAlignment="1" applyProtection="1">
      <alignment horizontal="center"/>
    </xf>
    <xf numFmtId="0" fontId="104" fillId="0" borderId="7" xfId="0" applyFont="1" applyFill="1" applyBorder="1" applyAlignment="1" applyProtection="1">
      <alignment horizontal="center"/>
    </xf>
    <xf numFmtId="0" fontId="84" fillId="0" borderId="116" xfId="0" applyFont="1" applyBorder="1" applyAlignment="1" applyProtection="1">
      <alignment horizontal="center"/>
    </xf>
    <xf numFmtId="0" fontId="87" fillId="0" borderId="0" xfId="0" applyFont="1" applyBorder="1" applyAlignment="1" applyProtection="1">
      <alignment horizontal="center"/>
    </xf>
    <xf numFmtId="49" fontId="106" fillId="13" borderId="0" xfId="0" applyNumberFormat="1" applyFont="1" applyFill="1" applyBorder="1" applyAlignment="1" applyProtection="1">
      <alignment horizontal="center"/>
      <protection locked="0"/>
    </xf>
    <xf numFmtId="49" fontId="106" fillId="0" borderId="0" xfId="0" applyNumberFormat="1" applyFont="1" applyBorder="1" applyAlignment="1" applyProtection="1">
      <alignment horizontal="center"/>
      <protection locked="0"/>
    </xf>
    <xf numFmtId="49" fontId="105" fillId="13" borderId="0" xfId="0" applyNumberFormat="1" applyFont="1" applyFill="1" applyBorder="1" applyAlignment="1" applyProtection="1">
      <alignment horizontal="center"/>
      <protection locked="0"/>
    </xf>
    <xf numFmtId="0" fontId="107" fillId="0" borderId="0" xfId="0" applyFont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</xf>
    <xf numFmtId="0" fontId="84" fillId="0" borderId="0" xfId="0" applyFont="1" applyBorder="1" applyAlignment="1" applyProtection="1">
      <alignment horizontal="center"/>
      <protection locked="0"/>
    </xf>
    <xf numFmtId="0" fontId="108" fillId="3" borderId="115" xfId="96" applyFont="1" applyFill="1" applyBorder="1"/>
    <xf numFmtId="0" fontId="108" fillId="3" borderId="21" xfId="96" applyFont="1" applyFill="1" applyBorder="1"/>
    <xf numFmtId="0" fontId="108" fillId="3" borderId="114" xfId="96" applyFont="1" applyFill="1" applyBorder="1"/>
    <xf numFmtId="0" fontId="109" fillId="2" borderId="0" xfId="0" applyFont="1" applyFill="1" applyBorder="1" applyAlignment="1" applyProtection="1">
      <alignment horizontal="center"/>
      <protection locked="0"/>
    </xf>
    <xf numFmtId="0" fontId="109" fillId="2" borderId="0" xfId="0" applyFont="1" applyFill="1" applyBorder="1" applyAlignment="1" applyProtection="1">
      <alignment horizontal="center" vertical="top"/>
      <protection locked="0"/>
    </xf>
    <xf numFmtId="0" fontId="0" fillId="17" borderId="0" xfId="0" applyFill="1" applyBorder="1" applyAlignment="1" applyProtection="1">
      <alignment horizontal="left"/>
      <protection locked="0"/>
    </xf>
    <xf numFmtId="0" fontId="72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2" fillId="15" borderId="0" xfId="0" applyFont="1" applyFill="1" applyBorder="1" applyAlignment="1" applyProtection="1">
      <alignment horizontal="left"/>
      <protection locked="0"/>
    </xf>
    <xf numFmtId="0" fontId="1" fillId="18" borderId="20" xfId="0" applyFont="1" applyFill="1" applyBorder="1" applyAlignment="1">
      <alignment horizontal="center"/>
    </xf>
    <xf numFmtId="0" fontId="1" fillId="18" borderId="114" xfId="0" applyFont="1" applyFill="1" applyBorder="1" applyAlignment="1">
      <alignment horizontal="center"/>
    </xf>
    <xf numFmtId="0" fontId="62" fillId="15" borderId="5" xfId="0" applyFont="1" applyFill="1" applyBorder="1" applyAlignment="1" applyProtection="1">
      <alignment horizontal="left"/>
      <protection locked="0"/>
    </xf>
    <xf numFmtId="0" fontId="33" fillId="0" borderId="0" xfId="15" applyFont="1" applyBorder="1" applyAlignment="1">
      <alignment horizontal="center" vertical="center"/>
    </xf>
    <xf numFmtId="0" fontId="33" fillId="0" borderId="13" xfId="15" applyFont="1" applyFill="1" applyBorder="1" applyAlignment="1">
      <alignment horizontal="center" vertical="center"/>
    </xf>
    <xf numFmtId="0" fontId="35" fillId="0" borderId="32" xfId="15" applyFont="1" applyBorder="1" applyAlignment="1">
      <alignment horizontal="center" vertical="center"/>
    </xf>
    <xf numFmtId="0" fontId="35" fillId="0" borderId="33" xfId="15" applyFont="1" applyBorder="1" applyAlignment="1">
      <alignment horizontal="center" vertical="center"/>
    </xf>
    <xf numFmtId="0" fontId="35" fillId="0" borderId="34" xfId="15" applyFont="1" applyBorder="1" applyAlignment="1">
      <alignment horizontal="center" vertical="center"/>
    </xf>
    <xf numFmtId="0" fontId="25" fillId="0" borderId="12" xfId="16" applyFont="1" applyBorder="1" applyAlignment="1">
      <alignment horizontal="center" vertical="center"/>
    </xf>
    <xf numFmtId="0" fontId="25" fillId="0" borderId="14" xfId="16" applyFont="1" applyBorder="1" applyAlignment="1">
      <alignment horizontal="center" vertical="center"/>
    </xf>
    <xf numFmtId="0" fontId="25" fillId="0" borderId="26" xfId="16" applyFont="1" applyBorder="1" applyAlignment="1">
      <alignment horizontal="center" vertical="center"/>
    </xf>
    <xf numFmtId="0" fontId="25" fillId="0" borderId="27" xfId="16" applyFont="1" applyBorder="1" applyAlignment="1">
      <alignment horizontal="center" vertical="center"/>
    </xf>
    <xf numFmtId="0" fontId="26" fillId="8" borderId="23" xfId="15" applyFont="1" applyFill="1" applyBorder="1" applyAlignment="1">
      <alignment horizontal="center" vertical="center" wrapText="1"/>
    </xf>
    <xf numFmtId="0" fontId="26" fillId="8" borderId="28" xfId="15" applyFont="1" applyFill="1" applyBorder="1" applyAlignment="1">
      <alignment horizontal="center" vertical="center" wrapText="1"/>
    </xf>
    <xf numFmtId="0" fontId="26" fillId="9" borderId="24" xfId="15" applyFont="1" applyFill="1" applyBorder="1" applyAlignment="1">
      <alignment horizontal="center" vertical="center" wrapText="1"/>
    </xf>
    <xf numFmtId="0" fontId="26" fillId="9" borderId="29" xfId="15" applyFont="1" applyFill="1" applyBorder="1" applyAlignment="1">
      <alignment horizontal="center" vertical="center" wrapText="1"/>
    </xf>
    <xf numFmtId="0" fontId="28" fillId="0" borderId="25" xfId="16" applyFont="1" applyBorder="1" applyAlignment="1">
      <alignment horizontal="center" vertical="center"/>
    </xf>
    <xf numFmtId="0" fontId="28" fillId="0" borderId="30" xfId="16" applyFont="1" applyBorder="1" applyAlignment="1">
      <alignment horizontal="center" vertical="center"/>
    </xf>
    <xf numFmtId="0" fontId="29" fillId="0" borderId="25" xfId="16" applyFont="1" applyFill="1" applyBorder="1" applyAlignment="1">
      <alignment horizontal="center" vertical="center"/>
    </xf>
    <xf numFmtId="0" fontId="29" fillId="0" borderId="31" xfId="16" applyFont="1" applyFill="1" applyBorder="1" applyAlignment="1">
      <alignment horizontal="center" vertical="center"/>
    </xf>
    <xf numFmtId="0" fontId="30" fillId="0" borderId="25" xfId="16" applyFont="1" applyBorder="1" applyAlignment="1">
      <alignment horizontal="center" vertical="center"/>
    </xf>
    <xf numFmtId="0" fontId="30" fillId="0" borderId="31" xfId="16" applyFont="1" applyBorder="1" applyAlignment="1">
      <alignment horizontal="center" vertical="center"/>
    </xf>
    <xf numFmtId="0" fontId="44" fillId="0" borderId="36" xfId="15" applyFont="1" applyBorder="1" applyAlignment="1">
      <alignment horizontal="right" vertical="center"/>
    </xf>
    <xf numFmtId="0" fontId="44" fillId="0" borderId="37" xfId="15" applyFont="1" applyBorder="1" applyAlignment="1">
      <alignment horizontal="right" vertical="center"/>
    </xf>
    <xf numFmtId="0" fontId="44" fillId="0" borderId="38" xfId="15" applyFont="1" applyBorder="1" applyAlignment="1">
      <alignment horizontal="right" vertical="center"/>
    </xf>
    <xf numFmtId="0" fontId="20" fillId="0" borderId="0" xfId="15" applyFont="1" applyBorder="1" applyAlignment="1">
      <alignment horizontal="center" vertical="center"/>
    </xf>
    <xf numFmtId="0" fontId="50" fillId="10" borderId="83" xfId="15" applyFont="1" applyFill="1" applyBorder="1" applyAlignment="1">
      <alignment horizontal="center" vertical="center"/>
    </xf>
    <xf numFmtId="0" fontId="50" fillId="10" borderId="86" xfId="15" applyFont="1" applyFill="1" applyBorder="1" applyAlignment="1">
      <alignment horizontal="center" vertical="center"/>
    </xf>
    <xf numFmtId="0" fontId="50" fillId="10" borderId="84" xfId="15" applyFont="1" applyFill="1" applyBorder="1" applyAlignment="1">
      <alignment horizontal="center" vertical="center"/>
    </xf>
    <xf numFmtId="0" fontId="50" fillId="10" borderId="82" xfId="15" applyFont="1" applyFill="1" applyBorder="1" applyAlignment="1">
      <alignment horizontal="center" vertical="center"/>
    </xf>
    <xf numFmtId="0" fontId="50" fillId="10" borderId="85" xfId="15" applyFont="1" applyFill="1" applyBorder="1" applyAlignment="1">
      <alignment horizontal="center" vertical="center"/>
    </xf>
    <xf numFmtId="0" fontId="50" fillId="10" borderId="87" xfId="15" applyFont="1" applyFill="1" applyBorder="1" applyAlignment="1">
      <alignment horizontal="center" vertical="center"/>
    </xf>
    <xf numFmtId="0" fontId="50" fillId="10" borderId="96" xfId="15" applyFont="1" applyFill="1" applyBorder="1" applyAlignment="1">
      <alignment horizontal="center" vertical="center"/>
    </xf>
    <xf numFmtId="0" fontId="47" fillId="10" borderId="86" xfId="15" applyFont="1" applyFill="1" applyBorder="1" applyAlignment="1">
      <alignment horizontal="center" vertical="center"/>
    </xf>
    <xf numFmtId="0" fontId="47" fillId="10" borderId="88" xfId="15" applyFont="1" applyFill="1" applyBorder="1" applyAlignment="1">
      <alignment horizontal="center" vertical="center"/>
    </xf>
    <xf numFmtId="0" fontId="47" fillId="10" borderId="82" xfId="15" applyFont="1" applyFill="1" applyBorder="1" applyAlignment="1">
      <alignment horizontal="center" vertical="center"/>
    </xf>
    <xf numFmtId="0" fontId="47" fillId="10" borderId="89" xfId="15" applyFont="1" applyFill="1" applyBorder="1" applyAlignment="1">
      <alignment horizontal="center" vertical="center"/>
    </xf>
    <xf numFmtId="0" fontId="47" fillId="0" borderId="100" xfId="15" applyFont="1" applyFill="1" applyBorder="1" applyAlignment="1">
      <alignment horizontal="center" vertical="center"/>
    </xf>
    <xf numFmtId="0" fontId="47" fillId="0" borderId="101" xfId="15" applyFont="1" applyFill="1" applyBorder="1" applyAlignment="1">
      <alignment horizontal="center" vertical="center"/>
    </xf>
    <xf numFmtId="0" fontId="47" fillId="10" borderId="103" xfId="15" applyFont="1" applyFill="1" applyBorder="1" applyAlignment="1">
      <alignment horizontal="center" vertical="center"/>
    </xf>
    <xf numFmtId="0" fontId="47" fillId="10" borderId="106" xfId="15" applyFont="1" applyFill="1" applyBorder="1" applyAlignment="1">
      <alignment horizontal="center" vertical="center"/>
    </xf>
    <xf numFmtId="0" fontId="47" fillId="10" borderId="87" xfId="15" applyFont="1" applyFill="1" applyBorder="1" applyAlignment="1">
      <alignment horizontal="center" vertical="center"/>
    </xf>
    <xf numFmtId="0" fontId="47" fillId="10" borderId="90" xfId="15" applyFont="1" applyFill="1" applyBorder="1" applyAlignment="1">
      <alignment horizontal="center" vertical="center"/>
    </xf>
    <xf numFmtId="0" fontId="50" fillId="11" borderId="83" xfId="15" applyFont="1" applyFill="1" applyBorder="1" applyAlignment="1">
      <alignment horizontal="center" vertical="center"/>
    </xf>
    <xf numFmtId="0" fontId="50" fillId="11" borderId="86" xfId="15" applyFont="1" applyFill="1" applyBorder="1" applyAlignment="1">
      <alignment horizontal="center" vertical="center"/>
    </xf>
    <xf numFmtId="0" fontId="50" fillId="11" borderId="84" xfId="15" applyFont="1" applyFill="1" applyBorder="1" applyAlignment="1">
      <alignment horizontal="center" vertical="center"/>
    </xf>
    <xf numFmtId="0" fontId="50" fillId="11" borderId="82" xfId="15" applyFont="1" applyFill="1" applyBorder="1" applyAlignment="1">
      <alignment horizontal="center" vertical="center"/>
    </xf>
    <xf numFmtId="0" fontId="50" fillId="11" borderId="85" xfId="15" applyFont="1" applyFill="1" applyBorder="1" applyAlignment="1">
      <alignment horizontal="center" vertical="center"/>
    </xf>
    <xf numFmtId="0" fontId="50" fillId="11" borderId="87" xfId="15" applyFont="1" applyFill="1" applyBorder="1" applyAlignment="1">
      <alignment horizontal="center" vertical="center"/>
    </xf>
    <xf numFmtId="0" fontId="50" fillId="11" borderId="93" xfId="15" applyFont="1" applyFill="1" applyBorder="1" applyAlignment="1">
      <alignment horizontal="center" vertical="center"/>
    </xf>
    <xf numFmtId="0" fontId="50" fillId="11" borderId="121" xfId="15" applyFont="1" applyFill="1" applyBorder="1" applyAlignment="1">
      <alignment horizontal="center" vertical="center"/>
    </xf>
    <xf numFmtId="0" fontId="50" fillId="10" borderId="90" xfId="15" applyFont="1" applyFill="1" applyBorder="1" applyAlignment="1">
      <alignment horizontal="center" vertical="center"/>
    </xf>
    <xf numFmtId="0" fontId="50" fillId="10" borderId="89" xfId="15" applyFont="1" applyFill="1" applyBorder="1" applyAlignment="1">
      <alignment horizontal="center" vertical="center"/>
    </xf>
    <xf numFmtId="0" fontId="50" fillId="10" borderId="95" xfId="15" applyFont="1" applyFill="1" applyBorder="1" applyAlignment="1">
      <alignment horizontal="center" vertical="center"/>
    </xf>
    <xf numFmtId="0" fontId="47" fillId="10" borderId="119" xfId="15" applyFont="1" applyFill="1" applyBorder="1" applyAlignment="1">
      <alignment horizontal="center" vertical="center"/>
    </xf>
    <xf numFmtId="0" fontId="47" fillId="10" borderId="120" xfId="15" applyFont="1" applyFill="1" applyBorder="1" applyAlignment="1">
      <alignment horizontal="center" vertical="center"/>
    </xf>
    <xf numFmtId="0" fontId="13" fillId="14" borderId="33" xfId="15" applyFill="1" applyBorder="1" applyAlignment="1">
      <alignment horizontal="center"/>
    </xf>
    <xf numFmtId="0" fontId="13" fillId="14" borderId="32" xfId="15" applyFill="1" applyBorder="1" applyAlignment="1">
      <alignment horizontal="center"/>
    </xf>
    <xf numFmtId="0" fontId="47" fillId="12" borderId="99" xfId="15" applyFont="1" applyFill="1" applyBorder="1" applyAlignment="1">
      <alignment horizontal="center" vertical="center"/>
    </xf>
    <xf numFmtId="0" fontId="47" fillId="12" borderId="91" xfId="15" applyFont="1" applyFill="1" applyBorder="1" applyAlignment="1">
      <alignment horizontal="center" vertical="center"/>
    </xf>
    <xf numFmtId="0" fontId="47" fillId="10" borderId="102" xfId="15" applyFont="1" applyFill="1" applyBorder="1" applyAlignment="1">
      <alignment horizontal="center" vertical="center"/>
    </xf>
    <xf numFmtId="0" fontId="47" fillId="10" borderId="101" xfId="15" applyFont="1" applyFill="1" applyBorder="1" applyAlignment="1">
      <alignment horizontal="center" vertical="center"/>
    </xf>
    <xf numFmtId="0" fontId="50" fillId="10" borderId="104" xfId="15" applyFont="1" applyFill="1" applyBorder="1" applyAlignment="1">
      <alignment horizontal="center" vertical="center"/>
    </xf>
    <xf numFmtId="0" fontId="50" fillId="10" borderId="97" xfId="15" applyFont="1" applyFill="1" applyBorder="1" applyAlignment="1">
      <alignment horizontal="center" vertical="center"/>
    </xf>
    <xf numFmtId="0" fontId="50" fillId="10" borderId="88" xfId="15" applyFont="1" applyFill="1" applyBorder="1" applyAlignment="1">
      <alignment horizontal="center" vertical="center"/>
    </xf>
    <xf numFmtId="0" fontId="50" fillId="12" borderId="82" xfId="15" applyFont="1" applyFill="1" applyBorder="1" applyAlignment="1">
      <alignment horizontal="center" vertical="center" wrapText="1"/>
    </xf>
    <xf numFmtId="0" fontId="50" fillId="12" borderId="89" xfId="15" applyFont="1" applyFill="1" applyBorder="1" applyAlignment="1">
      <alignment horizontal="center" vertical="center" wrapText="1"/>
    </xf>
    <xf numFmtId="0" fontId="47" fillId="11" borderId="86" xfId="15" applyFont="1" applyFill="1" applyBorder="1" applyAlignment="1">
      <alignment horizontal="center" vertical="center"/>
    </xf>
    <xf numFmtId="0" fontId="47" fillId="11" borderId="88" xfId="15" applyFont="1" applyFill="1" applyBorder="1" applyAlignment="1">
      <alignment horizontal="center" vertical="center"/>
    </xf>
    <xf numFmtId="0" fontId="47" fillId="11" borderId="82" xfId="15" applyFont="1" applyFill="1" applyBorder="1" applyAlignment="1">
      <alignment horizontal="center" vertical="center"/>
    </xf>
    <xf numFmtId="0" fontId="47" fillId="11" borderId="89" xfId="15" applyFont="1" applyFill="1" applyBorder="1" applyAlignment="1">
      <alignment horizontal="center" vertical="center"/>
    </xf>
    <xf numFmtId="0" fontId="47" fillId="10" borderId="96" xfId="15" applyFont="1" applyFill="1" applyBorder="1" applyAlignment="1">
      <alignment horizontal="center" vertical="center"/>
    </xf>
    <xf numFmtId="0" fontId="47" fillId="12" borderId="98" xfId="15" applyFont="1" applyFill="1" applyBorder="1" applyAlignment="1">
      <alignment horizontal="center" wrapText="1"/>
    </xf>
    <xf numFmtId="0" fontId="47" fillId="12" borderId="87" xfId="15" applyFont="1" applyFill="1" applyBorder="1" applyAlignment="1">
      <alignment horizontal="center" wrapText="1"/>
    </xf>
    <xf numFmtId="0" fontId="13" fillId="14" borderId="59" xfId="15" applyFill="1" applyBorder="1" applyAlignment="1">
      <alignment horizontal="center" vertical="center"/>
    </xf>
    <xf numFmtId="0" fontId="13" fillId="14" borderId="58" xfId="15" applyFill="1" applyBorder="1" applyAlignment="1">
      <alignment horizontal="center" vertical="center"/>
    </xf>
    <xf numFmtId="0" fontId="13" fillId="14" borderId="53" xfId="15" applyFill="1" applyBorder="1" applyAlignment="1">
      <alignment horizontal="center" vertical="center"/>
    </xf>
    <xf numFmtId="2" fontId="13" fillId="0" borderId="32" xfId="15" applyNumberFormat="1" applyBorder="1" applyAlignment="1">
      <alignment horizontal="center"/>
    </xf>
    <xf numFmtId="2" fontId="13" fillId="0" borderId="33" xfId="15" applyNumberFormat="1" applyBorder="1" applyAlignment="1">
      <alignment horizontal="center"/>
    </xf>
    <xf numFmtId="0" fontId="20" fillId="0" borderId="7" xfId="15" applyFont="1" applyFill="1" applyBorder="1" applyAlignment="1">
      <alignment horizontal="right" wrapText="1"/>
    </xf>
    <xf numFmtId="0" fontId="20" fillId="0" borderId="0" xfId="15" applyFont="1" applyFill="1" applyBorder="1" applyAlignment="1">
      <alignment horizontal="right" wrapText="1"/>
    </xf>
    <xf numFmtId="2" fontId="20" fillId="0" borderId="0" xfId="15" applyNumberFormat="1" applyFont="1" applyBorder="1" applyAlignment="1">
      <alignment horizontal="right" vertical="center"/>
    </xf>
    <xf numFmtId="0" fontId="13" fillId="0" borderId="0" xfId="15" quotePrefix="1" applyBorder="1" applyAlignment="1">
      <alignment horizontal="right"/>
    </xf>
    <xf numFmtId="0" fontId="13" fillId="0" borderId="0" xfId="15" applyBorder="1" applyAlignment="1">
      <alignment horizontal="right"/>
    </xf>
    <xf numFmtId="0" fontId="13" fillId="0" borderId="0" xfId="15" quotePrefix="1" applyBorder="1" applyAlignment="1">
      <alignment horizontal="center"/>
    </xf>
    <xf numFmtId="0" fontId="13" fillId="0" borderId="0" xfId="15" applyBorder="1" applyAlignment="1">
      <alignment horizontal="center"/>
    </xf>
    <xf numFmtId="0" fontId="58" fillId="0" borderId="13" xfId="15" applyFont="1" applyFill="1" applyBorder="1" applyAlignment="1">
      <alignment horizontal="center" vertical="center"/>
    </xf>
    <xf numFmtId="0" fontId="47" fillId="10" borderId="91" xfId="15" applyFont="1" applyFill="1" applyBorder="1" applyAlignment="1">
      <alignment horizontal="center" vertical="center"/>
    </xf>
    <xf numFmtId="0" fontId="47" fillId="10" borderId="111" xfId="15" applyFont="1" applyFill="1" applyBorder="1" applyAlignment="1">
      <alignment horizontal="center" vertical="center"/>
    </xf>
    <xf numFmtId="0" fontId="50" fillId="10" borderId="110" xfId="15" applyFont="1" applyFill="1" applyBorder="1" applyAlignment="1">
      <alignment horizontal="center" vertical="center"/>
    </xf>
    <xf numFmtId="0" fontId="50" fillId="10" borderId="91" xfId="15" applyFont="1" applyFill="1" applyBorder="1" applyAlignment="1">
      <alignment horizontal="center" vertical="center"/>
    </xf>
    <xf numFmtId="0" fontId="50" fillId="11" borderId="110" xfId="15" applyFont="1" applyFill="1" applyBorder="1" applyAlignment="1">
      <alignment horizontal="center" vertical="center"/>
    </xf>
    <xf numFmtId="0" fontId="50" fillId="11" borderId="91" xfId="15" applyFont="1" applyFill="1" applyBorder="1" applyAlignment="1">
      <alignment horizontal="center" vertical="center"/>
    </xf>
    <xf numFmtId="0" fontId="50" fillId="10" borderId="112" xfId="15" applyFont="1" applyFill="1" applyBorder="1" applyAlignment="1">
      <alignment horizontal="center" vertical="center"/>
    </xf>
    <xf numFmtId="0" fontId="50" fillId="10" borderId="111" xfId="15" applyFont="1" applyFill="1" applyBorder="1" applyAlignment="1">
      <alignment horizontal="center" vertical="center"/>
    </xf>
    <xf numFmtId="0" fontId="47" fillId="11" borderId="91" xfId="15" applyFont="1" applyFill="1" applyBorder="1" applyAlignment="1">
      <alignment horizontal="center" vertical="center"/>
    </xf>
    <xf numFmtId="0" fontId="47" fillId="11" borderId="111" xfId="15" applyFont="1" applyFill="1" applyBorder="1" applyAlignment="1">
      <alignment horizontal="center" vertical="center"/>
    </xf>
    <xf numFmtId="2" fontId="13" fillId="0" borderId="34" xfId="15" applyNumberFormat="1" applyBorder="1" applyAlignment="1">
      <alignment horizontal="center"/>
    </xf>
    <xf numFmtId="0" fontId="28" fillId="0" borderId="66" xfId="16" applyFont="1" applyBorder="1" applyAlignment="1">
      <alignment horizontal="center" vertical="center"/>
    </xf>
    <xf numFmtId="0" fontId="28" fillId="0" borderId="67" xfId="16" applyFont="1" applyBorder="1" applyAlignment="1">
      <alignment horizontal="center" vertical="center"/>
    </xf>
    <xf numFmtId="0" fontId="20" fillId="0" borderId="48" xfId="15" applyFont="1" applyBorder="1" applyAlignment="1">
      <alignment horizontal="center" vertical="center"/>
    </xf>
    <xf numFmtId="0" fontId="44" fillId="10" borderId="17" xfId="15" applyFont="1" applyFill="1" applyBorder="1" applyAlignment="1">
      <alignment horizontal="center" vertical="center"/>
    </xf>
    <xf numFmtId="0" fontId="44" fillId="10" borderId="81" xfId="15" applyFont="1" applyFill="1" applyBorder="1" applyAlignment="1">
      <alignment horizontal="center" vertical="center"/>
    </xf>
    <xf numFmtId="0" fontId="67" fillId="10" borderId="69" xfId="15" applyFont="1" applyFill="1" applyBorder="1" applyAlignment="1">
      <alignment horizontal="center" vertical="center"/>
    </xf>
    <xf numFmtId="0" fontId="67" fillId="10" borderId="3" xfId="15" applyFont="1" applyFill="1" applyBorder="1" applyAlignment="1">
      <alignment horizontal="center" vertical="center"/>
    </xf>
    <xf numFmtId="0" fontId="44" fillId="10" borderId="71" xfId="15" applyFont="1" applyFill="1" applyBorder="1" applyAlignment="1">
      <alignment horizontal="center" vertical="center"/>
    </xf>
    <xf numFmtId="0" fontId="44" fillId="10" borderId="50" xfId="15" applyFont="1" applyFill="1" applyBorder="1" applyAlignment="1">
      <alignment horizontal="center" vertical="center"/>
    </xf>
    <xf numFmtId="0" fontId="67" fillId="10" borderId="16" xfId="15" applyFont="1" applyFill="1" applyBorder="1" applyAlignment="1">
      <alignment horizontal="center" vertical="center"/>
    </xf>
    <xf numFmtId="0" fontId="44" fillId="10" borderId="16" xfId="15" applyFont="1" applyFill="1" applyBorder="1" applyAlignment="1">
      <alignment horizontal="center" vertical="center"/>
    </xf>
    <xf numFmtId="0" fontId="44" fillId="10" borderId="3" xfId="15" applyFont="1" applyFill="1" applyBorder="1" applyAlignment="1">
      <alignment horizontal="center" vertical="center"/>
    </xf>
    <xf numFmtId="0" fontId="67" fillId="10" borderId="70" xfId="15" applyFont="1" applyFill="1" applyBorder="1" applyAlignment="1">
      <alignment horizontal="center" vertical="center"/>
    </xf>
    <xf numFmtId="0" fontId="45" fillId="10" borderId="71" xfId="15" applyFont="1" applyFill="1" applyBorder="1" applyAlignment="1">
      <alignment horizontal="center" vertical="center"/>
    </xf>
    <xf numFmtId="0" fontId="67" fillId="10" borderId="68" xfId="15" applyFont="1" applyFill="1" applyBorder="1" applyAlignment="1">
      <alignment horizontal="center" vertical="center"/>
    </xf>
    <xf numFmtId="0" fontId="67" fillId="10" borderId="55" xfId="15" applyFont="1" applyFill="1" applyBorder="1" applyAlignment="1">
      <alignment horizontal="center" vertical="center"/>
    </xf>
    <xf numFmtId="0" fontId="44" fillId="10" borderId="74" xfId="15" applyFont="1" applyFill="1" applyBorder="1" applyAlignment="1">
      <alignment horizontal="center" vertical="center"/>
    </xf>
    <xf numFmtId="0" fontId="44" fillId="10" borderId="73" xfId="15" applyFont="1" applyFill="1" applyBorder="1" applyAlignment="1">
      <alignment horizontal="center" vertical="center"/>
    </xf>
    <xf numFmtId="0" fontId="44" fillId="10" borderId="55" xfId="15" applyFont="1" applyFill="1" applyBorder="1" applyAlignment="1">
      <alignment horizontal="center" vertical="center"/>
    </xf>
    <xf numFmtId="0" fontId="44" fillId="10" borderId="72" xfId="15" applyFont="1" applyFill="1" applyBorder="1" applyAlignment="1">
      <alignment horizontal="center" vertical="center"/>
    </xf>
    <xf numFmtId="0" fontId="67" fillId="10" borderId="71" xfId="15" applyFont="1" applyFill="1" applyBorder="1" applyAlignment="1">
      <alignment horizontal="center" vertical="center"/>
    </xf>
    <xf numFmtId="0" fontId="67" fillId="10" borderId="74" xfId="15" applyFont="1" applyFill="1" applyBorder="1" applyAlignment="1">
      <alignment horizontal="center" vertical="center"/>
    </xf>
    <xf numFmtId="0" fontId="67" fillId="10" borderId="73" xfId="15" applyFont="1" applyFill="1" applyBorder="1" applyAlignment="1">
      <alignment horizontal="center" vertical="center"/>
    </xf>
    <xf numFmtId="0" fontId="67" fillId="10" borderId="49" xfId="15" applyFont="1" applyFill="1" applyBorder="1" applyAlignment="1">
      <alignment horizontal="center" vertical="center"/>
    </xf>
    <xf numFmtId="0" fontId="44" fillId="12" borderId="47" xfId="15" applyFont="1" applyFill="1" applyBorder="1" applyAlignment="1">
      <alignment horizontal="center" vertical="center" wrapText="1"/>
    </xf>
    <xf numFmtId="0" fontId="44" fillId="12" borderId="71" xfId="15" applyFont="1" applyFill="1" applyBorder="1" applyAlignment="1">
      <alignment horizontal="center" vertical="center"/>
    </xf>
    <xf numFmtId="0" fontId="44" fillId="12" borderId="65" xfId="15" applyFont="1" applyFill="1" applyBorder="1" applyAlignment="1">
      <alignment horizontal="center" vertical="center"/>
    </xf>
    <xf numFmtId="0" fontId="44" fillId="12" borderId="18" xfId="15" applyFont="1" applyFill="1" applyBorder="1" applyAlignment="1">
      <alignment horizontal="center" vertical="center"/>
    </xf>
    <xf numFmtId="0" fontId="44" fillId="10" borderId="54" xfId="15" applyFont="1" applyFill="1" applyBorder="1" applyAlignment="1">
      <alignment horizontal="center" vertical="center"/>
    </xf>
    <xf numFmtId="0" fontId="44" fillId="10" borderId="56" xfId="15" applyFont="1" applyFill="1" applyBorder="1" applyAlignment="1">
      <alignment horizontal="center" vertical="center"/>
    </xf>
    <xf numFmtId="0" fontId="67" fillId="12" borderId="16" xfId="15" applyFont="1" applyFill="1" applyBorder="1" applyAlignment="1">
      <alignment horizontal="center" vertical="center" wrapText="1"/>
    </xf>
    <xf numFmtId="0" fontId="67" fillId="12" borderId="73" xfId="15" applyFont="1" applyFill="1" applyBorder="1" applyAlignment="1">
      <alignment horizontal="center" vertical="center" wrapText="1"/>
    </xf>
    <xf numFmtId="0" fontId="67" fillId="10" borderId="52" xfId="15" applyFont="1" applyFill="1" applyBorder="1" applyAlignment="1">
      <alignment horizontal="center" vertical="center"/>
    </xf>
    <xf numFmtId="0" fontId="67" fillId="10" borderId="72" xfId="15" applyFont="1" applyFill="1" applyBorder="1" applyAlignment="1">
      <alignment horizontal="center" vertical="center"/>
    </xf>
    <xf numFmtId="0" fontId="44" fillId="0" borderId="75" xfId="15" applyFont="1" applyFill="1" applyBorder="1" applyAlignment="1">
      <alignment horizontal="center" vertical="center"/>
    </xf>
    <xf numFmtId="0" fontId="44" fillId="0" borderId="76" xfId="15" applyFont="1" applyFill="1" applyBorder="1" applyAlignment="1">
      <alignment horizontal="center" vertical="center"/>
    </xf>
    <xf numFmtId="0" fontId="67" fillId="11" borderId="70" xfId="15" applyFont="1" applyFill="1" applyBorder="1" applyAlignment="1">
      <alignment horizontal="center" vertical="center"/>
    </xf>
    <xf numFmtId="0" fontId="67" fillId="11" borderId="71" xfId="15" applyFont="1" applyFill="1" applyBorder="1" applyAlignment="1">
      <alignment horizontal="center" vertical="center"/>
    </xf>
    <xf numFmtId="0" fontId="44" fillId="11" borderId="16" xfId="15" applyFont="1" applyFill="1" applyBorder="1" applyAlignment="1">
      <alignment horizontal="center" vertical="center"/>
    </xf>
    <xf numFmtId="0" fontId="44" fillId="11" borderId="73" xfId="15" applyFont="1" applyFill="1" applyBorder="1" applyAlignment="1">
      <alignment horizontal="center" vertical="center"/>
    </xf>
    <xf numFmtId="0" fontId="67" fillId="10" borderId="1" xfId="15" applyFont="1" applyFill="1" applyBorder="1" applyAlignment="1">
      <alignment horizontal="center" vertical="center"/>
    </xf>
    <xf numFmtId="0" fontId="44" fillId="10" borderId="49" xfId="15" applyFont="1" applyFill="1" applyBorder="1" applyAlignment="1">
      <alignment horizontal="center" vertical="center"/>
    </xf>
    <xf numFmtId="0" fontId="67" fillId="11" borderId="68" xfId="15" applyFont="1" applyFill="1" applyBorder="1" applyAlignment="1">
      <alignment horizontal="center" vertical="center"/>
    </xf>
    <xf numFmtId="0" fontId="67" fillId="11" borderId="55" xfId="15" applyFont="1" applyFill="1" applyBorder="1" applyAlignment="1">
      <alignment horizontal="center" vertical="center"/>
    </xf>
    <xf numFmtId="0" fontId="44" fillId="11" borderId="55" xfId="15" applyFont="1" applyFill="1" applyBorder="1" applyAlignment="1">
      <alignment horizontal="center" vertical="center"/>
    </xf>
    <xf numFmtId="0" fontId="44" fillId="11" borderId="72" xfId="15" applyFont="1" applyFill="1" applyBorder="1" applyAlignment="1">
      <alignment horizontal="center" vertical="center"/>
    </xf>
    <xf numFmtId="0" fontId="67" fillId="10" borderId="77" xfId="15" applyFont="1" applyFill="1" applyBorder="1" applyAlignment="1">
      <alignment horizontal="center" vertical="center"/>
    </xf>
    <xf numFmtId="0" fontId="67" fillId="10" borderId="17" xfId="15" applyFont="1" applyFill="1" applyBorder="1" applyAlignment="1">
      <alignment horizontal="center" vertical="center"/>
    </xf>
    <xf numFmtId="0" fontId="67" fillId="11" borderId="69" xfId="15" applyFont="1" applyFill="1" applyBorder="1" applyAlignment="1">
      <alignment horizontal="center" vertical="center"/>
    </xf>
    <xf numFmtId="0" fontId="67" fillId="11" borderId="16" xfId="15" applyFont="1" applyFill="1" applyBorder="1" applyAlignment="1">
      <alignment horizontal="center" vertical="center"/>
    </xf>
    <xf numFmtId="0" fontId="67" fillId="10" borderId="78" xfId="15" applyFont="1" applyFill="1" applyBorder="1" applyAlignment="1">
      <alignment horizontal="center" vertical="center"/>
    </xf>
    <xf numFmtId="0" fontId="44" fillId="0" borderId="79" xfId="15" applyFont="1" applyFill="1" applyBorder="1" applyAlignment="1">
      <alignment horizontal="center" vertical="center"/>
    </xf>
    <xf numFmtId="0" fontId="44" fillId="0" borderId="80" xfId="15" applyFont="1" applyFill="1" applyBorder="1" applyAlignment="1">
      <alignment horizontal="center" vertical="center"/>
    </xf>
    <xf numFmtId="0" fontId="67" fillId="11" borderId="77" xfId="15" applyFont="1" applyFill="1" applyBorder="1" applyAlignment="1">
      <alignment horizontal="center" vertical="center"/>
    </xf>
    <xf numFmtId="0" fontId="67" fillId="11" borderId="17" xfId="15" applyFont="1" applyFill="1" applyBorder="1" applyAlignment="1">
      <alignment horizontal="center" vertical="center"/>
    </xf>
    <xf numFmtId="0" fontId="1" fillId="18" borderId="115" xfId="0" applyFont="1" applyFill="1" applyBorder="1" applyAlignment="1">
      <alignment horizontal="center"/>
    </xf>
    <xf numFmtId="0" fontId="1" fillId="5" borderId="115" xfId="0" applyFont="1" applyFill="1" applyBorder="1" applyAlignment="1">
      <alignment horizontal="center"/>
    </xf>
    <xf numFmtId="0" fontId="1" fillId="5" borderId="114" xfId="0" applyFont="1" applyFill="1" applyBorder="1" applyAlignment="1">
      <alignment horizontal="center"/>
    </xf>
    <xf numFmtId="0" fontId="12" fillId="7" borderId="16" xfId="0" applyFont="1" applyFill="1" applyBorder="1" applyAlignment="1" applyProtection="1">
      <alignment horizontal="center" wrapText="1"/>
      <protection locked="0"/>
    </xf>
    <xf numFmtId="0" fontId="12" fillId="7" borderId="16" xfId="0" applyFont="1" applyFill="1" applyBorder="1" applyAlignment="1">
      <alignment horizontal="center"/>
    </xf>
    <xf numFmtId="0" fontId="11" fillId="6" borderId="17" xfId="0" applyFont="1" applyFill="1" applyBorder="1" applyAlignment="1" applyProtection="1">
      <alignment horizontal="center"/>
      <protection locked="0"/>
    </xf>
    <xf numFmtId="0" fontId="11" fillId="6" borderId="19" xfId="0" applyFont="1" applyFill="1" applyBorder="1" applyAlignment="1" applyProtection="1">
      <alignment horizontal="center"/>
      <protection locked="0"/>
    </xf>
    <xf numFmtId="0" fontId="11" fillId="6" borderId="18" xfId="0" applyFont="1" applyFill="1" applyBorder="1" applyAlignment="1" applyProtection="1">
      <alignment horizontal="center"/>
      <protection locked="0"/>
    </xf>
    <xf numFmtId="0" fontId="62" fillId="15" borderId="0" xfId="0" applyFont="1" applyFill="1" applyAlignment="1" applyProtection="1">
      <alignment horizontal="left"/>
      <protection locked="0"/>
    </xf>
    <xf numFmtId="0" fontId="66" fillId="0" borderId="0" xfId="0" applyFont="1" applyAlignment="1" applyProtection="1">
      <alignment horizontal="left"/>
      <protection locked="0"/>
    </xf>
    <xf numFmtId="0" fontId="73" fillId="0" borderId="7" xfId="0" applyFont="1" applyBorder="1" applyAlignment="1" applyProtection="1">
      <alignment horizontal="center" vertical="center"/>
      <protection locked="0"/>
    </xf>
    <xf numFmtId="0" fontId="65" fillId="0" borderId="0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/>
      <protection locked="0"/>
    </xf>
    <xf numFmtId="0" fontId="12" fillId="7" borderId="3" xfId="0" applyFont="1" applyFill="1" applyBorder="1" applyAlignment="1">
      <alignment horizontal="center"/>
    </xf>
    <xf numFmtId="0" fontId="11" fillId="6" borderId="79" xfId="0" applyFont="1" applyFill="1" applyBorder="1" applyAlignment="1" applyProtection="1">
      <alignment horizontal="center"/>
      <protection locked="0"/>
    </xf>
    <xf numFmtId="0" fontId="82" fillId="18" borderId="115" xfId="0" applyFont="1" applyFill="1" applyBorder="1" applyAlignment="1">
      <alignment horizontal="center"/>
    </xf>
    <xf numFmtId="0" fontId="82" fillId="18" borderId="114" xfId="0" applyFont="1" applyFill="1" applyBorder="1" applyAlignment="1">
      <alignment horizontal="center"/>
    </xf>
    <xf numFmtId="0" fontId="83" fillId="15" borderId="0" xfId="0" applyFont="1" applyFill="1" applyAlignment="1" applyProtection="1">
      <alignment horizontal="left"/>
      <protection locked="0"/>
    </xf>
  </cellXfs>
  <cellStyles count="116">
    <cellStyle name="Excel Built-in Normal" xfId="15" xr:uid="{00000000-0005-0000-0000-000000000000}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96" builtinId="8"/>
    <cellStyle name="Normal" xfId="0" builtinId="0"/>
    <cellStyle name="Normal 2" xfId="16" xr:uid="{00000000-0005-0000-0000-000072000000}"/>
    <cellStyle name="Normal 3" xfId="115" xr:uid="{00000000-0005-0000-0000-000073000000}"/>
  </cellStyles>
  <dxfs count="3915"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rgb="FF000000"/>
          <bgColor rgb="FFDDD6E8"/>
        </patternFill>
      </fill>
      <border>
        <top style="thin">
          <color rgb="FFA6A6A6"/>
        </top>
        <bottom style="thin">
          <color rgb="FFA6A6A6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rgb="FF000000"/>
          <bgColor rgb="FFDDD6E8"/>
        </patternFill>
      </fill>
      <border>
        <top style="thin">
          <color rgb="FFA6A6A6"/>
        </top>
        <bottom style="thin">
          <color rgb="FFA6A6A6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rgb="FF000000"/>
          <bgColor rgb="FFDDD6E8"/>
        </patternFill>
      </fill>
      <border>
        <top style="thin">
          <color rgb="FFA6A6A6"/>
        </top>
        <bottom style="thin">
          <color rgb="FFA6A6A6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</dxfs>
  <tableStyles count="0" defaultTableStyle="TableStyleMedium9" defaultPivotStyle="PivotStyleMedium4"/>
  <colors>
    <mruColors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129540</xdr:colOff>
      <xdr:row>28</xdr:row>
      <xdr:rowOff>71966</xdr:rowOff>
    </xdr:from>
    <xdr:to>
      <xdr:col>37</xdr:col>
      <xdr:colOff>332740</xdr:colOff>
      <xdr:row>43</xdr:row>
      <xdr:rowOff>47892</xdr:rowOff>
    </xdr:to>
    <xdr:pic>
      <xdr:nvPicPr>
        <xdr:cNvPr id="2" name="Picture 1" descr="staveFaceConvention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1290" y="5522383"/>
          <a:ext cx="2901950" cy="2833426"/>
        </a:xfrm>
        <a:prstGeom prst="rect">
          <a:avLst/>
        </a:prstGeom>
      </xdr:spPr>
    </xdr:pic>
    <xdr:clientData/>
  </xdr:twoCellAnchor>
  <xdr:twoCellAnchor editAs="oneCell">
    <xdr:from>
      <xdr:col>31</xdr:col>
      <xdr:colOff>71436</xdr:colOff>
      <xdr:row>10</xdr:row>
      <xdr:rowOff>0</xdr:rowOff>
    </xdr:from>
    <xdr:to>
      <xdr:col>32</xdr:col>
      <xdr:colOff>9524</xdr:colOff>
      <xdr:row>10</xdr:row>
      <xdr:rowOff>166687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r="7195" b="16667"/>
        <a:stretch/>
      </xdr:blipFill>
      <xdr:spPr bwMode="auto">
        <a:xfrm flipH="1">
          <a:off x="7727155" y="2024063"/>
          <a:ext cx="307182" cy="166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406718</xdr:colOff>
      <xdr:row>19</xdr:row>
      <xdr:rowOff>180976</xdr:rowOff>
    </xdr:from>
    <xdr:to>
      <xdr:col>43</xdr:col>
      <xdr:colOff>80963</xdr:colOff>
      <xdr:row>78</xdr:row>
      <xdr:rowOff>142875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41718" y="4848226"/>
          <a:ext cx="7103745" cy="4414837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380999</xdr:colOff>
      <xdr:row>8</xdr:row>
      <xdr:rowOff>400793</xdr:rowOff>
    </xdr:from>
    <xdr:to>
      <xdr:col>3</xdr:col>
      <xdr:colOff>576942</xdr:colOff>
      <xdr:row>22</xdr:row>
      <xdr:rowOff>171204</xdr:rowOff>
    </xdr:to>
    <xdr:sp macro="" textlink="">
      <xdr:nvSpPr>
        <xdr:cNvPr id="3" name="Left Brac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904999" y="2791568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15</xdr:row>
      <xdr:rowOff>108857</xdr:rowOff>
    </xdr:from>
    <xdr:to>
      <xdr:col>2</xdr:col>
      <xdr:colOff>1212280</xdr:colOff>
      <xdr:row>16</xdr:row>
      <xdr:rowOff>32658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163294" y="3966482"/>
          <a:ext cx="315686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16</xdr:row>
      <xdr:rowOff>163286</xdr:rowOff>
    </xdr:from>
    <xdr:to>
      <xdr:col>2</xdr:col>
      <xdr:colOff>1190508</xdr:colOff>
      <xdr:row>17</xdr:row>
      <xdr:rowOff>119743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 bwMode="auto">
        <a:xfrm flipV="1">
          <a:off x="1119751" y="4211411"/>
          <a:ext cx="337457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0</xdr:row>
      <xdr:rowOff>19050</xdr:rowOff>
    </xdr:from>
    <xdr:ext cx="7041957" cy="990601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532783" y="190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3</xdr:col>
      <xdr:colOff>380999</xdr:colOff>
      <xdr:row>74</xdr:row>
      <xdr:rowOff>400793</xdr:rowOff>
    </xdr:from>
    <xdr:to>
      <xdr:col>3</xdr:col>
      <xdr:colOff>576942</xdr:colOff>
      <xdr:row>88</xdr:row>
      <xdr:rowOff>171204</xdr:rowOff>
    </xdr:to>
    <xdr:sp macro="" textlink="">
      <xdr:nvSpPr>
        <xdr:cNvPr id="7" name="Left Brac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1904999" y="17831543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81</xdr:row>
      <xdr:rowOff>108857</xdr:rowOff>
    </xdr:from>
    <xdr:to>
      <xdr:col>2</xdr:col>
      <xdr:colOff>1212280</xdr:colOff>
      <xdr:row>82</xdr:row>
      <xdr:rowOff>32658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 bwMode="auto">
        <a:xfrm>
          <a:off x="1163294" y="19006457"/>
          <a:ext cx="315686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82</xdr:row>
      <xdr:rowOff>163286</xdr:rowOff>
    </xdr:from>
    <xdr:to>
      <xdr:col>2</xdr:col>
      <xdr:colOff>1190508</xdr:colOff>
      <xdr:row>83</xdr:row>
      <xdr:rowOff>119743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V="1">
          <a:off x="1119751" y="19251386"/>
          <a:ext cx="337457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67</xdr:row>
      <xdr:rowOff>19050</xdr:rowOff>
    </xdr:from>
    <xdr:ext cx="7041957" cy="990601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2532783" y="15154275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13</xdr:col>
      <xdr:colOff>512618</xdr:colOff>
      <xdr:row>54</xdr:row>
      <xdr:rowOff>41563</xdr:rowOff>
    </xdr:from>
    <xdr:to>
      <xdr:col>14</xdr:col>
      <xdr:colOff>526472</xdr:colOff>
      <xdr:row>58</xdr:row>
      <xdr:rowOff>110836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 bwMode="auto">
        <a:xfrm flipH="1" flipV="1">
          <a:off x="11380643" y="12719338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512619</xdr:colOff>
      <xdr:row>54</xdr:row>
      <xdr:rowOff>13854</xdr:rowOff>
    </xdr:from>
    <xdr:to>
      <xdr:col>19</xdr:col>
      <xdr:colOff>928255</xdr:colOff>
      <xdr:row>54</xdr:row>
      <xdr:rowOff>27709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 bwMode="auto">
        <a:xfrm flipH="1" flipV="1">
          <a:off x="7437294" y="12691629"/>
          <a:ext cx="10274011" cy="13855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540339</xdr:colOff>
      <xdr:row>54</xdr:row>
      <xdr:rowOff>69272</xdr:rowOff>
    </xdr:from>
    <xdr:to>
      <xdr:col>20</xdr:col>
      <xdr:colOff>554193</xdr:colOff>
      <xdr:row>58</xdr:row>
      <xdr:rowOff>138545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 bwMode="auto">
        <a:xfrm flipH="1" flipV="1">
          <a:off x="17323389" y="12747047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609617</xdr:colOff>
      <xdr:row>120</xdr:row>
      <xdr:rowOff>69419</xdr:rowOff>
    </xdr:from>
    <xdr:to>
      <xdr:col>14</xdr:col>
      <xdr:colOff>623471</xdr:colOff>
      <xdr:row>124</xdr:row>
      <xdr:rowOff>138692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 bwMode="auto">
        <a:xfrm flipH="1" flipV="1">
          <a:off x="11477642" y="27787169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609618</xdr:colOff>
      <xdr:row>120</xdr:row>
      <xdr:rowOff>41710</xdr:rowOff>
    </xdr:from>
    <xdr:to>
      <xdr:col>19</xdr:col>
      <xdr:colOff>1025254</xdr:colOff>
      <xdr:row>120</xdr:row>
      <xdr:rowOff>55565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 bwMode="auto">
        <a:xfrm flipH="1" flipV="1">
          <a:off x="7534293" y="27759460"/>
          <a:ext cx="10207336" cy="13855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637338</xdr:colOff>
      <xdr:row>120</xdr:row>
      <xdr:rowOff>97128</xdr:rowOff>
    </xdr:from>
    <xdr:to>
      <xdr:col>20</xdr:col>
      <xdr:colOff>651192</xdr:colOff>
      <xdr:row>124</xdr:row>
      <xdr:rowOff>166401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 bwMode="auto">
        <a:xfrm flipH="1" flipV="1">
          <a:off x="17420388" y="27814878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27</xdr:col>
      <xdr:colOff>309563</xdr:colOff>
      <xdr:row>19</xdr:row>
      <xdr:rowOff>142875</xdr:rowOff>
    </xdr:from>
    <xdr:to>
      <xdr:col>30</xdr:col>
      <xdr:colOff>244568</xdr:colOff>
      <xdr:row>140</xdr:row>
      <xdr:rowOff>84365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59376" y="4810125"/>
          <a:ext cx="1590674" cy="8275864"/>
        </a:xfrm>
        <a:prstGeom prst="rect">
          <a:avLst/>
        </a:prstGeom>
      </xdr:spPr>
    </xdr:pic>
    <xdr:clientData/>
  </xdr:twoCellAnchor>
  <xdr:twoCellAnchor editAs="oneCell">
    <xdr:from>
      <xdr:col>27</xdr:col>
      <xdr:colOff>223836</xdr:colOff>
      <xdr:row>0</xdr:row>
      <xdr:rowOff>859972</xdr:rowOff>
    </xdr:from>
    <xdr:to>
      <xdr:col>39</xdr:col>
      <xdr:colOff>446633</xdr:colOff>
      <xdr:row>18</xdr:row>
      <xdr:rowOff>98368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4443300" y="859972"/>
          <a:ext cx="7178449" cy="3674325"/>
        </a:xfrm>
        <a:prstGeom prst="rect">
          <a:avLst/>
        </a:prstGeom>
      </xdr:spPr>
    </xdr:pic>
    <xdr:clientData/>
  </xdr:twoCellAnchor>
  <xdr:twoCellAnchor>
    <xdr:from>
      <xdr:col>30</xdr:col>
      <xdr:colOff>406718</xdr:colOff>
      <xdr:row>19</xdr:row>
      <xdr:rowOff>180976</xdr:rowOff>
    </xdr:from>
    <xdr:to>
      <xdr:col>43</xdr:col>
      <xdr:colOff>80963</xdr:colOff>
      <xdr:row>78</xdr:row>
      <xdr:rowOff>142875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2343" y="4810126"/>
          <a:ext cx="6979920" cy="441959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=""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380999</xdr:colOff>
      <xdr:row>8</xdr:row>
      <xdr:rowOff>400793</xdr:rowOff>
    </xdr:from>
    <xdr:to>
      <xdr:col>3</xdr:col>
      <xdr:colOff>576942</xdr:colOff>
      <xdr:row>22</xdr:row>
      <xdr:rowOff>171204</xdr:rowOff>
    </xdr:to>
    <xdr:sp macro="" textlink="">
      <xdr:nvSpPr>
        <xdr:cNvPr id="21" name="Left Brac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2133599" y="2801093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15</xdr:row>
      <xdr:rowOff>108857</xdr:rowOff>
    </xdr:from>
    <xdr:to>
      <xdr:col>2</xdr:col>
      <xdr:colOff>1212280</xdr:colOff>
      <xdr:row>16</xdr:row>
      <xdr:rowOff>32658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 bwMode="auto">
        <a:xfrm>
          <a:off x="1753844" y="3976007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16</xdr:row>
      <xdr:rowOff>163286</xdr:rowOff>
    </xdr:from>
    <xdr:to>
      <xdr:col>2</xdr:col>
      <xdr:colOff>1190508</xdr:colOff>
      <xdr:row>17</xdr:row>
      <xdr:rowOff>119743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 bwMode="auto">
        <a:xfrm flipV="1">
          <a:off x="1729351" y="4220936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0</xdr:row>
      <xdr:rowOff>19050</xdr:rowOff>
    </xdr:from>
    <xdr:ext cx="7041957" cy="990601"/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9115425" y="190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3</xdr:col>
      <xdr:colOff>380999</xdr:colOff>
      <xdr:row>74</xdr:row>
      <xdr:rowOff>400793</xdr:rowOff>
    </xdr:from>
    <xdr:to>
      <xdr:col>3</xdr:col>
      <xdr:colOff>576942</xdr:colOff>
      <xdr:row>88</xdr:row>
      <xdr:rowOff>171204</xdr:rowOff>
    </xdr:to>
    <xdr:sp macro="" textlink="">
      <xdr:nvSpPr>
        <xdr:cNvPr id="25" name="Left Brac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2133599" y="8563718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81</xdr:row>
      <xdr:rowOff>108857</xdr:rowOff>
    </xdr:from>
    <xdr:to>
      <xdr:col>2</xdr:col>
      <xdr:colOff>1212280</xdr:colOff>
      <xdr:row>82</xdr:row>
      <xdr:rowOff>32658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 bwMode="auto">
        <a:xfrm>
          <a:off x="1753844" y="9738632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82</xdr:row>
      <xdr:rowOff>163286</xdr:rowOff>
    </xdr:from>
    <xdr:to>
      <xdr:col>2</xdr:col>
      <xdr:colOff>1190508</xdr:colOff>
      <xdr:row>83</xdr:row>
      <xdr:rowOff>119743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 bwMode="auto">
        <a:xfrm flipV="1">
          <a:off x="1729351" y="9983561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67</xdr:row>
      <xdr:rowOff>19050</xdr:rowOff>
    </xdr:from>
    <xdr:ext cx="7041957" cy="990601"/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9115425" y="58864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13</xdr:col>
      <xdr:colOff>512618</xdr:colOff>
      <xdr:row>54</xdr:row>
      <xdr:rowOff>41563</xdr:rowOff>
    </xdr:from>
    <xdr:to>
      <xdr:col>14</xdr:col>
      <xdr:colOff>526472</xdr:colOff>
      <xdr:row>58</xdr:row>
      <xdr:rowOff>110836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 bwMode="auto">
        <a:xfrm flipH="1" flipV="1">
          <a:off x="8694593" y="5867400"/>
          <a:ext cx="420832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512619</xdr:colOff>
      <xdr:row>54</xdr:row>
      <xdr:rowOff>13854</xdr:rowOff>
    </xdr:from>
    <xdr:to>
      <xdr:col>19</xdr:col>
      <xdr:colOff>928255</xdr:colOff>
      <xdr:row>54</xdr:row>
      <xdr:rowOff>27709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 bwMode="auto">
        <a:xfrm flipH="1" flipV="1">
          <a:off x="6315075" y="5867400"/>
          <a:ext cx="5595505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540339</xdr:colOff>
      <xdr:row>54</xdr:row>
      <xdr:rowOff>69272</xdr:rowOff>
    </xdr:from>
    <xdr:to>
      <xdr:col>20</xdr:col>
      <xdr:colOff>554193</xdr:colOff>
      <xdr:row>58</xdr:row>
      <xdr:rowOff>138545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 bwMode="auto">
        <a:xfrm flipH="1" flipV="1">
          <a:off x="11522664" y="5867400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609617</xdr:colOff>
      <xdr:row>120</xdr:row>
      <xdr:rowOff>69419</xdr:rowOff>
    </xdr:from>
    <xdr:to>
      <xdr:col>14</xdr:col>
      <xdr:colOff>623471</xdr:colOff>
      <xdr:row>124</xdr:row>
      <xdr:rowOff>138692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 bwMode="auto">
        <a:xfrm flipH="1" flipV="1">
          <a:off x="8791592" y="11630025"/>
          <a:ext cx="323833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609618</xdr:colOff>
      <xdr:row>120</xdr:row>
      <xdr:rowOff>41710</xdr:rowOff>
    </xdr:from>
    <xdr:to>
      <xdr:col>19</xdr:col>
      <xdr:colOff>1025254</xdr:colOff>
      <xdr:row>120</xdr:row>
      <xdr:rowOff>55565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 bwMode="auto">
        <a:xfrm flipH="1" flipV="1">
          <a:off x="6315075" y="11630025"/>
          <a:ext cx="559725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637338</xdr:colOff>
      <xdr:row>120</xdr:row>
      <xdr:rowOff>97128</xdr:rowOff>
    </xdr:from>
    <xdr:to>
      <xdr:col>20</xdr:col>
      <xdr:colOff>651192</xdr:colOff>
      <xdr:row>124</xdr:row>
      <xdr:rowOff>166401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 bwMode="auto">
        <a:xfrm flipH="1" flipV="1">
          <a:off x="11619663" y="11630025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27</xdr:col>
      <xdr:colOff>309563</xdr:colOff>
      <xdr:row>19</xdr:row>
      <xdr:rowOff>142875</xdr:rowOff>
    </xdr:from>
    <xdr:to>
      <xdr:col>30</xdr:col>
      <xdr:colOff>208149</xdr:colOff>
      <xdr:row>140</xdr:row>
      <xdr:rowOff>76201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96888" y="4772025"/>
          <a:ext cx="1573305" cy="8267701"/>
        </a:xfrm>
        <a:prstGeom prst="rect">
          <a:avLst/>
        </a:prstGeom>
      </xdr:spPr>
    </xdr:pic>
    <xdr:clientData/>
  </xdr:twoCellAnchor>
  <xdr:twoCellAnchor editAs="oneCell">
    <xdr:from>
      <xdr:col>27</xdr:col>
      <xdr:colOff>223836</xdr:colOff>
      <xdr:row>0</xdr:row>
      <xdr:rowOff>859972</xdr:rowOff>
    </xdr:from>
    <xdr:to>
      <xdr:col>39</xdr:col>
      <xdr:colOff>238764</xdr:colOff>
      <xdr:row>18</xdr:row>
      <xdr:rowOff>98368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3111161" y="859972"/>
          <a:ext cx="6918872" cy="3677046"/>
        </a:xfrm>
        <a:prstGeom prst="rect">
          <a:avLst/>
        </a:prstGeom>
      </xdr:spPr>
    </xdr:pic>
    <xdr:clientData/>
  </xdr:twoCellAnchor>
  <xdr:twoCellAnchor>
    <xdr:from>
      <xdr:col>30</xdr:col>
      <xdr:colOff>406718</xdr:colOff>
      <xdr:row>19</xdr:row>
      <xdr:rowOff>180976</xdr:rowOff>
    </xdr:from>
    <xdr:to>
      <xdr:col>43</xdr:col>
      <xdr:colOff>80963</xdr:colOff>
      <xdr:row>78</xdr:row>
      <xdr:rowOff>142875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2343" y="4810126"/>
          <a:ext cx="6979920" cy="441959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=""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380999</xdr:colOff>
      <xdr:row>8</xdr:row>
      <xdr:rowOff>400793</xdr:rowOff>
    </xdr:from>
    <xdr:to>
      <xdr:col>3</xdr:col>
      <xdr:colOff>576942</xdr:colOff>
      <xdr:row>22</xdr:row>
      <xdr:rowOff>171204</xdr:rowOff>
    </xdr:to>
    <xdr:sp macro="" textlink="">
      <xdr:nvSpPr>
        <xdr:cNvPr id="38" name="Left Brace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2133599" y="2801093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15</xdr:row>
      <xdr:rowOff>108857</xdr:rowOff>
    </xdr:from>
    <xdr:to>
      <xdr:col>2</xdr:col>
      <xdr:colOff>1212280</xdr:colOff>
      <xdr:row>16</xdr:row>
      <xdr:rowOff>32658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/>
      </xdr:nvCxnSpPr>
      <xdr:spPr bwMode="auto">
        <a:xfrm>
          <a:off x="1753844" y="3976007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16</xdr:row>
      <xdr:rowOff>163286</xdr:rowOff>
    </xdr:from>
    <xdr:to>
      <xdr:col>2</xdr:col>
      <xdr:colOff>1190508</xdr:colOff>
      <xdr:row>17</xdr:row>
      <xdr:rowOff>119743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/>
      </xdr:nvCxnSpPr>
      <xdr:spPr bwMode="auto">
        <a:xfrm flipV="1">
          <a:off x="1729351" y="4220936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0</xdr:row>
      <xdr:rowOff>19050</xdr:rowOff>
    </xdr:from>
    <xdr:ext cx="7041957" cy="990601"/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9115425" y="190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3</xdr:col>
      <xdr:colOff>380999</xdr:colOff>
      <xdr:row>74</xdr:row>
      <xdr:rowOff>400793</xdr:rowOff>
    </xdr:from>
    <xdr:to>
      <xdr:col>3</xdr:col>
      <xdr:colOff>576942</xdr:colOff>
      <xdr:row>88</xdr:row>
      <xdr:rowOff>171204</xdr:rowOff>
    </xdr:to>
    <xdr:sp macro="" textlink="">
      <xdr:nvSpPr>
        <xdr:cNvPr id="42" name="Left Brace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2133599" y="8563718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81</xdr:row>
      <xdr:rowOff>108857</xdr:rowOff>
    </xdr:from>
    <xdr:to>
      <xdr:col>2</xdr:col>
      <xdr:colOff>1212280</xdr:colOff>
      <xdr:row>82</xdr:row>
      <xdr:rowOff>32658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CxnSpPr/>
      </xdr:nvCxnSpPr>
      <xdr:spPr bwMode="auto">
        <a:xfrm>
          <a:off x="1753844" y="9738632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82</xdr:row>
      <xdr:rowOff>163286</xdr:rowOff>
    </xdr:from>
    <xdr:to>
      <xdr:col>2</xdr:col>
      <xdr:colOff>1190508</xdr:colOff>
      <xdr:row>83</xdr:row>
      <xdr:rowOff>119743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 bwMode="auto">
        <a:xfrm flipV="1">
          <a:off x="1729351" y="9983561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67</xdr:row>
      <xdr:rowOff>19050</xdr:rowOff>
    </xdr:from>
    <xdr:ext cx="7041957" cy="990601"/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9115425" y="58864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13</xdr:col>
      <xdr:colOff>512618</xdr:colOff>
      <xdr:row>54</xdr:row>
      <xdr:rowOff>41563</xdr:rowOff>
    </xdr:from>
    <xdr:to>
      <xdr:col>14</xdr:col>
      <xdr:colOff>526472</xdr:colOff>
      <xdr:row>58</xdr:row>
      <xdr:rowOff>110836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CxnSpPr/>
      </xdr:nvCxnSpPr>
      <xdr:spPr bwMode="auto">
        <a:xfrm flipH="1" flipV="1">
          <a:off x="8694593" y="5867400"/>
          <a:ext cx="420832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512619</xdr:colOff>
      <xdr:row>54</xdr:row>
      <xdr:rowOff>13854</xdr:rowOff>
    </xdr:from>
    <xdr:to>
      <xdr:col>19</xdr:col>
      <xdr:colOff>928255</xdr:colOff>
      <xdr:row>54</xdr:row>
      <xdr:rowOff>27709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 bwMode="auto">
        <a:xfrm flipH="1" flipV="1">
          <a:off x="6315075" y="5867400"/>
          <a:ext cx="5595505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540339</xdr:colOff>
      <xdr:row>54</xdr:row>
      <xdr:rowOff>69272</xdr:rowOff>
    </xdr:from>
    <xdr:to>
      <xdr:col>20</xdr:col>
      <xdr:colOff>554193</xdr:colOff>
      <xdr:row>58</xdr:row>
      <xdr:rowOff>138545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CxnSpPr/>
      </xdr:nvCxnSpPr>
      <xdr:spPr bwMode="auto">
        <a:xfrm flipH="1" flipV="1">
          <a:off x="11522664" y="5867400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609617</xdr:colOff>
      <xdr:row>120</xdr:row>
      <xdr:rowOff>69419</xdr:rowOff>
    </xdr:from>
    <xdr:to>
      <xdr:col>14</xdr:col>
      <xdr:colOff>623471</xdr:colOff>
      <xdr:row>124</xdr:row>
      <xdr:rowOff>138692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 bwMode="auto">
        <a:xfrm flipH="1" flipV="1">
          <a:off x="8791592" y="11630025"/>
          <a:ext cx="323833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609618</xdr:colOff>
      <xdr:row>120</xdr:row>
      <xdr:rowOff>41710</xdr:rowOff>
    </xdr:from>
    <xdr:to>
      <xdr:col>19</xdr:col>
      <xdr:colOff>1025254</xdr:colOff>
      <xdr:row>120</xdr:row>
      <xdr:rowOff>55565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 bwMode="auto">
        <a:xfrm flipH="1" flipV="1">
          <a:off x="6315075" y="11630025"/>
          <a:ext cx="559725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637338</xdr:colOff>
      <xdr:row>120</xdr:row>
      <xdr:rowOff>97128</xdr:rowOff>
    </xdr:from>
    <xdr:to>
      <xdr:col>20</xdr:col>
      <xdr:colOff>651192</xdr:colOff>
      <xdr:row>124</xdr:row>
      <xdr:rowOff>166401</xdr:rowOff>
    </xdr:to>
    <xdr:cxnSp macro="">
      <xdr:nvCxnSpPr>
        <xdr:cNvPr id="51" name="Straight Arrow Connector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 bwMode="auto">
        <a:xfrm flipH="1" flipV="1">
          <a:off x="11619663" y="11630025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27</xdr:col>
      <xdr:colOff>309563</xdr:colOff>
      <xdr:row>19</xdr:row>
      <xdr:rowOff>142875</xdr:rowOff>
    </xdr:from>
    <xdr:to>
      <xdr:col>30</xdr:col>
      <xdr:colOff>146668</xdr:colOff>
      <xdr:row>140</xdr:row>
      <xdr:rowOff>131619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96888" y="4772025"/>
          <a:ext cx="1511824" cy="8323119"/>
        </a:xfrm>
        <a:prstGeom prst="rect">
          <a:avLst/>
        </a:prstGeom>
      </xdr:spPr>
    </xdr:pic>
    <xdr:clientData/>
  </xdr:twoCellAnchor>
  <xdr:twoCellAnchor editAs="oneCell">
    <xdr:from>
      <xdr:col>27</xdr:col>
      <xdr:colOff>223836</xdr:colOff>
      <xdr:row>0</xdr:row>
      <xdr:rowOff>859972</xdr:rowOff>
    </xdr:from>
    <xdr:to>
      <xdr:col>38</xdr:col>
      <xdr:colOff>542326</xdr:colOff>
      <xdr:row>18</xdr:row>
      <xdr:rowOff>97379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3111161" y="859972"/>
          <a:ext cx="6641409" cy="36760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7ED06D"/>
  </sheetPr>
  <dimension ref="A2:AN47"/>
  <sheetViews>
    <sheetView showGridLines="0" zoomScale="80" zoomScaleNormal="80" zoomScalePageLayoutView="80" workbookViewId="0"/>
  </sheetViews>
  <sheetFormatPr defaultColWidth="11" defaultRowHeight="15.6"/>
  <cols>
    <col min="1" max="1" width="27.59765625" style="3" customWidth="1"/>
    <col min="2" max="2" width="4.8984375" style="3" customWidth="1"/>
    <col min="3" max="31" width="2.3984375" style="3" customWidth="1"/>
    <col min="32" max="32" width="4.8984375" style="21" customWidth="1"/>
    <col min="33" max="34" width="2.5" style="17" customWidth="1"/>
    <col min="35" max="40" width="11" style="17"/>
    <col min="41" max="16384" width="11" style="3"/>
  </cols>
  <sheetData>
    <row r="2" spans="1:40" s="4" customFormat="1" ht="18.899999999999999" customHeight="1">
      <c r="B2" s="351" t="s">
        <v>478</v>
      </c>
      <c r="C2" s="352"/>
      <c r="D2" s="352"/>
      <c r="E2" s="352"/>
      <c r="F2" s="352"/>
      <c r="G2" s="352"/>
      <c r="H2" s="352"/>
      <c r="I2" s="352"/>
      <c r="J2" s="352"/>
      <c r="K2" s="352"/>
      <c r="L2" s="352"/>
      <c r="M2" s="352"/>
      <c r="N2" s="352"/>
      <c r="O2" s="352"/>
      <c r="P2" s="352"/>
      <c r="Q2" s="352"/>
      <c r="R2" s="352"/>
      <c r="S2" s="352"/>
      <c r="T2" s="352"/>
      <c r="U2" s="352"/>
      <c r="V2" s="352"/>
      <c r="W2" s="352"/>
      <c r="X2" s="352"/>
      <c r="Y2" s="352"/>
      <c r="Z2" s="352"/>
      <c r="AA2" s="352"/>
      <c r="AB2" s="352"/>
      <c r="AC2" s="352"/>
      <c r="AD2" s="352"/>
      <c r="AE2" s="352"/>
      <c r="AF2" s="352"/>
    </row>
    <row r="3" spans="1:40" s="4" customFormat="1" ht="18.899999999999999" customHeight="1">
      <c r="B3" s="353" t="s">
        <v>709</v>
      </c>
      <c r="C3" s="353"/>
      <c r="D3" s="353"/>
      <c r="E3" s="353"/>
      <c r="F3" s="353"/>
      <c r="G3" s="353"/>
      <c r="H3" s="353"/>
      <c r="I3" s="353"/>
      <c r="J3" s="353"/>
      <c r="K3" s="353"/>
      <c r="L3" s="353"/>
      <c r="M3" s="353"/>
      <c r="N3" s="353"/>
      <c r="O3" s="353"/>
      <c r="P3" s="353"/>
      <c r="Q3" s="353"/>
      <c r="R3" s="353"/>
      <c r="S3" s="353"/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</row>
    <row r="5" spans="1:40" ht="15" customHeight="1" thickBot="1">
      <c r="C5" s="247"/>
      <c r="D5" s="248"/>
      <c r="E5" s="248"/>
      <c r="F5" s="248"/>
      <c r="G5" s="248"/>
      <c r="H5" s="248"/>
      <c r="I5" s="248"/>
      <c r="J5" s="248"/>
      <c r="K5" s="248"/>
      <c r="L5" s="248"/>
      <c r="M5" s="248"/>
      <c r="N5" s="248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  <c r="AA5" s="248"/>
      <c r="AB5" s="248"/>
      <c r="AC5" s="248"/>
      <c r="AD5" s="248"/>
      <c r="AE5" s="248"/>
    </row>
    <row r="6" spans="1:40" ht="15" customHeight="1">
      <c r="A6" s="211"/>
      <c r="C6" s="252"/>
      <c r="D6" s="162"/>
      <c r="E6" s="161"/>
      <c r="F6" s="162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2"/>
      <c r="AC6" s="162"/>
      <c r="AD6" s="162"/>
      <c r="AE6" s="163"/>
      <c r="AF6" s="23"/>
    </row>
    <row r="7" spans="1:40" ht="15" customHeight="1">
      <c r="C7" s="165"/>
      <c r="D7" s="236"/>
      <c r="E7" s="236"/>
      <c r="F7" s="236"/>
      <c r="G7" s="236"/>
      <c r="H7" s="236"/>
      <c r="I7" s="236"/>
      <c r="J7" s="236"/>
      <c r="K7" s="236"/>
      <c r="L7" s="236"/>
      <c r="M7" s="236"/>
      <c r="N7" s="236"/>
      <c r="O7" s="236"/>
      <c r="P7" s="236"/>
      <c r="Q7" s="236"/>
      <c r="R7" s="236"/>
      <c r="S7" s="236"/>
      <c r="T7" s="236"/>
      <c r="U7" s="236"/>
      <c r="V7" s="236"/>
      <c r="W7" s="236"/>
      <c r="X7" s="236"/>
      <c r="Y7" s="236"/>
      <c r="Z7" s="236"/>
      <c r="AA7" s="236"/>
      <c r="AB7" s="236"/>
      <c r="AC7" s="236"/>
      <c r="AD7" s="236"/>
      <c r="AE7" s="167"/>
    </row>
    <row r="8" spans="1:40" ht="15" customHeight="1">
      <c r="B8" s="23"/>
      <c r="C8" s="169"/>
      <c r="D8" s="236"/>
      <c r="E8" s="236"/>
      <c r="F8" s="236"/>
      <c r="G8" s="236"/>
      <c r="H8" s="15" t="s">
        <v>10</v>
      </c>
      <c r="I8" s="15"/>
      <c r="J8" s="15" t="s">
        <v>11</v>
      </c>
      <c r="K8" s="15"/>
      <c r="L8" s="15" t="s">
        <v>10</v>
      </c>
      <c r="M8" s="15"/>
      <c r="N8" s="15" t="s">
        <v>11</v>
      </c>
      <c r="O8" s="15"/>
      <c r="P8" s="15" t="s">
        <v>10</v>
      </c>
      <c r="Q8" s="15"/>
      <c r="R8" s="15" t="s">
        <v>11</v>
      </c>
      <c r="S8" s="15"/>
      <c r="T8" s="15" t="s">
        <v>10</v>
      </c>
      <c r="U8" s="15"/>
      <c r="V8" s="15" t="s">
        <v>11</v>
      </c>
      <c r="W8" s="15"/>
      <c r="X8" s="15" t="s">
        <v>10</v>
      </c>
      <c r="Y8" s="15"/>
      <c r="Z8" s="15" t="s">
        <v>11</v>
      </c>
      <c r="AA8" s="15"/>
      <c r="AB8" s="15" t="s">
        <v>10</v>
      </c>
      <c r="AC8" s="15"/>
      <c r="AD8" s="15" t="s">
        <v>11</v>
      </c>
      <c r="AE8" s="167"/>
      <c r="AF8" s="23" t="s">
        <v>342</v>
      </c>
      <c r="AG8" s="210" t="s">
        <v>343</v>
      </c>
    </row>
    <row r="9" spans="1:40" ht="15" customHeight="1" thickBot="1">
      <c r="B9" s="23"/>
      <c r="C9" s="169"/>
      <c r="D9" s="236"/>
      <c r="E9" s="236"/>
      <c r="F9" s="236"/>
      <c r="G9" s="253"/>
      <c r="H9" s="157">
        <v>5</v>
      </c>
      <c r="I9" s="157"/>
      <c r="J9" s="157">
        <v>5</v>
      </c>
      <c r="K9" s="157"/>
      <c r="L9" s="157">
        <v>4</v>
      </c>
      <c r="M9" s="157"/>
      <c r="N9" s="157">
        <v>4</v>
      </c>
      <c r="O9" s="157"/>
      <c r="P9" s="157">
        <v>3</v>
      </c>
      <c r="Q9" s="157"/>
      <c r="R9" s="157">
        <v>3</v>
      </c>
      <c r="S9" s="157"/>
      <c r="T9" s="157">
        <v>2</v>
      </c>
      <c r="U9" s="157"/>
      <c r="V9" s="157">
        <v>2</v>
      </c>
      <c r="W9" s="157"/>
      <c r="X9" s="157">
        <v>1</v>
      </c>
      <c r="Y9" s="157"/>
      <c r="Z9" s="157">
        <v>1</v>
      </c>
      <c r="AA9" s="157"/>
      <c r="AB9" s="157">
        <v>0</v>
      </c>
      <c r="AC9" s="157"/>
      <c r="AD9" s="157">
        <v>0</v>
      </c>
      <c r="AE9" s="167"/>
      <c r="AF9" s="23" t="s">
        <v>342</v>
      </c>
      <c r="AG9" s="210" t="s">
        <v>337</v>
      </c>
    </row>
    <row r="10" spans="1:40" ht="15" customHeight="1">
      <c r="C10" s="169"/>
      <c r="D10" s="236"/>
      <c r="E10" s="237"/>
      <c r="F10" s="236"/>
      <c r="G10" s="236"/>
      <c r="H10" s="254">
        <v>0</v>
      </c>
      <c r="I10" s="236"/>
      <c r="J10" s="254">
        <v>0</v>
      </c>
      <c r="K10" s="236"/>
      <c r="L10" s="254">
        <v>0</v>
      </c>
      <c r="M10" s="236"/>
      <c r="N10" s="254">
        <v>0</v>
      </c>
      <c r="O10" s="236"/>
      <c r="P10" s="254">
        <v>0</v>
      </c>
      <c r="Q10" s="236"/>
      <c r="R10" s="254">
        <v>0</v>
      </c>
      <c r="S10" s="236"/>
      <c r="T10" s="254">
        <v>0</v>
      </c>
      <c r="U10" s="236"/>
      <c r="V10" s="254">
        <v>0</v>
      </c>
      <c r="W10" s="236"/>
      <c r="X10" s="254">
        <v>0</v>
      </c>
      <c r="Y10" s="236"/>
      <c r="Z10" s="254">
        <v>0</v>
      </c>
      <c r="AA10" s="236"/>
      <c r="AB10" s="254">
        <v>0</v>
      </c>
      <c r="AC10" s="236"/>
      <c r="AD10" s="254">
        <v>0</v>
      </c>
      <c r="AE10" s="167"/>
    </row>
    <row r="11" spans="1:40" ht="15" customHeight="1">
      <c r="A11" s="211"/>
      <c r="B11" s="23"/>
      <c r="C11" s="169"/>
      <c r="D11" s="236"/>
      <c r="E11" s="237"/>
      <c r="F11" s="236"/>
      <c r="G11" s="236"/>
      <c r="H11" s="239">
        <v>0</v>
      </c>
      <c r="I11" s="236"/>
      <c r="J11" s="239">
        <v>0</v>
      </c>
      <c r="K11" s="236"/>
      <c r="L11" s="239">
        <v>0</v>
      </c>
      <c r="M11" s="236"/>
      <c r="N11" s="239">
        <v>0</v>
      </c>
      <c r="O11" s="236"/>
      <c r="P11" s="239">
        <v>0</v>
      </c>
      <c r="Q11" s="236"/>
      <c r="R11" s="239">
        <v>0</v>
      </c>
      <c r="S11" s="236"/>
      <c r="T11" s="239">
        <v>0</v>
      </c>
      <c r="U11" s="236"/>
      <c r="V11" s="239">
        <v>0</v>
      </c>
      <c r="W11" s="236"/>
      <c r="X11" s="239">
        <v>0</v>
      </c>
      <c r="Y11" s="236"/>
      <c r="Z11" s="239">
        <v>0</v>
      </c>
      <c r="AA11" s="236"/>
      <c r="AB11" s="239">
        <v>0</v>
      </c>
      <c r="AC11" s="236"/>
      <c r="AD11" s="239">
        <v>0</v>
      </c>
      <c r="AE11" s="167"/>
      <c r="AI11" s="211" t="s">
        <v>708</v>
      </c>
    </row>
    <row r="12" spans="1:40" ht="15" customHeight="1">
      <c r="C12" s="169"/>
      <c r="D12" s="236"/>
      <c r="E12" s="236"/>
      <c r="F12" s="236"/>
      <c r="G12" s="236"/>
      <c r="H12" s="239">
        <v>0</v>
      </c>
      <c r="I12" s="236"/>
      <c r="J12" s="239">
        <v>0</v>
      </c>
      <c r="K12" s="236"/>
      <c r="L12" s="239">
        <v>0</v>
      </c>
      <c r="M12" s="236"/>
      <c r="N12" s="239">
        <v>0</v>
      </c>
      <c r="O12" s="236"/>
      <c r="P12" s="239">
        <v>0</v>
      </c>
      <c r="Q12" s="236"/>
      <c r="R12" s="239">
        <v>0</v>
      </c>
      <c r="S12" s="236"/>
      <c r="T12" s="239">
        <v>0</v>
      </c>
      <c r="U12" s="236"/>
      <c r="V12" s="239">
        <v>0</v>
      </c>
      <c r="W12" s="236"/>
      <c r="X12" s="239">
        <v>0</v>
      </c>
      <c r="Y12" s="236"/>
      <c r="Z12" s="239">
        <v>0</v>
      </c>
      <c r="AA12" s="236"/>
      <c r="AB12" s="239">
        <v>0</v>
      </c>
      <c r="AC12" s="236"/>
      <c r="AD12" s="239">
        <v>0</v>
      </c>
      <c r="AE12" s="167"/>
      <c r="AJ12" s="20"/>
    </row>
    <row r="13" spans="1:40" ht="15" customHeight="1">
      <c r="C13" s="169"/>
      <c r="D13" s="236"/>
      <c r="E13" s="236"/>
      <c r="F13" s="236"/>
      <c r="G13" s="236"/>
      <c r="H13" s="239">
        <v>0</v>
      </c>
      <c r="I13" s="236"/>
      <c r="J13" s="239">
        <v>0</v>
      </c>
      <c r="K13" s="236"/>
      <c r="L13" s="239">
        <v>0</v>
      </c>
      <c r="M13" s="236"/>
      <c r="N13" s="239">
        <v>0</v>
      </c>
      <c r="O13" s="236"/>
      <c r="P13" s="239">
        <v>0</v>
      </c>
      <c r="Q13" s="236"/>
      <c r="R13" s="239">
        <v>0</v>
      </c>
      <c r="S13" s="236"/>
      <c r="T13" s="239">
        <v>0</v>
      </c>
      <c r="U13" s="236"/>
      <c r="V13" s="239">
        <v>0</v>
      </c>
      <c r="W13" s="236"/>
      <c r="X13" s="239">
        <v>0</v>
      </c>
      <c r="Y13" s="236"/>
      <c r="Z13" s="239">
        <v>0</v>
      </c>
      <c r="AA13" s="236"/>
      <c r="AB13" s="239">
        <v>0</v>
      </c>
      <c r="AC13" s="236"/>
      <c r="AD13" s="239">
        <v>0</v>
      </c>
      <c r="AE13" s="167"/>
    </row>
    <row r="14" spans="1:40" ht="15" customHeight="1" thickBot="1">
      <c r="C14" s="169"/>
      <c r="D14" s="236"/>
      <c r="E14" s="236"/>
      <c r="F14" s="236"/>
      <c r="G14" s="236"/>
      <c r="H14" s="240">
        <v>0</v>
      </c>
      <c r="I14" s="236"/>
      <c r="J14" s="240">
        <v>0</v>
      </c>
      <c r="K14" s="236"/>
      <c r="L14" s="240">
        <v>0</v>
      </c>
      <c r="M14" s="236"/>
      <c r="N14" s="240">
        <v>0</v>
      </c>
      <c r="O14" s="236"/>
      <c r="P14" s="240">
        <v>0</v>
      </c>
      <c r="Q14" s="236"/>
      <c r="R14" s="240">
        <v>0</v>
      </c>
      <c r="S14" s="236"/>
      <c r="T14" s="240">
        <v>0</v>
      </c>
      <c r="U14" s="236"/>
      <c r="V14" s="240">
        <v>0</v>
      </c>
      <c r="W14" s="236"/>
      <c r="X14" s="240">
        <v>0</v>
      </c>
      <c r="Y14" s="236"/>
      <c r="Z14" s="240">
        <v>0</v>
      </c>
      <c r="AA14" s="236"/>
      <c r="AB14" s="240">
        <v>0</v>
      </c>
      <c r="AC14" s="236"/>
      <c r="AD14" s="240">
        <v>0</v>
      </c>
      <c r="AE14" s="171"/>
    </row>
    <row r="15" spans="1:40" ht="15" customHeight="1">
      <c r="C15" s="169"/>
      <c r="D15" s="236"/>
      <c r="E15" s="236"/>
      <c r="F15" s="236"/>
      <c r="G15" s="236"/>
      <c r="H15" s="354">
        <v>11</v>
      </c>
      <c r="I15" s="354"/>
      <c r="J15" s="354">
        <v>10</v>
      </c>
      <c r="K15" s="354"/>
      <c r="L15" s="236">
        <v>9</v>
      </c>
      <c r="M15" s="236"/>
      <c r="N15" s="236">
        <v>8</v>
      </c>
      <c r="O15" s="236"/>
      <c r="P15" s="236">
        <v>7</v>
      </c>
      <c r="Q15" s="236"/>
      <c r="R15" s="236">
        <v>6</v>
      </c>
      <c r="S15" s="236"/>
      <c r="T15" s="236">
        <v>5</v>
      </c>
      <c r="U15" s="236"/>
      <c r="V15" s="236">
        <v>4</v>
      </c>
      <c r="W15" s="236"/>
      <c r="X15" s="213">
        <v>3</v>
      </c>
      <c r="Y15" s="213"/>
      <c r="Z15" s="213">
        <v>2</v>
      </c>
      <c r="AA15" s="213"/>
      <c r="AB15" s="213">
        <v>1</v>
      </c>
      <c r="AC15" s="213"/>
      <c r="AD15" s="213">
        <v>0</v>
      </c>
      <c r="AE15" s="171"/>
    </row>
    <row r="16" spans="1:40" s="1" customFormat="1" ht="15" customHeight="1">
      <c r="B16" s="3"/>
      <c r="C16" s="169"/>
      <c r="D16" s="236"/>
      <c r="E16" s="236"/>
      <c r="F16" s="236"/>
      <c r="G16" s="236"/>
      <c r="H16" s="236"/>
      <c r="I16" s="236"/>
      <c r="J16" s="236"/>
      <c r="K16" s="236"/>
      <c r="L16" s="236"/>
      <c r="M16" s="236"/>
      <c r="N16" s="236"/>
      <c r="O16" s="236"/>
      <c r="P16" s="236"/>
      <c r="Q16" s="236"/>
      <c r="R16" s="236"/>
      <c r="S16" s="236"/>
      <c r="T16" s="236"/>
      <c r="U16" s="236"/>
      <c r="V16" s="236"/>
      <c r="W16" s="236"/>
      <c r="X16" s="236"/>
      <c r="Y16" s="236"/>
      <c r="Z16" s="236"/>
      <c r="AA16" s="236"/>
      <c r="AB16" s="236"/>
      <c r="AC16" s="236"/>
      <c r="AD16" s="236"/>
      <c r="AE16" s="171"/>
      <c r="AF16" s="22"/>
      <c r="AG16" s="17"/>
      <c r="AH16" s="17"/>
      <c r="AI16" s="17"/>
      <c r="AJ16" s="17"/>
      <c r="AK16" s="17"/>
      <c r="AL16" s="17"/>
      <c r="AM16" s="17"/>
      <c r="AN16" s="17"/>
    </row>
    <row r="17" spans="2:40" s="1" customFormat="1" ht="15" customHeight="1">
      <c r="B17" s="3"/>
      <c r="C17" s="169"/>
      <c r="D17" s="236"/>
      <c r="E17" s="236"/>
      <c r="F17" s="236"/>
      <c r="G17" s="236"/>
      <c r="H17" s="236"/>
      <c r="I17" s="236"/>
      <c r="J17" s="236"/>
      <c r="K17" s="236"/>
      <c r="L17" s="236"/>
      <c r="M17" s="236"/>
      <c r="N17" s="236"/>
      <c r="O17" s="236"/>
      <c r="P17" s="236"/>
      <c r="Q17" s="236"/>
      <c r="R17" s="236"/>
      <c r="S17" s="236"/>
      <c r="T17" s="236"/>
      <c r="U17" s="236"/>
      <c r="V17" s="236"/>
      <c r="W17" s="236"/>
      <c r="X17" s="236"/>
      <c r="Y17" s="236"/>
      <c r="Z17" s="236"/>
      <c r="AA17" s="236"/>
      <c r="AB17" s="236"/>
      <c r="AC17" s="236"/>
      <c r="AD17" s="236"/>
      <c r="AE17" s="171"/>
      <c r="AF17" s="22"/>
      <c r="AG17" s="17"/>
      <c r="AH17" s="17"/>
      <c r="AI17" s="17"/>
      <c r="AJ17" s="17"/>
      <c r="AK17" s="17"/>
      <c r="AL17" s="17"/>
      <c r="AM17" s="17"/>
      <c r="AN17" s="17"/>
    </row>
    <row r="18" spans="2:40" s="1" customFormat="1" ht="15" customHeight="1">
      <c r="B18" s="3"/>
      <c r="C18" s="169"/>
      <c r="D18" s="236"/>
      <c r="E18" s="236"/>
      <c r="F18" s="15" t="s">
        <v>10</v>
      </c>
      <c r="G18" s="15"/>
      <c r="H18" s="15" t="s">
        <v>10</v>
      </c>
      <c r="I18" s="15"/>
      <c r="J18" s="15" t="s">
        <v>11</v>
      </c>
      <c r="K18" s="15"/>
      <c r="L18" s="15" t="s">
        <v>11</v>
      </c>
      <c r="M18" s="15"/>
      <c r="N18" s="15" t="s">
        <v>10</v>
      </c>
      <c r="O18" s="15"/>
      <c r="P18" s="15" t="s">
        <v>10</v>
      </c>
      <c r="Q18" s="15"/>
      <c r="R18" s="15" t="s">
        <v>11</v>
      </c>
      <c r="S18" s="15"/>
      <c r="T18" s="15" t="s">
        <v>11</v>
      </c>
      <c r="U18" s="15"/>
      <c r="V18" s="15" t="s">
        <v>10</v>
      </c>
      <c r="W18" s="15"/>
      <c r="X18" s="15" t="s">
        <v>10</v>
      </c>
      <c r="Y18" s="15"/>
      <c r="Z18" s="15" t="s">
        <v>11</v>
      </c>
      <c r="AA18" s="15"/>
      <c r="AB18" s="15" t="s">
        <v>11</v>
      </c>
      <c r="AC18" s="236"/>
      <c r="AD18" s="236"/>
      <c r="AE18" s="171"/>
      <c r="AF18" s="23" t="s">
        <v>342</v>
      </c>
      <c r="AG18" s="18" t="s">
        <v>336</v>
      </c>
      <c r="AH18" s="17"/>
      <c r="AI18" s="17"/>
      <c r="AJ18" s="17"/>
      <c r="AK18" s="17"/>
      <c r="AL18" s="17"/>
      <c r="AM18" s="17"/>
      <c r="AN18" s="17"/>
    </row>
    <row r="19" spans="2:40" s="1" customFormat="1" ht="15" customHeight="1">
      <c r="B19" s="3"/>
      <c r="C19" s="169"/>
      <c r="D19" s="236"/>
      <c r="E19" s="236"/>
      <c r="F19" s="15">
        <v>2</v>
      </c>
      <c r="G19" s="15"/>
      <c r="H19" s="15">
        <v>2</v>
      </c>
      <c r="I19" s="15"/>
      <c r="J19" s="15">
        <v>2</v>
      </c>
      <c r="K19" s="15"/>
      <c r="L19" s="15">
        <v>2</v>
      </c>
      <c r="M19" s="15"/>
      <c r="N19" s="15">
        <v>1</v>
      </c>
      <c r="O19" s="15"/>
      <c r="P19" s="15">
        <v>1</v>
      </c>
      <c r="Q19" s="15"/>
      <c r="R19" s="15">
        <v>1</v>
      </c>
      <c r="S19" s="15"/>
      <c r="T19" s="15">
        <v>1</v>
      </c>
      <c r="U19" s="15"/>
      <c r="V19" s="15">
        <v>0</v>
      </c>
      <c r="W19" s="15"/>
      <c r="X19" s="15">
        <v>0</v>
      </c>
      <c r="Y19" s="15"/>
      <c r="Z19" s="15">
        <v>0</v>
      </c>
      <c r="AA19" s="15"/>
      <c r="AB19" s="15">
        <v>0</v>
      </c>
      <c r="AC19" s="236"/>
      <c r="AD19" s="236"/>
      <c r="AE19" s="171"/>
      <c r="AF19" s="23" t="s">
        <v>342</v>
      </c>
      <c r="AG19" s="18" t="s">
        <v>339</v>
      </c>
      <c r="AH19" s="17"/>
      <c r="AI19" s="17"/>
      <c r="AJ19" s="17"/>
      <c r="AK19" s="17"/>
      <c r="AL19" s="17"/>
      <c r="AM19" s="17"/>
      <c r="AN19" s="17"/>
    </row>
    <row r="20" spans="2:40" s="1" customFormat="1" ht="15" customHeight="1" thickBot="1">
      <c r="B20" s="3"/>
      <c r="C20" s="169"/>
      <c r="D20" s="236"/>
      <c r="E20" s="236"/>
      <c r="F20" s="15" t="s">
        <v>890</v>
      </c>
      <c r="G20" s="15"/>
      <c r="H20" s="15" t="s">
        <v>10</v>
      </c>
      <c r="I20" s="15"/>
      <c r="J20" s="15" t="s">
        <v>10</v>
      </c>
      <c r="K20" s="15"/>
      <c r="L20" s="15" t="s">
        <v>890</v>
      </c>
      <c r="M20" s="15"/>
      <c r="N20" s="15" t="s">
        <v>890</v>
      </c>
      <c r="O20" s="15"/>
      <c r="P20" s="15" t="s">
        <v>10</v>
      </c>
      <c r="Q20" s="15"/>
      <c r="R20" s="15" t="s">
        <v>10</v>
      </c>
      <c r="S20" s="15"/>
      <c r="T20" s="15" t="s">
        <v>890</v>
      </c>
      <c r="U20" s="15"/>
      <c r="V20" s="15" t="s">
        <v>890</v>
      </c>
      <c r="W20" s="15"/>
      <c r="X20" s="15" t="s">
        <v>10</v>
      </c>
      <c r="Y20" s="15"/>
      <c r="Z20" s="15" t="s">
        <v>10</v>
      </c>
      <c r="AA20" s="15"/>
      <c r="AB20" s="15" t="s">
        <v>890</v>
      </c>
      <c r="AC20" s="236"/>
      <c r="AD20" s="236"/>
      <c r="AE20" s="171"/>
      <c r="AF20" s="23" t="s">
        <v>342</v>
      </c>
      <c r="AG20" s="164" t="s">
        <v>881</v>
      </c>
      <c r="AH20" s="17"/>
      <c r="AI20" s="17"/>
      <c r="AJ20" s="17"/>
      <c r="AK20" s="17"/>
      <c r="AL20" s="17"/>
      <c r="AM20" s="17"/>
      <c r="AN20" s="17"/>
    </row>
    <row r="21" spans="2:40" s="1" customFormat="1" ht="15" customHeight="1">
      <c r="B21" s="3"/>
      <c r="C21" s="169"/>
      <c r="D21" s="236"/>
      <c r="E21" s="15"/>
      <c r="F21" s="355"/>
      <c r="G21" s="19"/>
      <c r="H21" s="355"/>
      <c r="I21" s="19"/>
      <c r="J21" s="355"/>
      <c r="K21" s="19"/>
      <c r="L21" s="355"/>
      <c r="M21" s="19"/>
      <c r="N21" s="355"/>
      <c r="O21" s="19"/>
      <c r="P21" s="355"/>
      <c r="Q21" s="19"/>
      <c r="R21" s="355"/>
      <c r="S21" s="19"/>
      <c r="T21" s="355"/>
      <c r="U21" s="19"/>
      <c r="V21" s="355"/>
      <c r="W21" s="19"/>
      <c r="X21" s="355"/>
      <c r="Y21" s="19"/>
      <c r="Z21" s="355"/>
      <c r="AA21" s="19"/>
      <c r="AB21" s="355"/>
      <c r="AC21" s="236"/>
      <c r="AD21" s="236"/>
      <c r="AE21" s="171"/>
      <c r="AF21" s="22"/>
      <c r="AG21" s="164" t="s">
        <v>882</v>
      </c>
      <c r="AI21" s="17"/>
      <c r="AJ21" s="17"/>
      <c r="AK21" s="17"/>
      <c r="AL21" s="17"/>
      <c r="AM21" s="17"/>
      <c r="AN21" s="17"/>
    </row>
    <row r="22" spans="2:40" s="1" customFormat="1" ht="15" customHeight="1" thickBot="1">
      <c r="B22" s="3"/>
      <c r="C22" s="169"/>
      <c r="D22" s="236"/>
      <c r="E22" s="15"/>
      <c r="F22" s="356"/>
      <c r="G22" s="19"/>
      <c r="H22" s="356"/>
      <c r="I22" s="19"/>
      <c r="J22" s="356"/>
      <c r="K22" s="19"/>
      <c r="L22" s="356"/>
      <c r="M22" s="19"/>
      <c r="N22" s="356"/>
      <c r="O22" s="19"/>
      <c r="P22" s="356"/>
      <c r="Q22" s="19"/>
      <c r="R22" s="356"/>
      <c r="S22" s="19"/>
      <c r="T22" s="356"/>
      <c r="U22" s="19"/>
      <c r="V22" s="356"/>
      <c r="W22" s="19"/>
      <c r="X22" s="356"/>
      <c r="Y22" s="19"/>
      <c r="Z22" s="356"/>
      <c r="AA22" s="19"/>
      <c r="AB22" s="356"/>
      <c r="AC22" s="236"/>
      <c r="AD22" s="236"/>
      <c r="AE22" s="171"/>
      <c r="AF22" s="22"/>
      <c r="AG22" s="17"/>
      <c r="AH22" s="17"/>
      <c r="AI22" s="17"/>
      <c r="AJ22" s="17"/>
      <c r="AK22" s="17"/>
      <c r="AL22" s="17"/>
      <c r="AM22" s="17"/>
      <c r="AN22" s="17"/>
    </row>
    <row r="23" spans="2:40" s="1" customFormat="1" ht="15" customHeight="1" thickBot="1">
      <c r="B23" s="3"/>
      <c r="C23" s="173"/>
      <c r="D23" s="174"/>
      <c r="E23" s="174"/>
      <c r="F23" s="357">
        <v>11</v>
      </c>
      <c r="G23" s="357"/>
      <c r="H23" s="357">
        <v>10</v>
      </c>
      <c r="I23" s="357"/>
      <c r="J23" s="174">
        <v>9</v>
      </c>
      <c r="K23" s="174"/>
      <c r="L23" s="174">
        <v>8</v>
      </c>
      <c r="M23" s="174"/>
      <c r="N23" s="174">
        <v>7</v>
      </c>
      <c r="O23" s="174"/>
      <c r="P23" s="174">
        <v>6</v>
      </c>
      <c r="Q23" s="174"/>
      <c r="R23" s="174">
        <v>5</v>
      </c>
      <c r="S23" s="174"/>
      <c r="T23" s="174">
        <v>4</v>
      </c>
      <c r="U23" s="174"/>
      <c r="V23" s="174">
        <v>3</v>
      </c>
      <c r="W23" s="174"/>
      <c r="X23" s="174">
        <v>2</v>
      </c>
      <c r="Y23" s="174"/>
      <c r="Z23" s="214">
        <v>1</v>
      </c>
      <c r="AA23" s="214"/>
      <c r="AB23" s="214">
        <v>0</v>
      </c>
      <c r="AC23" s="214"/>
      <c r="AD23" s="174"/>
      <c r="AE23" s="175"/>
      <c r="AF23" s="22"/>
      <c r="AG23" s="17"/>
      <c r="AH23" s="17"/>
      <c r="AI23" s="17"/>
      <c r="AJ23" s="17"/>
      <c r="AK23" s="17"/>
      <c r="AL23" s="17"/>
      <c r="AM23" s="17"/>
      <c r="AN23" s="17"/>
    </row>
    <row r="24" spans="2:40" s="1" customFormat="1" ht="15" customHeight="1">
      <c r="B24" s="3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  <c r="T24" s="247"/>
      <c r="U24" s="247"/>
      <c r="V24" s="247"/>
      <c r="W24" s="247"/>
      <c r="X24" s="247"/>
      <c r="Y24" s="247"/>
      <c r="Z24" s="247"/>
      <c r="AA24" s="247"/>
      <c r="AB24" s="247"/>
      <c r="AC24" s="247"/>
      <c r="AD24" s="247"/>
      <c r="AE24" s="247"/>
      <c r="AF24" s="22"/>
      <c r="AG24" s="17"/>
      <c r="AH24" s="17"/>
      <c r="AI24" s="17"/>
      <c r="AJ24" s="17"/>
      <c r="AK24" s="17"/>
      <c r="AL24" s="17"/>
      <c r="AM24" s="17"/>
      <c r="AN24" s="17"/>
    </row>
    <row r="25" spans="2:40" s="1" customFormat="1" ht="15" customHeight="1">
      <c r="B25" s="3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  <c r="T25" s="247"/>
      <c r="U25" s="247"/>
      <c r="V25" s="247"/>
      <c r="W25" s="247"/>
      <c r="X25" s="247"/>
      <c r="Y25" s="247"/>
      <c r="Z25" s="247"/>
      <c r="AA25" s="247"/>
      <c r="AB25" s="247"/>
      <c r="AC25" s="247"/>
      <c r="AD25" s="247"/>
      <c r="AE25" s="247"/>
      <c r="AF25" s="23"/>
      <c r="AG25" s="18"/>
      <c r="AH25" s="17"/>
      <c r="AI25" s="17"/>
      <c r="AJ25" s="17"/>
      <c r="AK25" s="17"/>
      <c r="AL25" s="17"/>
      <c r="AM25" s="17"/>
      <c r="AN25" s="17"/>
    </row>
    <row r="26" spans="2:40" s="1" customFormat="1" ht="15" customHeight="1">
      <c r="B26" s="3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  <c r="T26" s="247"/>
      <c r="U26" s="247"/>
      <c r="V26" s="247"/>
      <c r="W26" s="247"/>
      <c r="X26" s="247"/>
      <c r="Y26" s="247"/>
      <c r="Z26" s="247"/>
      <c r="AA26" s="247"/>
      <c r="AB26" s="247"/>
      <c r="AC26" s="247"/>
      <c r="AD26" s="247"/>
      <c r="AE26" s="247"/>
      <c r="AF26" s="23"/>
      <c r="AG26" s="18"/>
      <c r="AH26" s="17"/>
      <c r="AI26" s="17"/>
      <c r="AJ26" s="17"/>
      <c r="AK26" s="17"/>
      <c r="AL26" s="17"/>
      <c r="AM26" s="17"/>
      <c r="AN26" s="17"/>
    </row>
    <row r="27" spans="2:40" s="1" customFormat="1" ht="15" customHeight="1">
      <c r="B27" s="3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  <c r="U27" s="247"/>
      <c r="V27" s="247"/>
      <c r="W27" s="247"/>
      <c r="X27" s="247"/>
      <c r="Y27" s="247"/>
      <c r="Z27" s="247"/>
      <c r="AA27" s="247"/>
      <c r="AB27" s="247"/>
      <c r="AC27" s="247"/>
      <c r="AD27" s="247"/>
      <c r="AE27" s="247"/>
      <c r="AF27" s="23"/>
      <c r="AG27" s="18"/>
      <c r="AH27" s="17"/>
      <c r="AI27" s="17"/>
      <c r="AJ27" s="17"/>
      <c r="AK27" s="17"/>
      <c r="AL27" s="17"/>
      <c r="AM27" s="17"/>
      <c r="AN27" s="17"/>
    </row>
    <row r="28" spans="2:40" s="1" customFormat="1" ht="15" customHeight="1">
      <c r="B28" s="3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  <c r="T28" s="247"/>
      <c r="U28" s="247"/>
      <c r="V28" s="247"/>
      <c r="W28" s="247"/>
      <c r="X28" s="247"/>
      <c r="Y28" s="247"/>
      <c r="Z28" s="247"/>
      <c r="AA28" s="247"/>
      <c r="AB28" s="247"/>
      <c r="AC28" s="247"/>
      <c r="AD28" s="247"/>
      <c r="AE28" s="247"/>
      <c r="AF28" s="22"/>
      <c r="AG28" s="18"/>
      <c r="AI28" s="17"/>
      <c r="AJ28" s="17"/>
      <c r="AK28" s="17"/>
      <c r="AL28" s="17"/>
      <c r="AM28" s="17"/>
      <c r="AN28" s="17"/>
    </row>
    <row r="29" spans="2:40" s="1" customFormat="1" ht="15" customHeight="1">
      <c r="B29" s="3"/>
      <c r="C29" s="247"/>
      <c r="D29" s="247"/>
      <c r="E29" s="247"/>
      <c r="F29" s="251"/>
      <c r="G29" s="250"/>
      <c r="H29" s="251"/>
      <c r="I29" s="250"/>
      <c r="J29" s="251"/>
      <c r="K29" s="250"/>
      <c r="L29" s="251"/>
      <c r="M29" s="250"/>
      <c r="N29" s="251"/>
      <c r="O29" s="250"/>
      <c r="P29" s="251"/>
      <c r="Q29" s="250"/>
      <c r="R29" s="251"/>
      <c r="S29" s="250"/>
      <c r="T29" s="251"/>
      <c r="U29" s="250"/>
      <c r="V29" s="251"/>
      <c r="W29" s="250"/>
      <c r="X29" s="251"/>
      <c r="Y29" s="250"/>
      <c r="Z29" s="251"/>
      <c r="AA29" s="250"/>
      <c r="AB29" s="251"/>
      <c r="AC29" s="247"/>
      <c r="AD29" s="247"/>
      <c r="AE29" s="247"/>
      <c r="AF29" s="22"/>
      <c r="AG29" s="17"/>
      <c r="AH29" s="17"/>
      <c r="AI29" s="17"/>
      <c r="AJ29" s="17"/>
      <c r="AK29" s="17"/>
      <c r="AL29" s="17"/>
      <c r="AM29" s="17"/>
      <c r="AN29" s="17"/>
    </row>
    <row r="30" spans="2:40" s="1" customFormat="1" ht="15" customHeight="1">
      <c r="B30" s="3"/>
      <c r="C30" s="247"/>
      <c r="D30" s="247"/>
      <c r="E30" s="247"/>
      <c r="F30" s="251"/>
      <c r="G30" s="250"/>
      <c r="H30" s="251"/>
      <c r="I30" s="250"/>
      <c r="J30" s="251"/>
      <c r="K30" s="250"/>
      <c r="L30" s="251"/>
      <c r="M30" s="250"/>
      <c r="N30" s="251"/>
      <c r="O30" s="250"/>
      <c r="P30" s="251"/>
      <c r="Q30" s="250"/>
      <c r="R30" s="251"/>
      <c r="S30" s="250"/>
      <c r="T30" s="251"/>
      <c r="U30" s="250"/>
      <c r="V30" s="251"/>
      <c r="W30" s="250"/>
      <c r="X30" s="251"/>
      <c r="Y30" s="250"/>
      <c r="Z30" s="251"/>
      <c r="AA30" s="250"/>
      <c r="AB30" s="251"/>
      <c r="AC30" s="247"/>
      <c r="AD30" s="247"/>
      <c r="AE30" s="247"/>
      <c r="AF30" s="22"/>
      <c r="AG30" s="17"/>
      <c r="AH30" s="17"/>
      <c r="AI30" s="17"/>
      <c r="AJ30" s="17"/>
      <c r="AK30" s="17"/>
      <c r="AL30" s="17"/>
      <c r="AM30" s="17"/>
      <c r="AN30" s="17"/>
    </row>
    <row r="31" spans="2:40" s="1" customFormat="1" ht="15" customHeight="1">
      <c r="B31" s="3"/>
      <c r="C31" s="247"/>
      <c r="D31" s="247"/>
      <c r="E31" s="247"/>
      <c r="F31" s="251"/>
      <c r="G31" s="250"/>
      <c r="H31" s="251"/>
      <c r="I31" s="250"/>
      <c r="J31" s="251"/>
      <c r="K31" s="250"/>
      <c r="L31" s="251"/>
      <c r="M31" s="250"/>
      <c r="N31" s="251"/>
      <c r="O31" s="250"/>
      <c r="P31" s="251"/>
      <c r="Q31" s="250"/>
      <c r="R31" s="251"/>
      <c r="S31" s="250"/>
      <c r="T31" s="251"/>
      <c r="U31" s="250"/>
      <c r="V31" s="251"/>
      <c r="W31" s="250"/>
      <c r="X31" s="251"/>
      <c r="Y31" s="250"/>
      <c r="Z31" s="251"/>
      <c r="AA31" s="250"/>
      <c r="AB31" s="251"/>
      <c r="AC31" s="247"/>
      <c r="AD31" s="247"/>
      <c r="AE31" s="247"/>
      <c r="AF31" s="22"/>
      <c r="AG31" s="17"/>
      <c r="AH31" s="17"/>
      <c r="AI31" s="17"/>
      <c r="AJ31" s="17"/>
      <c r="AK31" s="17"/>
      <c r="AL31" s="17"/>
      <c r="AM31" s="17"/>
      <c r="AN31" s="17"/>
    </row>
    <row r="32" spans="2:40" s="1" customFormat="1" ht="15" customHeight="1">
      <c r="B32" s="3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  <c r="U32" s="247"/>
      <c r="V32" s="247"/>
      <c r="W32" s="247"/>
      <c r="X32" s="247"/>
      <c r="Y32" s="247"/>
      <c r="Z32" s="247"/>
      <c r="AA32" s="247"/>
      <c r="AB32" s="247"/>
      <c r="AC32" s="247"/>
      <c r="AD32" s="247"/>
      <c r="AE32" s="247"/>
      <c r="AF32" s="22"/>
      <c r="AG32" s="17"/>
      <c r="AH32" s="17"/>
      <c r="AI32" s="17"/>
      <c r="AJ32" s="17"/>
      <c r="AK32" s="17"/>
      <c r="AL32" s="17"/>
      <c r="AM32" s="17"/>
      <c r="AN32" s="17"/>
    </row>
    <row r="33" spans="2:40" s="1" customFormat="1" ht="15" customHeight="1">
      <c r="B33" s="3"/>
      <c r="C33" s="247"/>
      <c r="D33" s="247"/>
      <c r="E33" s="247"/>
      <c r="F33" s="350"/>
      <c r="G33" s="350"/>
      <c r="H33" s="350"/>
      <c r="I33" s="350"/>
      <c r="J33" s="247"/>
      <c r="K33" s="247"/>
      <c r="L33" s="247"/>
      <c r="M33" s="247"/>
      <c r="N33" s="247"/>
      <c r="O33" s="247"/>
      <c r="P33" s="247"/>
      <c r="Q33" s="247"/>
      <c r="R33" s="247"/>
      <c r="S33" s="247"/>
      <c r="T33" s="247"/>
      <c r="U33" s="247"/>
      <c r="V33" s="247"/>
      <c r="W33" s="247"/>
      <c r="X33" s="247"/>
      <c r="Y33" s="247"/>
      <c r="Z33" s="249"/>
      <c r="AA33" s="249"/>
      <c r="AB33" s="249"/>
      <c r="AC33" s="249"/>
      <c r="AD33" s="247"/>
      <c r="AE33" s="247"/>
      <c r="AF33" s="22"/>
      <c r="AG33" s="17"/>
      <c r="AH33" s="17"/>
      <c r="AI33" s="17"/>
      <c r="AJ33" s="17"/>
      <c r="AK33" s="17"/>
      <c r="AL33" s="17"/>
      <c r="AM33" s="17"/>
      <c r="AN33" s="17"/>
    </row>
    <row r="34" spans="2:40" s="1" customFormat="1" ht="15" customHeight="1">
      <c r="B34" s="3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  <c r="U34" s="247"/>
      <c r="V34" s="247"/>
      <c r="W34" s="247"/>
      <c r="X34" s="247"/>
      <c r="Y34" s="247"/>
      <c r="Z34" s="247"/>
      <c r="AA34" s="247"/>
      <c r="AB34" s="247"/>
      <c r="AC34" s="247"/>
      <c r="AD34" s="247"/>
      <c r="AE34" s="247"/>
      <c r="AF34" s="22"/>
      <c r="AG34" s="17"/>
      <c r="AH34" s="17"/>
      <c r="AI34" s="17"/>
      <c r="AJ34" s="17"/>
      <c r="AK34" s="17"/>
      <c r="AL34" s="17"/>
      <c r="AM34" s="17"/>
      <c r="AN34" s="17"/>
    </row>
    <row r="35" spans="2:40" s="1" customFormat="1">
      <c r="B35" s="3"/>
      <c r="AF35" s="22"/>
      <c r="AG35" s="17"/>
      <c r="AH35" s="17"/>
      <c r="AI35" s="17"/>
      <c r="AJ35" s="17"/>
      <c r="AK35" s="17"/>
      <c r="AL35" s="17"/>
      <c r="AM35" s="17"/>
      <c r="AN35" s="17"/>
    </row>
    <row r="36" spans="2:40" s="1" customFormat="1">
      <c r="B36" s="3"/>
      <c r="AF36" s="22"/>
      <c r="AG36" s="17"/>
      <c r="AH36" s="17"/>
      <c r="AI36" s="17"/>
      <c r="AJ36" s="17"/>
      <c r="AK36" s="17"/>
      <c r="AL36" s="17"/>
      <c r="AM36" s="17"/>
      <c r="AN36" s="17"/>
    </row>
    <row r="37" spans="2:40" s="1" customFormat="1">
      <c r="B37" s="3"/>
      <c r="AF37" s="22"/>
      <c r="AG37" s="17"/>
      <c r="AH37" s="17"/>
      <c r="AI37" s="17"/>
      <c r="AJ37" s="17"/>
      <c r="AK37" s="17"/>
      <c r="AL37" s="17"/>
      <c r="AM37" s="17"/>
      <c r="AN37" s="17"/>
    </row>
    <row r="38" spans="2:40" s="1" customFormat="1">
      <c r="B38" s="3"/>
      <c r="AF38" s="22"/>
      <c r="AG38" s="17"/>
      <c r="AH38" s="17"/>
      <c r="AI38" s="17"/>
      <c r="AJ38" s="17"/>
      <c r="AK38" s="17"/>
      <c r="AL38" s="17"/>
      <c r="AM38" s="17"/>
      <c r="AN38" s="17"/>
    </row>
    <row r="39" spans="2:40" s="1" customFormat="1">
      <c r="B39" s="3"/>
      <c r="AF39" s="22"/>
      <c r="AG39" s="17"/>
      <c r="AH39" s="17"/>
      <c r="AI39" s="17"/>
      <c r="AJ39" s="17"/>
      <c r="AK39" s="17"/>
      <c r="AL39" s="17"/>
      <c r="AM39" s="17"/>
      <c r="AN39" s="17"/>
    </row>
    <row r="40" spans="2:40" s="1" customFormat="1">
      <c r="B40" s="3"/>
      <c r="AF40" s="22"/>
      <c r="AG40" s="17"/>
      <c r="AH40" s="17"/>
      <c r="AI40" s="17"/>
      <c r="AJ40" s="17"/>
      <c r="AK40" s="17"/>
      <c r="AL40" s="17"/>
      <c r="AM40" s="17"/>
      <c r="AN40" s="17"/>
    </row>
    <row r="41" spans="2:40" s="1" customFormat="1">
      <c r="B41" s="3"/>
      <c r="AF41" s="22"/>
      <c r="AG41" s="17"/>
      <c r="AH41" s="17"/>
      <c r="AI41" s="17"/>
      <c r="AJ41" s="17"/>
      <c r="AK41" s="17"/>
      <c r="AL41" s="17"/>
      <c r="AM41" s="17"/>
      <c r="AN41" s="17"/>
    </row>
    <row r="42" spans="2:40" s="1" customFormat="1">
      <c r="B42" s="3"/>
      <c r="AF42" s="22"/>
      <c r="AG42" s="17"/>
      <c r="AH42" s="17"/>
      <c r="AI42" s="17"/>
      <c r="AJ42" s="17"/>
      <c r="AK42" s="17"/>
      <c r="AL42" s="17"/>
      <c r="AM42" s="17"/>
      <c r="AN42" s="17"/>
    </row>
    <row r="43" spans="2:40" s="1" customFormat="1">
      <c r="B43" s="3"/>
      <c r="AF43" s="22"/>
      <c r="AG43" s="17"/>
      <c r="AH43" s="17"/>
      <c r="AI43" s="17"/>
      <c r="AJ43" s="17"/>
      <c r="AK43" s="17"/>
      <c r="AL43" s="17"/>
      <c r="AM43" s="17"/>
      <c r="AN43" s="17"/>
    </row>
    <row r="44" spans="2:40" s="1" customFormat="1">
      <c r="B44" s="3"/>
      <c r="AF44" s="22"/>
      <c r="AG44" s="17"/>
      <c r="AH44" s="17"/>
      <c r="AI44" s="17"/>
      <c r="AJ44" s="17"/>
      <c r="AK44" s="17"/>
      <c r="AL44" s="17"/>
      <c r="AM44" s="17"/>
      <c r="AN44" s="17"/>
    </row>
    <row r="45" spans="2:40" s="1" customFormat="1">
      <c r="B45" s="3"/>
      <c r="AF45" s="22"/>
      <c r="AG45" s="17"/>
      <c r="AH45" s="17"/>
      <c r="AI45" s="17"/>
      <c r="AJ45" s="17"/>
      <c r="AK45" s="17"/>
      <c r="AL45" s="17"/>
      <c r="AM45" s="17"/>
      <c r="AN45" s="17"/>
    </row>
    <row r="47" spans="2:40">
      <c r="AG47"/>
    </row>
  </sheetData>
  <mergeCells count="20">
    <mergeCell ref="Z21:Z22"/>
    <mergeCell ref="AB21:AB22"/>
    <mergeCell ref="F23:G23"/>
    <mergeCell ref="H23:I23"/>
    <mergeCell ref="F33:G33"/>
    <mergeCell ref="H33:I33"/>
    <mergeCell ref="B2:AF2"/>
    <mergeCell ref="B3:AF3"/>
    <mergeCell ref="H15:I15"/>
    <mergeCell ref="J15:K15"/>
    <mergeCell ref="F21:F22"/>
    <mergeCell ref="H21:H22"/>
    <mergeCell ref="J21:J22"/>
    <mergeCell ref="L21:L22"/>
    <mergeCell ref="N21:N22"/>
    <mergeCell ref="P21:P22"/>
    <mergeCell ref="R21:R22"/>
    <mergeCell ref="T21:T22"/>
    <mergeCell ref="V21:V22"/>
    <mergeCell ref="X21:X22"/>
  </mergeCells>
  <hyperlinks>
    <hyperlink ref="AD10" location="'0'!A1" tooltip="X stave 0, Front" display="'0'!A1" xr:uid="{00000000-0004-0000-0000-000000000000}"/>
    <hyperlink ref="AD11:AD14" location="'0'!A1" tooltip="X stave 0, Front" display="'0'!A1" xr:uid="{00000000-0004-0000-0000-000001000000}"/>
    <hyperlink ref="Z10" location="'0'!A1" tooltip="X stave 0, Front" display="'0'!A1" xr:uid="{00000000-0004-0000-0000-000002000000}"/>
    <hyperlink ref="Z11:Z14" location="'0'!A1" tooltip="X stave 0, Front" display="'0'!A1" xr:uid="{00000000-0004-0000-0000-000003000000}"/>
    <hyperlink ref="X10" location="'0'!A1" tooltip="X stave 0, Front" display="'0'!A1" xr:uid="{00000000-0004-0000-0000-000004000000}"/>
    <hyperlink ref="X11:X14" location="'0'!A1" tooltip="X stave 0, Front" display="'0'!A1" xr:uid="{00000000-0004-0000-0000-000005000000}"/>
    <hyperlink ref="Z10:Z14" location="'2'!A1" tooltip="DCB 2" display="'2'!A1" xr:uid="{00000000-0004-0000-0000-000006000000}"/>
    <hyperlink ref="AD10:AD14" location="'0'!A1" tooltip="DCB 0" display="'0'!A1" xr:uid="{00000000-0004-0000-0000-000007000000}"/>
    <hyperlink ref="AB10" location="'0'!A1" tooltip="X stave 0, Front" display="'0'!A1" xr:uid="{00000000-0004-0000-0000-000008000000}"/>
    <hyperlink ref="AB11:AB14" location="'0'!A1" tooltip="X stave 0, Front" display="'0'!A1" xr:uid="{00000000-0004-0000-0000-000009000000}"/>
    <hyperlink ref="AB10:AB14" location="'1'!A1" tooltip="DCB 1" display="'1'!A1" xr:uid="{00000000-0004-0000-0000-00000A000000}"/>
    <hyperlink ref="X10:X14" location="'3'!A1" display="'3'!A1" xr:uid="{00000000-0004-0000-0000-00000B000000}"/>
    <hyperlink ref="V10" location="'0'!A1" tooltip="X stave 0, Front" display="'0'!A1" xr:uid="{00000000-0004-0000-0000-00000C000000}"/>
    <hyperlink ref="V11:V14" location="'0'!A1" tooltip="X stave 0, Front" display="'0'!A1" xr:uid="{00000000-0004-0000-0000-00000D000000}"/>
    <hyperlink ref="V10:V14" location="'4'!A1" display="'4'!A1" xr:uid="{00000000-0004-0000-0000-00000E000000}"/>
    <hyperlink ref="T10" location="'0'!A1" tooltip="X stave 0, Front" display="'0'!A1" xr:uid="{00000000-0004-0000-0000-00000F000000}"/>
    <hyperlink ref="T11:T14" location="'0'!A1" tooltip="X stave 0, Front" display="'0'!A1" xr:uid="{00000000-0004-0000-0000-000010000000}"/>
    <hyperlink ref="T10:T14" location="'5'!A1" display="'5'!A1" xr:uid="{00000000-0004-0000-0000-000011000000}"/>
    <hyperlink ref="R10" location="'0'!A1" tooltip="X stave 0, Front" display="'0'!A1" xr:uid="{00000000-0004-0000-0000-000012000000}"/>
    <hyperlink ref="R11:R14" location="'0'!A1" tooltip="X stave 0, Front" display="'0'!A1" xr:uid="{00000000-0004-0000-0000-000013000000}"/>
    <hyperlink ref="R10:R14" location="'6'!A1" display="'6'!A1" xr:uid="{00000000-0004-0000-0000-000014000000}"/>
    <hyperlink ref="P10" location="'0'!A1" tooltip="X stave 0, Front" display="'0'!A1" xr:uid="{00000000-0004-0000-0000-000015000000}"/>
    <hyperlink ref="P11:P14" location="'0'!A1" tooltip="X stave 0, Front" display="'0'!A1" xr:uid="{00000000-0004-0000-0000-000016000000}"/>
    <hyperlink ref="P10:P14" location="'7'!A1" display="'7'!A1" xr:uid="{00000000-0004-0000-0000-000017000000}"/>
    <hyperlink ref="N10" location="'0'!A1" tooltip="X stave 0, Front" display="'0'!A1" xr:uid="{00000000-0004-0000-0000-000018000000}"/>
    <hyperlink ref="N11:N14" location="'0'!A1" tooltip="X stave 0, Front" display="'0'!A1" xr:uid="{00000000-0004-0000-0000-000019000000}"/>
    <hyperlink ref="N10:N14" location="'8'!A1" display="'8'!A1" xr:uid="{00000000-0004-0000-0000-00001A000000}"/>
    <hyperlink ref="L10" location="'0'!A1" tooltip="X stave 0, Front" display="'0'!A1" xr:uid="{00000000-0004-0000-0000-00001B000000}"/>
    <hyperlink ref="L11:L14" location="'0'!A1" tooltip="X stave 0, Front" display="'0'!A1" xr:uid="{00000000-0004-0000-0000-00001C000000}"/>
    <hyperlink ref="L10:L14" location="'9'!A1" display="'9'!A1" xr:uid="{00000000-0004-0000-0000-00001D000000}"/>
    <hyperlink ref="J10" location="'0'!A1" tooltip="X stave 0, Front" display="'0'!A1" xr:uid="{00000000-0004-0000-0000-00001E000000}"/>
    <hyperlink ref="J11:J14" location="'0'!A1" tooltip="X stave 0, Front" display="'0'!A1" xr:uid="{00000000-0004-0000-0000-00001F000000}"/>
    <hyperlink ref="J10:J14" location="'10'!A1" display="'10'!A1" xr:uid="{00000000-0004-0000-0000-000020000000}"/>
    <hyperlink ref="H10" location="'0'!A1" tooltip="X stave 0, Front" display="'0'!A1" xr:uid="{00000000-0004-0000-0000-000021000000}"/>
    <hyperlink ref="H11:H14" location="'0'!A1" tooltip="X stave 0, Front" display="'0'!A1" xr:uid="{00000000-0004-0000-0000-000022000000}"/>
    <hyperlink ref="H10:H14" location="'11'!A1" display="'11'!A1" xr:uid="{00000000-0004-0000-0000-000023000000}"/>
  </hyperlinks>
  <pageMargins left="0.75" right="0.75" top="1" bottom="1" header="0.5" footer="0.5"/>
  <pageSetup orientation="portrait" horizontalDpi="4294967292" verticalDpi="429496729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F135"/>
  <sheetViews>
    <sheetView topLeftCell="B1" zoomScale="85" zoomScaleNormal="85" zoomScaleSheetLayoutView="25" zoomScalePageLayoutView="70" workbookViewId="0">
      <selection activeCell="B1" sqref="B1"/>
    </sheetView>
  </sheetViews>
  <sheetFormatPr defaultColWidth="7.3984375" defaultRowHeight="14.4"/>
  <cols>
    <col min="1" max="1" width="2" style="47" hidden="1" customWidth="1"/>
    <col min="2" max="4" width="11.5" style="47" customWidth="1"/>
    <col min="5" max="5" width="11.59765625" style="47" customWidth="1"/>
    <col min="6" max="8" width="12.19921875" style="86" customWidth="1"/>
    <col min="9" max="11" width="12.69921875" style="47" hidden="1" customWidth="1"/>
    <col min="12" max="14" width="12.19921875" style="86" customWidth="1"/>
    <col min="15" max="17" width="12.69921875" style="47" hidden="1" customWidth="1"/>
    <col min="18" max="20" width="12.19921875" style="86" customWidth="1"/>
    <col min="21" max="21" width="12.69921875" style="47" customWidth="1"/>
    <col min="22" max="23" width="12.69921875" style="47" hidden="1" customWidth="1"/>
    <col min="24" max="24" width="11.59765625" style="86" hidden="1" customWidth="1"/>
    <col min="25" max="25" width="3.5" style="47" hidden="1" customWidth="1"/>
    <col min="26" max="27" width="2.5" style="47" hidden="1" customWidth="1"/>
    <col min="28" max="28" width="6.69921875" style="47" customWidth="1"/>
    <col min="29" max="16384" width="7.3984375" style="47"/>
  </cols>
  <sheetData>
    <row r="1" spans="1:28" s="29" customFormat="1" ht="69" customHeight="1">
      <c r="A1" s="28"/>
      <c r="B1" s="28"/>
      <c r="D1" s="30" t="s">
        <v>348</v>
      </c>
      <c r="E1" s="31"/>
      <c r="F1" s="32"/>
      <c r="G1" s="33"/>
      <c r="H1" s="32"/>
      <c r="L1" s="34" t="s">
        <v>349</v>
      </c>
      <c r="M1" s="32"/>
      <c r="N1" s="32"/>
      <c r="R1" s="33"/>
      <c r="S1" s="32"/>
      <c r="T1" s="33"/>
      <c r="X1" s="32"/>
      <c r="Y1" s="32"/>
      <c r="Z1" s="33"/>
      <c r="AA1" s="32"/>
      <c r="AB1" s="32"/>
    </row>
    <row r="2" spans="1:28" s="29" customFormat="1" ht="10.5" customHeight="1" thickBot="1">
      <c r="A2" s="28"/>
      <c r="B2" s="28"/>
      <c r="D2" s="30"/>
      <c r="K2" s="35"/>
      <c r="L2" s="33"/>
      <c r="M2" s="32"/>
      <c r="N2" s="32"/>
      <c r="R2" s="33"/>
      <c r="S2" s="32"/>
      <c r="T2" s="33"/>
      <c r="X2" s="32"/>
      <c r="Y2" s="32"/>
      <c r="Z2" s="33"/>
      <c r="AA2" s="32"/>
      <c r="AB2" s="32"/>
    </row>
    <row r="3" spans="1:28" ht="18" customHeight="1" thickBot="1">
      <c r="A3" s="36"/>
      <c r="B3" s="36"/>
      <c r="C3" s="37" t="s">
        <v>350</v>
      </c>
      <c r="D3" s="38"/>
      <c r="E3" s="39" t="s">
        <v>351</v>
      </c>
      <c r="F3" s="40" t="s">
        <v>352</v>
      </c>
      <c r="G3" s="41" t="s">
        <v>353</v>
      </c>
      <c r="H3" s="42"/>
      <c r="I3" s="43"/>
      <c r="J3" s="363" t="s">
        <v>354</v>
      </c>
      <c r="K3" s="364"/>
      <c r="L3" s="367" t="s">
        <v>355</v>
      </c>
      <c r="M3" s="369" t="s">
        <v>356</v>
      </c>
      <c r="N3" s="44" t="s">
        <v>357</v>
      </c>
      <c r="O3" s="371" t="s">
        <v>358</v>
      </c>
      <c r="P3" s="373" t="s">
        <v>359</v>
      </c>
      <c r="Q3" s="375" t="s">
        <v>360</v>
      </c>
      <c r="R3" s="183" t="s">
        <v>462</v>
      </c>
      <c r="S3" s="45"/>
      <c r="T3" s="45"/>
      <c r="U3" s="45"/>
      <c r="V3" s="45"/>
      <c r="W3" s="45"/>
      <c r="X3" s="45"/>
      <c r="Y3" s="45"/>
      <c r="Z3" s="45"/>
      <c r="AA3" s="46"/>
      <c r="AB3" s="36"/>
    </row>
    <row r="4" spans="1:28" ht="18" customHeight="1" thickBot="1">
      <c r="A4" s="36"/>
      <c r="B4" s="36"/>
      <c r="C4" s="48"/>
      <c r="D4" s="49"/>
      <c r="E4" s="50"/>
      <c r="F4" s="51"/>
      <c r="G4" s="51"/>
      <c r="H4" s="51"/>
      <c r="I4" s="52"/>
      <c r="J4" s="365"/>
      <c r="K4" s="366"/>
      <c r="L4" s="368"/>
      <c r="M4" s="370"/>
      <c r="N4" s="53" t="s">
        <v>361</v>
      </c>
      <c r="O4" s="372"/>
      <c r="P4" s="374"/>
      <c r="Q4" s="376"/>
      <c r="R4" s="158" t="s">
        <v>883</v>
      </c>
      <c r="S4" s="36"/>
      <c r="T4" s="36"/>
      <c r="U4" s="36"/>
      <c r="V4" s="36"/>
      <c r="W4" s="36"/>
      <c r="X4" s="36"/>
      <c r="Y4" s="36"/>
      <c r="Z4" s="36"/>
      <c r="AA4" s="54"/>
      <c r="AB4" s="36"/>
    </row>
    <row r="5" spans="1:28" ht="22.35" customHeight="1" thickBot="1">
      <c r="A5" s="36"/>
      <c r="B5" s="36"/>
      <c r="C5" s="48"/>
      <c r="D5" s="55"/>
      <c r="E5" s="56" t="s">
        <v>362</v>
      </c>
      <c r="F5" s="358" t="s">
        <v>365</v>
      </c>
      <c r="G5" s="358"/>
      <c r="H5" s="358"/>
      <c r="I5" s="57"/>
      <c r="J5" s="57"/>
      <c r="K5" s="57"/>
      <c r="L5" s="359" t="s">
        <v>364</v>
      </c>
      <c r="M5" s="359"/>
      <c r="N5" s="359"/>
      <c r="O5" s="57"/>
      <c r="P5" s="57"/>
      <c r="Q5" s="57"/>
      <c r="R5" s="358" t="s">
        <v>363</v>
      </c>
      <c r="S5" s="358"/>
      <c r="T5" s="358"/>
      <c r="U5" s="36"/>
      <c r="W5" s="36"/>
      <c r="X5" s="58"/>
      <c r="Y5" s="59"/>
      <c r="Z5" s="59"/>
      <c r="AA5" s="54"/>
      <c r="AB5" s="36"/>
    </row>
    <row r="6" spans="1:28" ht="19.649999999999999" customHeight="1" thickBot="1">
      <c r="A6" s="36"/>
      <c r="B6" s="36"/>
      <c r="C6" s="60"/>
      <c r="D6" s="36"/>
      <c r="E6" s="61" t="s">
        <v>366</v>
      </c>
      <c r="F6" s="360" t="s">
        <v>369</v>
      </c>
      <c r="G6" s="361"/>
      <c r="H6" s="362"/>
      <c r="I6" s="62"/>
      <c r="J6" s="62"/>
      <c r="K6" s="62"/>
      <c r="L6" s="360" t="s">
        <v>368</v>
      </c>
      <c r="M6" s="361"/>
      <c r="N6" s="362"/>
      <c r="O6" s="315"/>
      <c r="P6" s="315"/>
      <c r="Q6" s="315"/>
      <c r="R6" s="360" t="s">
        <v>367</v>
      </c>
      <c r="S6" s="361"/>
      <c r="T6" s="362"/>
      <c r="U6" s="36"/>
      <c r="V6" s="63" t="s">
        <v>451</v>
      </c>
      <c r="W6" s="36"/>
      <c r="X6" s="58"/>
      <c r="Y6" s="36"/>
      <c r="Z6" s="36"/>
      <c r="AA6" s="54"/>
    </row>
    <row r="7" spans="1:28" ht="15" customHeight="1" thickBot="1">
      <c r="A7" s="36"/>
      <c r="B7" s="36"/>
      <c r="C7" s="60"/>
      <c r="D7" s="36"/>
      <c r="E7" s="64" t="s">
        <v>370</v>
      </c>
      <c r="F7" s="377" t="s">
        <v>476</v>
      </c>
      <c r="G7" s="378"/>
      <c r="H7" s="379"/>
      <c r="I7" s="65"/>
      <c r="J7" s="65"/>
      <c r="K7" s="66"/>
      <c r="L7" s="377" t="s">
        <v>475</v>
      </c>
      <c r="M7" s="378"/>
      <c r="N7" s="379"/>
      <c r="O7" s="315"/>
      <c r="P7" s="315"/>
      <c r="Q7" s="315"/>
      <c r="R7" s="205"/>
      <c r="S7" s="206"/>
      <c r="T7" s="207" t="s">
        <v>371</v>
      </c>
      <c r="U7" s="36"/>
      <c r="V7" s="67" t="s">
        <v>448</v>
      </c>
      <c r="W7" s="36"/>
      <c r="X7" s="58"/>
      <c r="Y7" s="59"/>
      <c r="Z7" s="59"/>
      <c r="AA7" s="54"/>
      <c r="AB7" s="36"/>
    </row>
    <row r="8" spans="1:28" ht="16.8" thickTop="1" thickBot="1">
      <c r="A8" s="36"/>
      <c r="B8" s="36"/>
      <c r="C8" s="60"/>
      <c r="D8" s="36"/>
      <c r="E8" s="56" t="s">
        <v>884</v>
      </c>
      <c r="F8" s="72"/>
      <c r="G8" s="70"/>
      <c r="H8" s="71" t="s">
        <v>885</v>
      </c>
      <c r="I8" s="68"/>
      <c r="J8" s="65"/>
      <c r="K8" s="66"/>
      <c r="L8" s="69"/>
      <c r="M8" s="70"/>
      <c r="N8" s="71" t="s">
        <v>885</v>
      </c>
      <c r="O8" s="315"/>
      <c r="P8" s="315"/>
      <c r="Q8" s="315"/>
      <c r="R8" s="203"/>
      <c r="S8" s="70"/>
      <c r="T8" s="209"/>
      <c r="U8" s="36"/>
      <c r="V8" s="73" t="s">
        <v>450</v>
      </c>
      <c r="W8" s="36"/>
      <c r="X8" s="58"/>
      <c r="Y8" s="59"/>
      <c r="Z8" s="36"/>
      <c r="AA8" s="54"/>
      <c r="AB8" s="36"/>
    </row>
    <row r="9" spans="1:28" ht="31.65" customHeight="1" thickTop="1" thickBot="1">
      <c r="A9" s="36"/>
      <c r="B9" s="36"/>
      <c r="C9" s="60"/>
      <c r="D9" s="36"/>
      <c r="E9" s="74"/>
      <c r="F9" s="194">
        <v>8</v>
      </c>
      <c r="G9" s="195">
        <v>7</v>
      </c>
      <c r="H9" s="196">
        <v>6</v>
      </c>
      <c r="J9" s="36"/>
      <c r="L9" s="194">
        <v>5</v>
      </c>
      <c r="M9" s="195">
        <v>4</v>
      </c>
      <c r="N9" s="196">
        <v>3</v>
      </c>
      <c r="O9" s="315"/>
      <c r="P9" s="315"/>
      <c r="Q9" s="315"/>
      <c r="R9" s="194">
        <v>2</v>
      </c>
      <c r="S9" s="195">
        <v>1</v>
      </c>
      <c r="T9" s="196">
        <v>0</v>
      </c>
      <c r="U9" s="36"/>
      <c r="V9" s="36"/>
      <c r="W9" s="36"/>
      <c r="X9" s="58"/>
      <c r="Y9" s="59"/>
      <c r="Z9" s="36"/>
      <c r="AA9" s="54"/>
      <c r="AB9" s="36"/>
    </row>
    <row r="10" spans="1:28" ht="12.75" customHeight="1" thickTop="1">
      <c r="A10" s="36"/>
      <c r="B10" s="36"/>
      <c r="C10" s="60"/>
      <c r="D10" s="36"/>
      <c r="E10" s="380">
        <v>0</v>
      </c>
      <c r="F10" s="381" t="s">
        <v>377</v>
      </c>
      <c r="G10" s="383" t="s">
        <v>381</v>
      </c>
      <c r="H10" s="385" t="s">
        <v>378</v>
      </c>
      <c r="I10" s="316"/>
      <c r="J10" s="317"/>
      <c r="K10" s="316"/>
      <c r="L10" s="381" t="s">
        <v>375</v>
      </c>
      <c r="M10" s="383" t="s">
        <v>380</v>
      </c>
      <c r="N10" s="385" t="s">
        <v>376</v>
      </c>
      <c r="O10" s="318"/>
      <c r="P10" s="318"/>
      <c r="Q10" s="318"/>
      <c r="R10" s="381" t="s">
        <v>373</v>
      </c>
      <c r="S10" s="383" t="s">
        <v>379</v>
      </c>
      <c r="T10" s="385" t="s">
        <v>374</v>
      </c>
      <c r="U10" s="197"/>
      <c r="V10" s="36"/>
      <c r="W10" s="36"/>
      <c r="X10" s="77"/>
      <c r="Y10" s="77"/>
      <c r="Z10" s="77"/>
      <c r="AA10" s="54"/>
      <c r="AB10" s="36"/>
    </row>
    <row r="11" spans="1:28" ht="14.1" customHeight="1" thickBot="1">
      <c r="A11" s="36"/>
      <c r="B11" s="36"/>
      <c r="C11" s="60"/>
      <c r="D11" s="36"/>
      <c r="E11" s="380"/>
      <c r="F11" s="382"/>
      <c r="G11" s="384"/>
      <c r="H11" s="386"/>
      <c r="I11" s="316"/>
      <c r="J11" s="317"/>
      <c r="K11" s="316"/>
      <c r="L11" s="382"/>
      <c r="M11" s="384"/>
      <c r="N11" s="387"/>
      <c r="O11" s="318"/>
      <c r="P11" s="318"/>
      <c r="Q11" s="318"/>
      <c r="R11" s="382"/>
      <c r="S11" s="384"/>
      <c r="T11" s="386"/>
      <c r="U11" s="197"/>
      <c r="V11" s="36"/>
      <c r="W11" s="36"/>
      <c r="X11" s="77"/>
      <c r="Y11" s="77"/>
      <c r="Z11" s="77"/>
      <c r="AA11" s="54"/>
      <c r="AB11" s="36"/>
    </row>
    <row r="12" spans="1:28" ht="15" customHeight="1" thickTop="1">
      <c r="A12" s="36"/>
      <c r="B12" s="36"/>
      <c r="C12" s="60"/>
      <c r="D12" s="36"/>
      <c r="E12" s="380">
        <v>1</v>
      </c>
      <c r="F12" s="388" t="s">
        <v>377</v>
      </c>
      <c r="G12" s="390" t="s">
        <v>381</v>
      </c>
      <c r="H12" s="392"/>
      <c r="I12" s="316"/>
      <c r="J12" s="317"/>
      <c r="K12" s="316"/>
      <c r="L12" s="388" t="s">
        <v>375</v>
      </c>
      <c r="M12" s="394" t="s">
        <v>380</v>
      </c>
      <c r="N12" s="392"/>
      <c r="O12" s="318"/>
      <c r="P12" s="318"/>
      <c r="Q12" s="318"/>
      <c r="R12" s="388" t="s">
        <v>373</v>
      </c>
      <c r="S12" s="390" t="s">
        <v>379</v>
      </c>
      <c r="T12" s="396" t="s">
        <v>374</v>
      </c>
      <c r="U12" s="197"/>
      <c r="V12" s="36"/>
      <c r="W12" s="36"/>
      <c r="X12" s="78"/>
      <c r="Y12" s="79"/>
      <c r="Z12" s="80"/>
      <c r="AA12" s="54"/>
      <c r="AB12" s="36"/>
    </row>
    <row r="13" spans="1:28" ht="15" customHeight="1" thickBot="1">
      <c r="A13" s="36"/>
      <c r="B13" s="36"/>
      <c r="C13" s="60"/>
      <c r="D13" s="36"/>
      <c r="E13" s="380"/>
      <c r="F13" s="389"/>
      <c r="G13" s="391"/>
      <c r="H13" s="393"/>
      <c r="I13" s="316"/>
      <c r="J13" s="317"/>
      <c r="K13" s="316"/>
      <c r="L13" s="389"/>
      <c r="M13" s="395"/>
      <c r="N13" s="393"/>
      <c r="O13" s="318"/>
      <c r="P13" s="318"/>
      <c r="Q13" s="318"/>
      <c r="R13" s="389"/>
      <c r="S13" s="391"/>
      <c r="T13" s="397"/>
      <c r="U13" s="197"/>
      <c r="V13" s="36"/>
      <c r="W13" s="36"/>
      <c r="X13" s="58"/>
      <c r="Y13" s="81"/>
      <c r="Z13" s="80"/>
      <c r="AA13" s="54"/>
      <c r="AB13" s="36"/>
    </row>
    <row r="14" spans="1:28" ht="14.4" customHeight="1" thickTop="1">
      <c r="A14" s="36"/>
      <c r="B14" s="36"/>
      <c r="C14" s="60"/>
      <c r="D14" s="36"/>
      <c r="E14" s="380">
        <v>2</v>
      </c>
      <c r="F14" s="381" t="s">
        <v>377</v>
      </c>
      <c r="G14" s="383" t="s">
        <v>381</v>
      </c>
      <c r="H14" s="385" t="s">
        <v>378</v>
      </c>
      <c r="I14" s="316"/>
      <c r="J14" s="317"/>
      <c r="K14" s="316"/>
      <c r="L14" s="381" t="s">
        <v>375</v>
      </c>
      <c r="M14" s="383" t="s">
        <v>380</v>
      </c>
      <c r="N14" s="385" t="s">
        <v>376</v>
      </c>
      <c r="O14" s="318"/>
      <c r="P14" s="318"/>
      <c r="Q14" s="318"/>
      <c r="R14" s="381" t="s">
        <v>373</v>
      </c>
      <c r="S14" s="383" t="s">
        <v>379</v>
      </c>
      <c r="T14" s="385" t="s">
        <v>374</v>
      </c>
      <c r="U14" s="198"/>
      <c r="V14" s="36"/>
      <c r="W14" s="36"/>
      <c r="X14" s="81"/>
      <c r="Y14" s="81"/>
      <c r="Z14" s="80"/>
      <c r="AA14" s="54"/>
      <c r="AB14" s="36"/>
    </row>
    <row r="15" spans="1:28" ht="14.1" customHeight="1">
      <c r="A15" s="36"/>
      <c r="B15" s="36"/>
      <c r="C15" s="60"/>
      <c r="D15" s="36"/>
      <c r="E15" s="380"/>
      <c r="F15" s="382"/>
      <c r="G15" s="384"/>
      <c r="H15" s="386"/>
      <c r="I15" s="316"/>
      <c r="J15" s="317"/>
      <c r="K15" s="316"/>
      <c r="L15" s="382"/>
      <c r="M15" s="384"/>
      <c r="N15" s="386"/>
      <c r="O15" s="318"/>
      <c r="P15" s="318"/>
      <c r="Q15" s="318"/>
      <c r="R15" s="382"/>
      <c r="S15" s="384"/>
      <c r="T15" s="386"/>
      <c r="U15" s="198"/>
      <c r="V15" s="36"/>
      <c r="W15" s="36"/>
      <c r="X15" s="58"/>
      <c r="Y15" s="59"/>
      <c r="Z15" s="36"/>
      <c r="AA15" s="54"/>
      <c r="AB15" s="36"/>
    </row>
    <row r="16" spans="1:28" ht="15" customHeight="1">
      <c r="A16" s="36"/>
      <c r="B16" s="36"/>
      <c r="C16" s="82" t="s">
        <v>382</v>
      </c>
      <c r="D16" s="36"/>
      <c r="E16" s="380">
        <v>3</v>
      </c>
      <c r="F16" s="388" t="s">
        <v>377</v>
      </c>
      <c r="G16" s="390" t="s">
        <v>381</v>
      </c>
      <c r="H16" s="396" t="s">
        <v>378</v>
      </c>
      <c r="I16" s="316"/>
      <c r="J16" s="317"/>
      <c r="K16" s="316"/>
      <c r="L16" s="388" t="s">
        <v>375</v>
      </c>
      <c r="M16" s="409" t="s">
        <v>380</v>
      </c>
      <c r="N16" s="396" t="s">
        <v>376</v>
      </c>
      <c r="O16" s="318"/>
      <c r="P16" s="318"/>
      <c r="Q16" s="318"/>
      <c r="R16" s="388" t="s">
        <v>373</v>
      </c>
      <c r="S16" s="390" t="s">
        <v>379</v>
      </c>
      <c r="T16" s="396" t="s">
        <v>374</v>
      </c>
      <c r="U16" s="198"/>
      <c r="V16" s="36"/>
      <c r="W16" s="36"/>
      <c r="X16" s="58"/>
      <c r="Y16" s="59"/>
      <c r="Z16" s="36"/>
      <c r="AA16" s="54"/>
      <c r="AB16" s="36"/>
    </row>
    <row r="17" spans="1:32" ht="15" customHeight="1" thickBot="1">
      <c r="A17" s="36"/>
      <c r="B17" s="36"/>
      <c r="C17" s="60"/>
      <c r="D17" s="83" t="s">
        <v>383</v>
      </c>
      <c r="E17" s="380"/>
      <c r="F17" s="389"/>
      <c r="G17" s="391"/>
      <c r="H17" s="397"/>
      <c r="I17" s="316"/>
      <c r="J17" s="317"/>
      <c r="K17" s="316"/>
      <c r="L17" s="389"/>
      <c r="M17" s="410"/>
      <c r="N17" s="397"/>
      <c r="O17" s="318"/>
      <c r="P17" s="318"/>
      <c r="Q17" s="318"/>
      <c r="R17" s="389"/>
      <c r="S17" s="391"/>
      <c r="T17" s="397"/>
      <c r="U17" s="198"/>
      <c r="V17" s="36"/>
      <c r="W17" s="36"/>
      <c r="X17" s="58"/>
      <c r="Y17" s="59"/>
      <c r="Z17" s="36"/>
      <c r="AA17" s="54"/>
      <c r="AB17" s="36"/>
    </row>
    <row r="18" spans="1:32" ht="15" customHeight="1" thickTop="1">
      <c r="A18" s="36"/>
      <c r="B18" s="36"/>
      <c r="C18" s="82" t="s">
        <v>384</v>
      </c>
      <c r="D18" s="36"/>
      <c r="E18" s="380">
        <v>4</v>
      </c>
      <c r="F18" s="398" t="s">
        <v>377</v>
      </c>
      <c r="G18" s="400" t="s">
        <v>387</v>
      </c>
      <c r="H18" s="402" t="s">
        <v>378</v>
      </c>
      <c r="I18" s="316"/>
      <c r="J18" s="317"/>
      <c r="K18" s="316"/>
      <c r="L18" s="398" t="s">
        <v>375</v>
      </c>
      <c r="M18" s="404" t="s">
        <v>386</v>
      </c>
      <c r="N18" s="402" t="s">
        <v>376</v>
      </c>
      <c r="O18" s="318"/>
      <c r="P18" s="318"/>
      <c r="Q18" s="318"/>
      <c r="R18" s="381" t="s">
        <v>373</v>
      </c>
      <c r="S18" s="383" t="s">
        <v>385</v>
      </c>
      <c r="T18" s="385" t="s">
        <v>374</v>
      </c>
      <c r="U18" s="199"/>
      <c r="V18" s="36"/>
      <c r="W18" s="36"/>
      <c r="X18" s="58"/>
      <c r="Y18" s="59"/>
      <c r="Z18" s="36"/>
      <c r="AA18" s="54"/>
      <c r="AB18" s="36"/>
    </row>
    <row r="19" spans="1:32" ht="15" customHeight="1" thickBot="1">
      <c r="A19" s="36"/>
      <c r="B19" s="36"/>
      <c r="C19" s="60"/>
      <c r="D19" s="36"/>
      <c r="E19" s="380"/>
      <c r="F19" s="399"/>
      <c r="G19" s="401"/>
      <c r="H19" s="403"/>
      <c r="I19" s="316"/>
      <c r="J19" s="317"/>
      <c r="K19" s="316"/>
      <c r="L19" s="399"/>
      <c r="M19" s="405"/>
      <c r="N19" s="403"/>
      <c r="O19" s="318"/>
      <c r="P19" s="318"/>
      <c r="Q19" s="318"/>
      <c r="R19" s="408"/>
      <c r="S19" s="407"/>
      <c r="T19" s="406"/>
      <c r="U19" s="199"/>
      <c r="V19" s="36"/>
      <c r="W19" s="36"/>
      <c r="X19" s="58"/>
      <c r="Y19" s="59"/>
      <c r="Z19" s="36"/>
      <c r="AA19" s="54"/>
      <c r="AB19" s="36"/>
    </row>
    <row r="20" spans="1:32" ht="15" customHeight="1" thickTop="1">
      <c r="A20" s="36"/>
      <c r="B20" s="36"/>
      <c r="C20" s="60"/>
      <c r="D20" s="36"/>
      <c r="E20" s="380">
        <v>5</v>
      </c>
      <c r="F20" s="422" t="s">
        <v>377</v>
      </c>
      <c r="G20" s="424" t="s">
        <v>387</v>
      </c>
      <c r="H20" s="396" t="s">
        <v>465</v>
      </c>
      <c r="I20" s="316"/>
      <c r="J20" s="317"/>
      <c r="K20" s="316"/>
      <c r="L20" s="422" t="s">
        <v>375</v>
      </c>
      <c r="M20" s="424" t="s">
        <v>386</v>
      </c>
      <c r="N20" s="396" t="s">
        <v>464</v>
      </c>
      <c r="O20" s="318"/>
      <c r="P20" s="318"/>
      <c r="Q20" s="318"/>
      <c r="R20" s="415" t="s">
        <v>373</v>
      </c>
      <c r="S20" s="413" t="s">
        <v>886</v>
      </c>
      <c r="T20" s="427" t="s">
        <v>471</v>
      </c>
      <c r="U20" s="199"/>
      <c r="V20" s="36"/>
      <c r="W20" s="36"/>
      <c r="X20" s="58"/>
      <c r="Y20" s="59"/>
      <c r="Z20" s="36"/>
      <c r="AA20" s="54"/>
      <c r="AB20" s="36"/>
      <c r="AF20" s="47" t="s">
        <v>887</v>
      </c>
    </row>
    <row r="21" spans="1:32" ht="15" customHeight="1" thickBot="1">
      <c r="A21" s="36"/>
      <c r="B21" s="36"/>
      <c r="C21" s="60"/>
      <c r="D21" s="36"/>
      <c r="E21" s="380"/>
      <c r="F21" s="423"/>
      <c r="G21" s="425"/>
      <c r="H21" s="426"/>
      <c r="I21" s="316"/>
      <c r="J21" s="317"/>
      <c r="K21" s="316"/>
      <c r="L21" s="423"/>
      <c r="M21" s="425"/>
      <c r="N21" s="426"/>
      <c r="O21" s="318"/>
      <c r="P21" s="318"/>
      <c r="Q21" s="318"/>
      <c r="R21" s="416"/>
      <c r="S21" s="414"/>
      <c r="T21" s="428"/>
      <c r="U21" s="199"/>
      <c r="V21" s="36"/>
      <c r="W21" s="36"/>
      <c r="X21" s="58"/>
      <c r="Y21" s="59"/>
      <c r="Z21" s="36"/>
      <c r="AA21" s="54"/>
      <c r="AB21" s="36"/>
    </row>
    <row r="22" spans="1:32" ht="15" customHeight="1" thickTop="1" thickBot="1">
      <c r="A22" s="36"/>
      <c r="B22" s="36"/>
      <c r="C22" s="60"/>
      <c r="D22" s="36"/>
      <c r="E22" s="380">
        <v>6</v>
      </c>
      <c r="F22" s="418" t="s">
        <v>470</v>
      </c>
      <c r="G22" s="417" t="s">
        <v>469</v>
      </c>
      <c r="H22" s="202" t="s">
        <v>465</v>
      </c>
      <c r="I22" s="316"/>
      <c r="J22" s="317"/>
      <c r="K22" s="316"/>
      <c r="L22" s="418" t="s">
        <v>468</v>
      </c>
      <c r="M22" s="417" t="s">
        <v>467</v>
      </c>
      <c r="N22" s="202" t="s">
        <v>464</v>
      </c>
      <c r="O22" s="318"/>
      <c r="P22" s="318"/>
      <c r="Q22" s="318"/>
      <c r="R22" s="418" t="s">
        <v>466</v>
      </c>
      <c r="S22" s="420" t="s">
        <v>888</v>
      </c>
      <c r="T22" s="192" t="s">
        <v>471</v>
      </c>
      <c r="U22" s="200"/>
      <c r="V22" s="36"/>
      <c r="W22" s="36"/>
      <c r="X22" s="58"/>
      <c r="Y22" s="59"/>
      <c r="Z22" s="36"/>
      <c r="AA22" s="54"/>
      <c r="AB22" s="36"/>
    </row>
    <row r="23" spans="1:32" ht="15" customHeight="1" thickTop="1" thickBot="1">
      <c r="A23" s="36"/>
      <c r="B23" s="36"/>
      <c r="C23" s="60"/>
      <c r="D23" s="36"/>
      <c r="E23" s="380"/>
      <c r="F23" s="419"/>
      <c r="G23" s="407"/>
      <c r="H23" s="201" t="s">
        <v>465</v>
      </c>
      <c r="I23" s="316"/>
      <c r="J23" s="317"/>
      <c r="K23" s="316"/>
      <c r="L23" s="419"/>
      <c r="M23" s="407"/>
      <c r="N23" s="201" t="s">
        <v>464</v>
      </c>
      <c r="O23" s="318"/>
      <c r="P23" s="318"/>
      <c r="Q23" s="318"/>
      <c r="R23" s="419"/>
      <c r="S23" s="421"/>
      <c r="T23" s="193" t="s">
        <v>471</v>
      </c>
      <c r="U23" s="200"/>
      <c r="V23" s="36"/>
      <c r="W23" s="36"/>
      <c r="X23" s="58"/>
      <c r="Y23" s="59"/>
      <c r="Z23" s="36"/>
      <c r="AA23" s="54"/>
      <c r="AB23" s="36"/>
    </row>
    <row r="24" spans="1:32" ht="14.85" customHeight="1" thickTop="1">
      <c r="A24" s="36"/>
      <c r="B24" s="36"/>
      <c r="C24" s="60"/>
      <c r="D24" s="36"/>
      <c r="E24" s="84" t="s">
        <v>388</v>
      </c>
      <c r="F24" s="85" t="s">
        <v>390</v>
      </c>
      <c r="G24" s="85" t="s">
        <v>390</v>
      </c>
      <c r="H24" s="85" t="s">
        <v>390</v>
      </c>
      <c r="J24" s="36"/>
      <c r="L24" s="85" t="s">
        <v>390</v>
      </c>
      <c r="M24" s="85" t="s">
        <v>390</v>
      </c>
      <c r="N24" s="85" t="s">
        <v>390</v>
      </c>
      <c r="O24" s="315"/>
      <c r="P24" s="315"/>
      <c r="Q24" s="315"/>
      <c r="R24" s="85" t="s">
        <v>389</v>
      </c>
      <c r="S24" s="85" t="s">
        <v>12</v>
      </c>
      <c r="T24" s="85" t="s">
        <v>14</v>
      </c>
      <c r="U24" s="36"/>
      <c r="V24" s="36"/>
      <c r="W24" s="36"/>
      <c r="X24" s="58"/>
      <c r="Y24" s="36"/>
      <c r="Z24" s="36"/>
      <c r="AA24" s="54"/>
      <c r="AB24" s="36"/>
    </row>
    <row r="25" spans="1:32" s="86" customFormat="1" ht="23.4" customHeight="1" thickBot="1">
      <c r="C25" s="87"/>
      <c r="D25" s="286"/>
      <c r="E25" s="88" t="s">
        <v>391</v>
      </c>
      <c r="F25" s="429">
        <v>10</v>
      </c>
      <c r="G25" s="430"/>
      <c r="H25" s="431"/>
      <c r="I25" s="89"/>
      <c r="J25" s="89"/>
      <c r="K25" s="89"/>
      <c r="L25" s="429">
        <v>10</v>
      </c>
      <c r="M25" s="430"/>
      <c r="N25" s="431"/>
      <c r="O25" s="89"/>
      <c r="P25" s="89"/>
      <c r="Q25" s="89"/>
      <c r="R25" s="429">
        <v>12</v>
      </c>
      <c r="S25" s="430"/>
      <c r="T25" s="431"/>
      <c r="U25" s="89"/>
      <c r="V25" s="90"/>
      <c r="W25" s="91" t="s">
        <v>392</v>
      </c>
      <c r="X25" s="89">
        <f>SUM(F25:T25)</f>
        <v>32</v>
      </c>
      <c r="Y25" s="58"/>
      <c r="Z25" s="58"/>
      <c r="AA25" s="92"/>
      <c r="AB25" s="58"/>
    </row>
    <row r="26" spans="1:32" s="86" customFormat="1" ht="51.9" hidden="1" customHeight="1" thickBot="1">
      <c r="C26" s="93"/>
      <c r="D26" s="59"/>
      <c r="E26" s="59"/>
      <c r="F26" s="58"/>
      <c r="G26" s="58"/>
      <c r="H26" s="58"/>
      <c r="I26" s="94" t="s">
        <v>393</v>
      </c>
      <c r="J26" s="95" t="s">
        <v>394</v>
      </c>
      <c r="K26" s="95" t="s">
        <v>395</v>
      </c>
      <c r="L26" s="58"/>
      <c r="M26" s="58"/>
      <c r="N26" s="58"/>
      <c r="O26" s="94" t="s">
        <v>393</v>
      </c>
      <c r="P26" s="95" t="s">
        <v>394</v>
      </c>
      <c r="Q26" s="95" t="s">
        <v>395</v>
      </c>
      <c r="R26" s="58"/>
      <c r="S26" s="58"/>
      <c r="T26" s="58"/>
      <c r="U26" s="94" t="s">
        <v>393</v>
      </c>
      <c r="V26" s="95" t="s">
        <v>394</v>
      </c>
      <c r="W26" s="95" t="s">
        <v>395</v>
      </c>
      <c r="X26" s="94" t="s">
        <v>396</v>
      </c>
      <c r="Y26" s="58"/>
      <c r="Z26" s="58"/>
      <c r="AA26" s="96"/>
      <c r="AB26" s="58"/>
    </row>
    <row r="27" spans="1:32" ht="15" hidden="1" thickBot="1">
      <c r="C27" s="97" t="s">
        <v>397</v>
      </c>
      <c r="D27" s="98"/>
      <c r="E27" s="99" t="s">
        <v>398</v>
      </c>
      <c r="F27" s="100">
        <v>44</v>
      </c>
      <c r="G27" s="101">
        <v>36</v>
      </c>
      <c r="H27" s="102">
        <v>28</v>
      </c>
      <c r="I27" s="103">
        <f>SUM(F27:H27)</f>
        <v>108</v>
      </c>
      <c r="J27" s="58"/>
      <c r="K27" s="58"/>
      <c r="L27" s="101">
        <v>28</v>
      </c>
      <c r="M27" s="101">
        <v>28</v>
      </c>
      <c r="N27" s="102">
        <v>28</v>
      </c>
      <c r="O27" s="103">
        <f>SUM(L27:N27)</f>
        <v>84</v>
      </c>
      <c r="P27" s="58"/>
      <c r="Q27" s="58"/>
      <c r="R27" s="101">
        <v>28</v>
      </c>
      <c r="S27" s="101">
        <v>28</v>
      </c>
      <c r="T27" s="102">
        <v>28</v>
      </c>
      <c r="U27" s="103">
        <f>SUM(R27:T27)</f>
        <v>84</v>
      </c>
      <c r="V27" s="58"/>
      <c r="W27" s="58"/>
      <c r="X27" s="104">
        <f t="shared" ref="X27:X37" si="0">SUM(I27,O27,U27)</f>
        <v>276</v>
      </c>
      <c r="Y27" s="36"/>
      <c r="Z27" s="36"/>
      <c r="AA27" s="105"/>
      <c r="AB27" s="36"/>
    </row>
    <row r="28" spans="1:32" ht="15" hidden="1" thickBot="1">
      <c r="C28" s="106"/>
      <c r="D28" s="107"/>
      <c r="E28" s="108" t="s">
        <v>399</v>
      </c>
      <c r="F28" s="109">
        <v>11</v>
      </c>
      <c r="G28" s="110">
        <v>9</v>
      </c>
      <c r="H28" s="111">
        <v>7</v>
      </c>
      <c r="I28" s="319">
        <f t="shared" ref="I28:I33" si="1">SUM(F28:H28)</f>
        <v>27</v>
      </c>
      <c r="J28" s="89"/>
      <c r="K28" s="89">
        <f>I28*5</f>
        <v>135</v>
      </c>
      <c r="L28" s="110">
        <v>7</v>
      </c>
      <c r="M28" s="110">
        <v>7</v>
      </c>
      <c r="N28" s="111">
        <v>7</v>
      </c>
      <c r="O28" s="319">
        <f>SUM(L28:N28)</f>
        <v>21</v>
      </c>
      <c r="P28" s="89"/>
      <c r="Q28" s="89">
        <f>O28*5</f>
        <v>105</v>
      </c>
      <c r="R28" s="110">
        <v>7</v>
      </c>
      <c r="S28" s="110">
        <v>7</v>
      </c>
      <c r="T28" s="111">
        <v>7</v>
      </c>
      <c r="U28" s="319">
        <f>SUM(R28:T28)</f>
        <v>21</v>
      </c>
      <c r="V28" s="89"/>
      <c r="W28" s="89">
        <f>U28*5</f>
        <v>105</v>
      </c>
      <c r="X28" s="320">
        <f t="shared" si="0"/>
        <v>69</v>
      </c>
      <c r="Y28" s="36"/>
      <c r="Z28" s="36"/>
      <c r="AA28" s="105"/>
      <c r="AB28" s="36"/>
    </row>
    <row r="29" spans="1:32" ht="15" hidden="1" thickBot="1">
      <c r="C29" s="60"/>
      <c r="D29" s="112"/>
      <c r="E29" s="113" t="s">
        <v>400</v>
      </c>
      <c r="F29" s="114">
        <v>15</v>
      </c>
      <c r="G29" s="115">
        <v>11</v>
      </c>
      <c r="H29" s="116">
        <v>8</v>
      </c>
      <c r="I29" s="321">
        <f t="shared" si="1"/>
        <v>34</v>
      </c>
      <c r="J29" s="58"/>
      <c r="K29" s="58"/>
      <c r="L29" s="115">
        <v>10</v>
      </c>
      <c r="M29" s="115">
        <v>8</v>
      </c>
      <c r="N29" s="116">
        <v>8</v>
      </c>
      <c r="O29" s="321">
        <f>SUM(L29:N29)</f>
        <v>26</v>
      </c>
      <c r="P29" s="58"/>
      <c r="Q29" s="58"/>
      <c r="R29" s="115">
        <v>10</v>
      </c>
      <c r="S29" s="115">
        <v>8</v>
      </c>
      <c r="T29" s="116">
        <v>8</v>
      </c>
      <c r="U29" s="321">
        <f>SUM(R29:T29)</f>
        <v>26</v>
      </c>
      <c r="V29" s="58"/>
      <c r="W29" s="58"/>
      <c r="X29" s="322">
        <f t="shared" si="0"/>
        <v>86</v>
      </c>
      <c r="Y29" s="36"/>
      <c r="Z29" s="36"/>
      <c r="AA29" s="105"/>
      <c r="AB29" s="36"/>
    </row>
    <row r="30" spans="1:32" ht="15" hidden="1" thickBot="1">
      <c r="C30" s="106"/>
      <c r="D30" s="107"/>
      <c r="E30" s="108" t="s">
        <v>401</v>
      </c>
      <c r="F30" s="117">
        <f t="shared" ref="F30:H31" si="2">F28</f>
        <v>11</v>
      </c>
      <c r="G30" s="118">
        <f t="shared" si="2"/>
        <v>9</v>
      </c>
      <c r="H30" s="285">
        <f t="shared" si="2"/>
        <v>7</v>
      </c>
      <c r="I30" s="319">
        <f t="shared" si="1"/>
        <v>27</v>
      </c>
      <c r="J30" s="89">
        <f>I30*4</f>
        <v>108</v>
      </c>
      <c r="K30" s="89"/>
      <c r="L30" s="118">
        <f t="shared" ref="L30:N31" si="3">L28</f>
        <v>7</v>
      </c>
      <c r="M30" s="118">
        <f t="shared" si="3"/>
        <v>7</v>
      </c>
      <c r="N30" s="285">
        <f t="shared" si="3"/>
        <v>7</v>
      </c>
      <c r="O30" s="319">
        <f>SUM(L30:N30)</f>
        <v>21</v>
      </c>
      <c r="P30" s="89">
        <f>O30*4</f>
        <v>84</v>
      </c>
      <c r="Q30" s="89"/>
      <c r="R30" s="118">
        <f t="shared" ref="R30:T31" si="4">R28</f>
        <v>7</v>
      </c>
      <c r="S30" s="118">
        <f t="shared" si="4"/>
        <v>7</v>
      </c>
      <c r="T30" s="285">
        <f t="shared" si="4"/>
        <v>7</v>
      </c>
      <c r="U30" s="319">
        <f>SUM(R30:T30)</f>
        <v>21</v>
      </c>
      <c r="V30" s="89">
        <f>U30*4</f>
        <v>84</v>
      </c>
      <c r="W30" s="89"/>
      <c r="X30" s="320">
        <f t="shared" si="0"/>
        <v>69</v>
      </c>
      <c r="Y30" s="36"/>
      <c r="Z30" s="36"/>
      <c r="AA30" s="105"/>
      <c r="AB30" s="36"/>
    </row>
    <row r="31" spans="1:32" ht="15" hidden="1" thickBot="1">
      <c r="C31" s="60"/>
      <c r="D31" s="112"/>
      <c r="E31" s="113" t="s">
        <v>402</v>
      </c>
      <c r="F31" s="119">
        <f t="shared" si="2"/>
        <v>15</v>
      </c>
      <c r="G31" s="120">
        <f t="shared" si="2"/>
        <v>11</v>
      </c>
      <c r="H31" s="121">
        <f t="shared" si="2"/>
        <v>8</v>
      </c>
      <c r="I31" s="323">
        <f>SUM(F31:H31)/6</f>
        <v>5.666666666666667</v>
      </c>
      <c r="J31" s="122">
        <f>I31*4</f>
        <v>22.666666666666668</v>
      </c>
      <c r="K31" s="58"/>
      <c r="L31" s="120">
        <f t="shared" si="3"/>
        <v>10</v>
      </c>
      <c r="M31" s="120">
        <f t="shared" si="3"/>
        <v>8</v>
      </c>
      <c r="N31" s="121">
        <f t="shared" si="3"/>
        <v>8</v>
      </c>
      <c r="O31" s="323">
        <f>SUM(L31:N31)/6</f>
        <v>4.333333333333333</v>
      </c>
      <c r="P31" s="122">
        <f>O31*4</f>
        <v>17.333333333333332</v>
      </c>
      <c r="Q31" s="58"/>
      <c r="R31" s="120">
        <f t="shared" si="4"/>
        <v>10</v>
      </c>
      <c r="S31" s="120">
        <f t="shared" si="4"/>
        <v>8</v>
      </c>
      <c r="T31" s="121">
        <f t="shared" si="4"/>
        <v>8</v>
      </c>
      <c r="U31" s="323">
        <f>SUM(R31:T31)/6</f>
        <v>4.333333333333333</v>
      </c>
      <c r="V31" s="122">
        <f>U31*4</f>
        <v>17.333333333333332</v>
      </c>
      <c r="W31" s="58"/>
      <c r="X31" s="322">
        <f t="shared" si="0"/>
        <v>14.333333333333332</v>
      </c>
      <c r="Y31" s="36"/>
      <c r="Z31" s="36"/>
      <c r="AA31" s="105"/>
      <c r="AB31" s="36"/>
    </row>
    <row r="32" spans="1:32" ht="15" hidden="1" thickBot="1">
      <c r="C32" s="106"/>
      <c r="D32" s="107"/>
      <c r="E32" s="108" t="s">
        <v>403</v>
      </c>
      <c r="F32" s="117">
        <f t="shared" ref="F32:H33" si="5">F28</f>
        <v>11</v>
      </c>
      <c r="G32" s="118">
        <f t="shared" si="5"/>
        <v>9</v>
      </c>
      <c r="H32" s="285">
        <f t="shared" si="5"/>
        <v>7</v>
      </c>
      <c r="I32" s="319">
        <f t="shared" si="1"/>
        <v>27</v>
      </c>
      <c r="J32" s="89"/>
      <c r="K32" s="89"/>
      <c r="L32" s="118">
        <f t="shared" ref="L32:N33" si="6">L28</f>
        <v>7</v>
      </c>
      <c r="M32" s="118">
        <f t="shared" si="6"/>
        <v>7</v>
      </c>
      <c r="N32" s="285">
        <f t="shared" si="6"/>
        <v>7</v>
      </c>
      <c r="O32" s="319">
        <f t="shared" ref="O32:O37" si="7">SUM(L32:N32)</f>
        <v>21</v>
      </c>
      <c r="P32" s="89"/>
      <c r="Q32" s="89"/>
      <c r="R32" s="118">
        <f t="shared" ref="R32:T33" si="8">R28</f>
        <v>7</v>
      </c>
      <c r="S32" s="118">
        <f t="shared" si="8"/>
        <v>7</v>
      </c>
      <c r="T32" s="285">
        <f t="shared" si="8"/>
        <v>7</v>
      </c>
      <c r="U32" s="319">
        <f t="shared" ref="U32:U37" si="9">SUM(R32:T32)</f>
        <v>21</v>
      </c>
      <c r="V32" s="89"/>
      <c r="W32" s="89"/>
      <c r="X32" s="320">
        <f t="shared" si="0"/>
        <v>69</v>
      </c>
      <c r="Y32" s="36"/>
      <c r="Z32" s="36"/>
      <c r="AA32" s="105"/>
      <c r="AB32" s="36"/>
    </row>
    <row r="33" spans="3:28" ht="15" hidden="1" thickBot="1">
      <c r="C33" s="60"/>
      <c r="D33" s="112"/>
      <c r="E33" s="113" t="s">
        <v>404</v>
      </c>
      <c r="F33" s="119">
        <f t="shared" si="5"/>
        <v>15</v>
      </c>
      <c r="G33" s="119">
        <f t="shared" si="5"/>
        <v>11</v>
      </c>
      <c r="H33" s="123">
        <f t="shared" si="5"/>
        <v>8</v>
      </c>
      <c r="I33" s="321">
        <f t="shared" si="1"/>
        <v>34</v>
      </c>
      <c r="J33" s="58">
        <f>I33*2</f>
        <v>68</v>
      </c>
      <c r="K33" s="58"/>
      <c r="L33" s="120">
        <f t="shared" si="6"/>
        <v>10</v>
      </c>
      <c r="M33" s="120">
        <f t="shared" si="6"/>
        <v>8</v>
      </c>
      <c r="N33" s="121">
        <f t="shared" si="6"/>
        <v>8</v>
      </c>
      <c r="O33" s="321">
        <f t="shared" si="7"/>
        <v>26</v>
      </c>
      <c r="P33" s="58">
        <f>O33*2</f>
        <v>52</v>
      </c>
      <c r="Q33" s="58"/>
      <c r="R33" s="120">
        <f t="shared" si="8"/>
        <v>10</v>
      </c>
      <c r="S33" s="120">
        <f t="shared" si="8"/>
        <v>8</v>
      </c>
      <c r="T33" s="121">
        <f t="shared" si="8"/>
        <v>8</v>
      </c>
      <c r="U33" s="321">
        <f t="shared" si="9"/>
        <v>26</v>
      </c>
      <c r="V33" s="58">
        <f>U33*2</f>
        <v>52</v>
      </c>
      <c r="W33" s="58"/>
      <c r="X33" s="322">
        <f t="shared" si="0"/>
        <v>86</v>
      </c>
      <c r="Y33" s="36"/>
      <c r="Z33" s="36"/>
      <c r="AA33" s="105"/>
      <c r="AB33" s="36"/>
    </row>
    <row r="34" spans="3:28" ht="15" hidden="1" thickBot="1">
      <c r="C34" s="106"/>
      <c r="D34" s="107"/>
      <c r="E34" s="108" t="s">
        <v>405</v>
      </c>
      <c r="F34" s="117">
        <f>F28</f>
        <v>11</v>
      </c>
      <c r="G34" s="117">
        <f>G28</f>
        <v>9</v>
      </c>
      <c r="H34" s="284">
        <f>H28</f>
        <v>7</v>
      </c>
      <c r="I34" s="319">
        <f>SUM(F34:H34)</f>
        <v>27</v>
      </c>
      <c r="J34" s="89"/>
      <c r="K34" s="89"/>
      <c r="L34" s="118">
        <f>L28</f>
        <v>7</v>
      </c>
      <c r="M34" s="118">
        <f>M28</f>
        <v>7</v>
      </c>
      <c r="N34" s="285">
        <f>N28</f>
        <v>7</v>
      </c>
      <c r="O34" s="319">
        <f t="shared" si="7"/>
        <v>21</v>
      </c>
      <c r="P34" s="89"/>
      <c r="Q34" s="89"/>
      <c r="R34" s="118">
        <f>R28</f>
        <v>7</v>
      </c>
      <c r="S34" s="118">
        <f>S28</f>
        <v>7</v>
      </c>
      <c r="T34" s="285">
        <f>T28</f>
        <v>7</v>
      </c>
      <c r="U34" s="319">
        <f t="shared" si="9"/>
        <v>21</v>
      </c>
      <c r="V34" s="89"/>
      <c r="W34" s="89"/>
      <c r="X34" s="320">
        <f t="shared" si="0"/>
        <v>69</v>
      </c>
      <c r="Y34" s="36"/>
      <c r="Z34" s="36"/>
      <c r="AA34" s="105"/>
      <c r="AB34" s="36"/>
    </row>
    <row r="35" spans="3:28" ht="15" hidden="1" thickBot="1">
      <c r="C35" s="60"/>
      <c r="D35" s="112"/>
      <c r="E35" s="113" t="s">
        <v>406</v>
      </c>
      <c r="F35" s="119">
        <f>F28</f>
        <v>11</v>
      </c>
      <c r="G35" s="119">
        <f>G28</f>
        <v>9</v>
      </c>
      <c r="H35" s="123">
        <f>H28</f>
        <v>7</v>
      </c>
      <c r="I35" s="321">
        <f>SUM(F35:H35)</f>
        <v>27</v>
      </c>
      <c r="J35" s="58">
        <f>I35*2</f>
        <v>54</v>
      </c>
      <c r="K35" s="58"/>
      <c r="L35" s="120">
        <f>L31</f>
        <v>10</v>
      </c>
      <c r="M35" s="120">
        <f>M31</f>
        <v>8</v>
      </c>
      <c r="N35" s="121">
        <f>N31</f>
        <v>8</v>
      </c>
      <c r="O35" s="321">
        <f t="shared" si="7"/>
        <v>26</v>
      </c>
      <c r="P35" s="58">
        <f>O35*2</f>
        <v>52</v>
      </c>
      <c r="Q35" s="58"/>
      <c r="R35" s="120">
        <f>R31</f>
        <v>10</v>
      </c>
      <c r="S35" s="120">
        <f>S31</f>
        <v>8</v>
      </c>
      <c r="T35" s="121">
        <f>T31</f>
        <v>8</v>
      </c>
      <c r="U35" s="321">
        <f t="shared" si="9"/>
        <v>26</v>
      </c>
      <c r="V35" s="58">
        <f>U35*2</f>
        <v>52</v>
      </c>
      <c r="W35" s="58"/>
      <c r="X35" s="322">
        <f t="shared" si="0"/>
        <v>79</v>
      </c>
      <c r="Y35" s="36"/>
      <c r="Z35" s="36"/>
      <c r="AA35" s="105"/>
      <c r="AB35" s="36"/>
    </row>
    <row r="36" spans="3:28" ht="15" hidden="1" thickBot="1">
      <c r="C36" s="106"/>
      <c r="D36" s="107"/>
      <c r="E36" s="108" t="s">
        <v>407</v>
      </c>
      <c r="F36" s="411">
        <v>6</v>
      </c>
      <c r="G36" s="411"/>
      <c r="H36" s="411"/>
      <c r="I36" s="319">
        <f>SUM(F36:H36)</f>
        <v>6</v>
      </c>
      <c r="J36" s="89">
        <f>I36*2</f>
        <v>12</v>
      </c>
      <c r="K36" s="89"/>
      <c r="L36" s="412">
        <v>6</v>
      </c>
      <c r="M36" s="411"/>
      <c r="N36" s="411"/>
      <c r="O36" s="319">
        <f t="shared" si="7"/>
        <v>6</v>
      </c>
      <c r="P36" s="89">
        <f>O36*2</f>
        <v>12</v>
      </c>
      <c r="Q36" s="89"/>
      <c r="R36" s="412">
        <v>6</v>
      </c>
      <c r="S36" s="411"/>
      <c r="T36" s="411"/>
      <c r="U36" s="319">
        <f t="shared" si="9"/>
        <v>6</v>
      </c>
      <c r="V36" s="89">
        <f>U36*2</f>
        <v>12</v>
      </c>
      <c r="W36" s="89"/>
      <c r="X36" s="320">
        <f t="shared" si="0"/>
        <v>18</v>
      </c>
      <c r="Y36" s="36"/>
      <c r="Z36" s="36"/>
      <c r="AA36" s="105"/>
      <c r="AB36" s="36"/>
    </row>
    <row r="37" spans="3:28" ht="15" hidden="1" thickBot="1">
      <c r="C37" s="124"/>
      <c r="D37" s="125"/>
      <c r="E37" s="126" t="s">
        <v>408</v>
      </c>
      <c r="F37" s="432">
        <f>I29/6</f>
        <v>5.666666666666667</v>
      </c>
      <c r="G37" s="433"/>
      <c r="H37" s="433"/>
      <c r="I37" s="324">
        <f>F37</f>
        <v>5.666666666666667</v>
      </c>
      <c r="J37" s="58"/>
      <c r="K37" s="58">
        <f>ROUNDUP((F37*($D$55+$D$56)/1.25)*2+F37*4,0)</f>
        <v>103</v>
      </c>
      <c r="L37" s="432">
        <f>O29/6</f>
        <v>4.333333333333333</v>
      </c>
      <c r="M37" s="433"/>
      <c r="N37" s="433"/>
      <c r="O37" s="325">
        <f t="shared" si="7"/>
        <v>4.333333333333333</v>
      </c>
      <c r="P37" s="58"/>
      <c r="Q37" s="58">
        <f>ROUNDUP((L37*($D$55+$D$56)/1.25)*2+L37*4,0)</f>
        <v>79</v>
      </c>
      <c r="R37" s="432">
        <f>U29/6</f>
        <v>4.333333333333333</v>
      </c>
      <c r="S37" s="433"/>
      <c r="T37" s="433"/>
      <c r="U37" s="325">
        <f t="shared" si="9"/>
        <v>4.333333333333333</v>
      </c>
      <c r="V37" s="58"/>
      <c r="W37" s="58">
        <f>ROUNDUP((R37*($D$55+$D$56)/1.25)*2+R37*4,0)</f>
        <v>79</v>
      </c>
      <c r="X37" s="326">
        <f t="shared" si="0"/>
        <v>14.333333333333332</v>
      </c>
      <c r="Y37" s="36"/>
      <c r="Z37" s="36"/>
      <c r="AA37" s="105"/>
      <c r="AB37" s="36"/>
    </row>
    <row r="38" spans="3:28" hidden="1">
      <c r="C38" s="60"/>
      <c r="D38" s="112"/>
      <c r="E38" s="112"/>
      <c r="F38" s="289"/>
      <c r="G38" s="289"/>
      <c r="H38" s="289"/>
      <c r="I38" s="289"/>
      <c r="J38" s="58"/>
      <c r="K38" s="58"/>
      <c r="L38" s="289"/>
      <c r="M38" s="289"/>
      <c r="N38" s="289"/>
      <c r="O38" s="289"/>
      <c r="P38" s="58"/>
      <c r="Q38" s="58"/>
      <c r="R38" s="289"/>
      <c r="S38" s="289"/>
      <c r="T38" s="289"/>
      <c r="U38" s="289"/>
      <c r="V38" s="58"/>
      <c r="W38" s="58"/>
      <c r="X38" s="289"/>
      <c r="Y38" s="36"/>
      <c r="Z38" s="36"/>
      <c r="AA38" s="105"/>
      <c r="AB38" s="36"/>
    </row>
    <row r="39" spans="3:28" ht="15" hidden="1" thickBot="1">
      <c r="C39" s="97" t="s">
        <v>409</v>
      </c>
      <c r="D39" s="98"/>
      <c r="E39" s="99" t="s">
        <v>398</v>
      </c>
      <c r="F39" s="100">
        <v>44</v>
      </c>
      <c r="G39" s="101">
        <v>36</v>
      </c>
      <c r="H39" s="102">
        <v>28</v>
      </c>
      <c r="I39" s="103">
        <f>SUM(F39:H39)</f>
        <v>108</v>
      </c>
      <c r="J39" s="58"/>
      <c r="K39" s="58"/>
      <c r="L39" s="101">
        <v>28</v>
      </c>
      <c r="M39" s="101">
        <v>28</v>
      </c>
      <c r="N39" s="102">
        <v>28</v>
      </c>
      <c r="O39" s="103">
        <f>SUM(L39:N39)</f>
        <v>84</v>
      </c>
      <c r="P39" s="58"/>
      <c r="Q39" s="58"/>
      <c r="R39" s="101">
        <v>28</v>
      </c>
      <c r="S39" s="101">
        <v>28</v>
      </c>
      <c r="T39" s="102">
        <v>28</v>
      </c>
      <c r="U39" s="103">
        <f>SUM(R39:T39)</f>
        <v>84</v>
      </c>
      <c r="V39" s="58"/>
      <c r="W39" s="58"/>
      <c r="X39" s="104">
        <f t="shared" ref="X39:X49" si="10">SUM(I39,O39,U39)</f>
        <v>276</v>
      </c>
      <c r="Y39" s="36"/>
      <c r="Z39" s="36"/>
      <c r="AA39" s="105"/>
      <c r="AB39" s="36"/>
    </row>
    <row r="40" spans="3:28" ht="15" hidden="1" thickBot="1">
      <c r="C40" s="106"/>
      <c r="D40" s="107"/>
      <c r="E40" s="108" t="s">
        <v>399</v>
      </c>
      <c r="F40" s="109">
        <v>11</v>
      </c>
      <c r="G40" s="110">
        <v>9</v>
      </c>
      <c r="H40" s="111">
        <v>7</v>
      </c>
      <c r="I40" s="319">
        <f t="shared" ref="I40:I48" si="11">SUM(F40:H40)</f>
        <v>27</v>
      </c>
      <c r="J40" s="89"/>
      <c r="K40" s="89">
        <f>I40*5</f>
        <v>135</v>
      </c>
      <c r="L40" s="110">
        <v>7</v>
      </c>
      <c r="M40" s="110">
        <v>7</v>
      </c>
      <c r="N40" s="111">
        <v>7</v>
      </c>
      <c r="O40" s="319">
        <f t="shared" ref="O40:O49" si="12">SUM(L40:N40)</f>
        <v>21</v>
      </c>
      <c r="P40" s="89"/>
      <c r="Q40" s="89">
        <f>O40*5</f>
        <v>105</v>
      </c>
      <c r="R40" s="110">
        <v>7</v>
      </c>
      <c r="S40" s="110">
        <v>7</v>
      </c>
      <c r="T40" s="111">
        <v>7</v>
      </c>
      <c r="U40" s="319">
        <f>SUM(R40:T40)</f>
        <v>21</v>
      </c>
      <c r="V40" s="89"/>
      <c r="W40" s="89">
        <f>U40*5</f>
        <v>105</v>
      </c>
      <c r="X40" s="320">
        <f t="shared" si="10"/>
        <v>69</v>
      </c>
      <c r="Y40" s="36"/>
      <c r="Z40" s="36"/>
      <c r="AA40" s="105"/>
      <c r="AB40" s="36"/>
    </row>
    <row r="41" spans="3:28" ht="15" hidden="1" thickBot="1">
      <c r="C41" s="60"/>
      <c r="D41" s="112"/>
      <c r="E41" s="113" t="s">
        <v>400</v>
      </c>
      <c r="F41" s="114">
        <v>15</v>
      </c>
      <c r="G41" s="115">
        <v>11</v>
      </c>
      <c r="H41" s="116">
        <v>8</v>
      </c>
      <c r="I41" s="321">
        <f t="shared" si="11"/>
        <v>34</v>
      </c>
      <c r="J41" s="58"/>
      <c r="K41" s="58"/>
      <c r="L41" s="115">
        <v>10</v>
      </c>
      <c r="M41" s="115">
        <v>8</v>
      </c>
      <c r="N41" s="116">
        <v>8</v>
      </c>
      <c r="O41" s="321">
        <f t="shared" si="12"/>
        <v>26</v>
      </c>
      <c r="P41" s="58"/>
      <c r="Q41" s="58"/>
      <c r="R41" s="115">
        <v>10</v>
      </c>
      <c r="S41" s="115">
        <v>8</v>
      </c>
      <c r="T41" s="116">
        <v>8</v>
      </c>
      <c r="U41" s="321">
        <f>SUM(R41:T41)</f>
        <v>26</v>
      </c>
      <c r="V41" s="58"/>
      <c r="W41" s="58"/>
      <c r="X41" s="322">
        <f t="shared" si="10"/>
        <v>86</v>
      </c>
      <c r="Y41" s="36"/>
      <c r="Z41" s="36"/>
      <c r="AA41" s="105"/>
      <c r="AB41" s="36"/>
    </row>
    <row r="42" spans="3:28" ht="15" hidden="1" thickBot="1">
      <c r="C42" s="106"/>
      <c r="D42" s="107"/>
      <c r="E42" s="108" t="s">
        <v>401</v>
      </c>
      <c r="F42" s="117">
        <f t="shared" ref="F42:H43" si="13">F40</f>
        <v>11</v>
      </c>
      <c r="G42" s="118">
        <f t="shared" si="13"/>
        <v>9</v>
      </c>
      <c r="H42" s="285">
        <f t="shared" si="13"/>
        <v>7</v>
      </c>
      <c r="I42" s="319">
        <f t="shared" si="11"/>
        <v>27</v>
      </c>
      <c r="J42" s="89">
        <f>I42*4</f>
        <v>108</v>
      </c>
      <c r="K42" s="89"/>
      <c r="L42" s="118">
        <f t="shared" ref="L42:N43" si="14">L40</f>
        <v>7</v>
      </c>
      <c r="M42" s="118">
        <f t="shared" si="14"/>
        <v>7</v>
      </c>
      <c r="N42" s="285">
        <f t="shared" si="14"/>
        <v>7</v>
      </c>
      <c r="O42" s="319">
        <f t="shared" si="12"/>
        <v>21</v>
      </c>
      <c r="P42" s="89">
        <f>O42*4</f>
        <v>84</v>
      </c>
      <c r="Q42" s="89"/>
      <c r="R42" s="118">
        <f t="shared" ref="R42:T43" si="15">R40</f>
        <v>7</v>
      </c>
      <c r="S42" s="118">
        <f t="shared" si="15"/>
        <v>7</v>
      </c>
      <c r="T42" s="285">
        <f t="shared" si="15"/>
        <v>7</v>
      </c>
      <c r="U42" s="319">
        <f>SUM(R42:T42)</f>
        <v>21</v>
      </c>
      <c r="V42" s="89">
        <f>U42*4</f>
        <v>84</v>
      </c>
      <c r="W42" s="89"/>
      <c r="X42" s="320">
        <f t="shared" si="10"/>
        <v>69</v>
      </c>
      <c r="Y42" s="36"/>
      <c r="Z42" s="36"/>
      <c r="AA42" s="105"/>
      <c r="AB42" s="36"/>
    </row>
    <row r="43" spans="3:28" ht="15" hidden="1" thickBot="1">
      <c r="C43" s="60"/>
      <c r="D43" s="112"/>
      <c r="E43" s="113" t="s">
        <v>402</v>
      </c>
      <c r="F43" s="119">
        <f t="shared" si="13"/>
        <v>15</v>
      </c>
      <c r="G43" s="120">
        <f t="shared" si="13"/>
        <v>11</v>
      </c>
      <c r="H43" s="121">
        <f t="shared" si="13"/>
        <v>8</v>
      </c>
      <c r="I43" s="323">
        <f>SUM(F43:H43)/6</f>
        <v>5.666666666666667</v>
      </c>
      <c r="J43" s="122">
        <f>I43*4</f>
        <v>22.666666666666668</v>
      </c>
      <c r="K43" s="58"/>
      <c r="L43" s="120">
        <f t="shared" si="14"/>
        <v>10</v>
      </c>
      <c r="M43" s="120">
        <f t="shared" si="14"/>
        <v>8</v>
      </c>
      <c r="N43" s="121">
        <f t="shared" si="14"/>
        <v>8</v>
      </c>
      <c r="O43" s="323">
        <f>SUM(L43:N43)/6</f>
        <v>4.333333333333333</v>
      </c>
      <c r="P43" s="122">
        <f>O43*4</f>
        <v>17.333333333333332</v>
      </c>
      <c r="Q43" s="58"/>
      <c r="R43" s="120">
        <f t="shared" si="15"/>
        <v>10</v>
      </c>
      <c r="S43" s="120">
        <f t="shared" si="15"/>
        <v>8</v>
      </c>
      <c r="T43" s="121">
        <f t="shared" si="15"/>
        <v>8</v>
      </c>
      <c r="U43" s="323">
        <f>SUM(R43:T43)/6</f>
        <v>4.333333333333333</v>
      </c>
      <c r="V43" s="122">
        <f>U43*4</f>
        <v>17.333333333333332</v>
      </c>
      <c r="W43" s="58"/>
      <c r="X43" s="322">
        <f t="shared" si="10"/>
        <v>14.333333333333332</v>
      </c>
      <c r="Y43" s="36"/>
      <c r="Z43" s="36"/>
      <c r="AA43" s="105"/>
      <c r="AB43" s="36"/>
    </row>
    <row r="44" spans="3:28" ht="15" hidden="1" thickBot="1">
      <c r="C44" s="106"/>
      <c r="D44" s="107"/>
      <c r="E44" s="108" t="s">
        <v>403</v>
      </c>
      <c r="F44" s="117">
        <f t="shared" ref="F44:H45" si="16">F40</f>
        <v>11</v>
      </c>
      <c r="G44" s="118">
        <f t="shared" si="16"/>
        <v>9</v>
      </c>
      <c r="H44" s="285">
        <f t="shared" si="16"/>
        <v>7</v>
      </c>
      <c r="I44" s="319">
        <f t="shared" si="11"/>
        <v>27</v>
      </c>
      <c r="J44" s="89"/>
      <c r="K44" s="89"/>
      <c r="L44" s="118">
        <f t="shared" ref="L44:N45" si="17">L40</f>
        <v>7</v>
      </c>
      <c r="M44" s="118">
        <f t="shared" si="17"/>
        <v>7</v>
      </c>
      <c r="N44" s="285">
        <f t="shared" si="17"/>
        <v>7</v>
      </c>
      <c r="O44" s="319">
        <f t="shared" si="12"/>
        <v>21</v>
      </c>
      <c r="P44" s="89"/>
      <c r="Q44" s="89"/>
      <c r="R44" s="118">
        <f t="shared" ref="R44:T45" si="18">R40</f>
        <v>7</v>
      </c>
      <c r="S44" s="118">
        <f t="shared" si="18"/>
        <v>7</v>
      </c>
      <c r="T44" s="285">
        <f t="shared" si="18"/>
        <v>7</v>
      </c>
      <c r="U44" s="319">
        <f t="shared" ref="U44:U49" si="19">SUM(R44:T44)</f>
        <v>21</v>
      </c>
      <c r="V44" s="89"/>
      <c r="W44" s="89"/>
      <c r="X44" s="320">
        <f t="shared" si="10"/>
        <v>69</v>
      </c>
      <c r="Y44" s="36"/>
      <c r="Z44" s="36"/>
      <c r="AA44" s="105"/>
      <c r="AB44" s="36"/>
    </row>
    <row r="45" spans="3:28" ht="15" hidden="1" thickBot="1">
      <c r="C45" s="60"/>
      <c r="D45" s="112"/>
      <c r="E45" s="113" t="s">
        <v>404</v>
      </c>
      <c r="F45" s="119">
        <f t="shared" si="16"/>
        <v>15</v>
      </c>
      <c r="G45" s="119">
        <f t="shared" si="16"/>
        <v>11</v>
      </c>
      <c r="H45" s="123">
        <f t="shared" si="16"/>
        <v>8</v>
      </c>
      <c r="I45" s="321">
        <f t="shared" si="11"/>
        <v>34</v>
      </c>
      <c r="J45" s="58">
        <f>I45*2</f>
        <v>68</v>
      </c>
      <c r="K45" s="58"/>
      <c r="L45" s="120">
        <f t="shared" si="17"/>
        <v>10</v>
      </c>
      <c r="M45" s="120">
        <f t="shared" si="17"/>
        <v>8</v>
      </c>
      <c r="N45" s="121">
        <f t="shared" si="17"/>
        <v>8</v>
      </c>
      <c r="O45" s="321">
        <f t="shared" si="12"/>
        <v>26</v>
      </c>
      <c r="P45" s="58">
        <f>O45*2</f>
        <v>52</v>
      </c>
      <c r="Q45" s="58"/>
      <c r="R45" s="120">
        <f t="shared" si="18"/>
        <v>10</v>
      </c>
      <c r="S45" s="120">
        <f t="shared" si="18"/>
        <v>8</v>
      </c>
      <c r="T45" s="121">
        <f t="shared" si="18"/>
        <v>8</v>
      </c>
      <c r="U45" s="321">
        <f t="shared" si="19"/>
        <v>26</v>
      </c>
      <c r="V45" s="58">
        <f>U45*2</f>
        <v>52</v>
      </c>
      <c r="W45" s="58"/>
      <c r="X45" s="322">
        <f t="shared" si="10"/>
        <v>86</v>
      </c>
      <c r="Y45" s="36"/>
      <c r="Z45" s="36"/>
      <c r="AA45" s="105"/>
      <c r="AB45" s="36"/>
    </row>
    <row r="46" spans="3:28" ht="15" hidden="1" thickBot="1">
      <c r="C46" s="106"/>
      <c r="D46" s="107"/>
      <c r="E46" s="108" t="s">
        <v>405</v>
      </c>
      <c r="F46" s="117">
        <f>F40</f>
        <v>11</v>
      </c>
      <c r="G46" s="117">
        <f>G40</f>
        <v>9</v>
      </c>
      <c r="H46" s="284">
        <f>H40</f>
        <v>7</v>
      </c>
      <c r="I46" s="319">
        <f t="shared" si="11"/>
        <v>27</v>
      </c>
      <c r="J46" s="89"/>
      <c r="K46" s="89"/>
      <c r="L46" s="118">
        <f>L40</f>
        <v>7</v>
      </c>
      <c r="M46" s="118">
        <f>M40</f>
        <v>7</v>
      </c>
      <c r="N46" s="285">
        <f>N40</f>
        <v>7</v>
      </c>
      <c r="O46" s="319">
        <f t="shared" si="12"/>
        <v>21</v>
      </c>
      <c r="P46" s="89"/>
      <c r="Q46" s="89"/>
      <c r="R46" s="118">
        <f>R40</f>
        <v>7</v>
      </c>
      <c r="S46" s="118">
        <f>S40</f>
        <v>7</v>
      </c>
      <c r="T46" s="285">
        <f>T40</f>
        <v>7</v>
      </c>
      <c r="U46" s="319">
        <f t="shared" si="19"/>
        <v>21</v>
      </c>
      <c r="V46" s="89"/>
      <c r="W46" s="89"/>
      <c r="X46" s="320">
        <f t="shared" si="10"/>
        <v>69</v>
      </c>
      <c r="Y46" s="36"/>
      <c r="Z46" s="36"/>
      <c r="AA46" s="105"/>
      <c r="AB46" s="36"/>
    </row>
    <row r="47" spans="3:28" ht="15" hidden="1" thickBot="1">
      <c r="C47" s="60"/>
      <c r="D47" s="112"/>
      <c r="E47" s="113" t="s">
        <v>406</v>
      </c>
      <c r="F47" s="119">
        <f>F40</f>
        <v>11</v>
      </c>
      <c r="G47" s="119">
        <f>G40</f>
        <v>9</v>
      </c>
      <c r="H47" s="123">
        <f>H40</f>
        <v>7</v>
      </c>
      <c r="I47" s="321">
        <f t="shared" si="11"/>
        <v>27</v>
      </c>
      <c r="J47" s="58">
        <f>I47*2</f>
        <v>54</v>
      </c>
      <c r="K47" s="58"/>
      <c r="L47" s="120">
        <f>L43</f>
        <v>10</v>
      </c>
      <c r="M47" s="120">
        <f>M43</f>
        <v>8</v>
      </c>
      <c r="N47" s="121">
        <f>N43</f>
        <v>8</v>
      </c>
      <c r="O47" s="321">
        <f t="shared" si="12"/>
        <v>26</v>
      </c>
      <c r="P47" s="58">
        <f>O47*2</f>
        <v>52</v>
      </c>
      <c r="Q47" s="58"/>
      <c r="R47" s="120">
        <f>R43</f>
        <v>10</v>
      </c>
      <c r="S47" s="120">
        <f>S43</f>
        <v>8</v>
      </c>
      <c r="T47" s="121">
        <f>T43</f>
        <v>8</v>
      </c>
      <c r="U47" s="321">
        <f t="shared" si="19"/>
        <v>26</v>
      </c>
      <c r="V47" s="58">
        <f>U47*2</f>
        <v>52</v>
      </c>
      <c r="W47" s="58"/>
      <c r="X47" s="322">
        <f t="shared" si="10"/>
        <v>79</v>
      </c>
      <c r="Y47" s="36"/>
      <c r="Z47" s="36"/>
      <c r="AA47" s="105"/>
      <c r="AB47" s="36"/>
    </row>
    <row r="48" spans="3:28" ht="15" hidden="1" thickBot="1">
      <c r="C48" s="127"/>
      <c r="D48" s="128"/>
      <c r="E48" s="129" t="s">
        <v>407</v>
      </c>
      <c r="F48" s="411">
        <v>6</v>
      </c>
      <c r="G48" s="411"/>
      <c r="H48" s="411"/>
      <c r="I48" s="319">
        <f t="shared" si="11"/>
        <v>6</v>
      </c>
      <c r="J48" s="89">
        <f>I48*2</f>
        <v>12</v>
      </c>
      <c r="K48" s="89"/>
      <c r="L48" s="412">
        <v>6</v>
      </c>
      <c r="M48" s="411"/>
      <c r="N48" s="411"/>
      <c r="O48" s="319">
        <f t="shared" si="12"/>
        <v>6</v>
      </c>
      <c r="P48" s="89">
        <f>O48*2</f>
        <v>12</v>
      </c>
      <c r="Q48" s="89"/>
      <c r="R48" s="412">
        <v>6</v>
      </c>
      <c r="S48" s="411"/>
      <c r="T48" s="411"/>
      <c r="U48" s="319">
        <f t="shared" si="19"/>
        <v>6</v>
      </c>
      <c r="V48" s="89">
        <f>U48*2</f>
        <v>12</v>
      </c>
      <c r="W48" s="89"/>
      <c r="X48" s="320">
        <f t="shared" si="10"/>
        <v>18</v>
      </c>
      <c r="Y48" s="36"/>
      <c r="Z48" s="36"/>
      <c r="AA48" s="105"/>
      <c r="AB48" s="36"/>
    </row>
    <row r="49" spans="3:31" ht="15" hidden="1" thickBot="1">
      <c r="C49" s="124"/>
      <c r="D49" s="125"/>
      <c r="E49" s="126" t="s">
        <v>408</v>
      </c>
      <c r="F49" s="432">
        <f>I41/6</f>
        <v>5.666666666666667</v>
      </c>
      <c r="G49" s="433"/>
      <c r="H49" s="433"/>
      <c r="I49" s="324">
        <f>F49</f>
        <v>5.666666666666667</v>
      </c>
      <c r="J49" s="58"/>
      <c r="K49" s="58">
        <f>ROUNDUP((F49*($D$55+$D$56)/1.25)*2+F49*4,0)</f>
        <v>103</v>
      </c>
      <c r="L49" s="432">
        <f>O41/6</f>
        <v>4.333333333333333</v>
      </c>
      <c r="M49" s="433"/>
      <c r="N49" s="433"/>
      <c r="O49" s="325">
        <f t="shared" si="12"/>
        <v>4.333333333333333</v>
      </c>
      <c r="P49" s="58"/>
      <c r="Q49" s="58">
        <f>ROUNDUP((L49*($D$55+$D$56)/1.25)*2+L49*4,0)</f>
        <v>79</v>
      </c>
      <c r="R49" s="432">
        <f>U41/6</f>
        <v>4.333333333333333</v>
      </c>
      <c r="S49" s="433"/>
      <c r="T49" s="433"/>
      <c r="U49" s="325">
        <f t="shared" si="19"/>
        <v>4.333333333333333</v>
      </c>
      <c r="V49" s="58"/>
      <c r="W49" s="58">
        <f>ROUNDUP((R49*($D$55+$D$56)/1.25)*2+R49*4,0)</f>
        <v>79</v>
      </c>
      <c r="X49" s="326">
        <f t="shared" si="10"/>
        <v>14.333333333333332</v>
      </c>
      <c r="Y49" s="36"/>
      <c r="Z49" s="36"/>
      <c r="AA49" s="105"/>
      <c r="AB49" s="36"/>
    </row>
    <row r="50" spans="3:31" hidden="1">
      <c r="C50" s="130"/>
      <c r="D50" s="112"/>
      <c r="E50" s="112"/>
      <c r="F50" s="131"/>
      <c r="G50" s="131"/>
      <c r="H50" s="131"/>
      <c r="I50" s="132" t="s">
        <v>410</v>
      </c>
      <c r="J50" s="132">
        <f>SUM(J27:J48)</f>
        <v>529.33333333333326</v>
      </c>
      <c r="K50" s="132">
        <f>SUM(K27:K49)</f>
        <v>476</v>
      </c>
      <c r="L50" s="131"/>
      <c r="M50" s="131"/>
      <c r="N50" s="131"/>
      <c r="O50" s="132" t="s">
        <v>410</v>
      </c>
      <c r="P50" s="132">
        <f>SUM(P27:P48)</f>
        <v>434.66666666666663</v>
      </c>
      <c r="Q50" s="132">
        <f>SUM(Q27:Q48)</f>
        <v>289</v>
      </c>
      <c r="R50" s="131"/>
      <c r="S50" s="131"/>
      <c r="T50" s="131"/>
      <c r="U50" s="132" t="s">
        <v>410</v>
      </c>
      <c r="V50" s="132">
        <f>SUM(V27:V48)</f>
        <v>434.66666666666663</v>
      </c>
      <c r="W50" s="132">
        <f>SUM(W27:W48)</f>
        <v>289</v>
      </c>
      <c r="X50" s="59"/>
      <c r="Y50" s="36"/>
      <c r="Z50" s="36"/>
      <c r="AA50" s="105"/>
      <c r="AB50" s="36"/>
    </row>
    <row r="51" spans="3:31" ht="35.4" hidden="1" customHeight="1">
      <c r="C51" s="434" t="s">
        <v>411</v>
      </c>
      <c r="D51" s="435"/>
      <c r="E51" s="435"/>
      <c r="F51" s="436">
        <f>(F37+F49)*($D$56*1.5+ $D$55*2.5)</f>
        <v>163.642</v>
      </c>
      <c r="G51" s="436"/>
      <c r="H51" s="436"/>
      <c r="I51" s="133" t="s">
        <v>412</v>
      </c>
      <c r="J51" s="58"/>
      <c r="K51" s="134"/>
      <c r="L51" s="436">
        <f>(L37+L49)*($D$56*1.5+ $D$55*2.5)</f>
        <v>125.13799999999999</v>
      </c>
      <c r="M51" s="436"/>
      <c r="N51" s="436"/>
      <c r="O51" s="133" t="s">
        <v>412</v>
      </c>
      <c r="P51" s="58"/>
      <c r="Q51" s="134"/>
      <c r="R51" s="436">
        <f>(R37+R49)*($D$56*1.5+ $D$55*2.5)</f>
        <v>125.13799999999999</v>
      </c>
      <c r="S51" s="436"/>
      <c r="T51" s="436"/>
      <c r="U51" s="133" t="s">
        <v>412</v>
      </c>
      <c r="V51" s="58"/>
      <c r="W51" s="134"/>
      <c r="X51" s="290">
        <f>SUM(F51,L51,R51)</f>
        <v>413.91799999999995</v>
      </c>
      <c r="Y51" s="133" t="s">
        <v>412</v>
      </c>
      <c r="Z51" s="36"/>
      <c r="AA51" s="105"/>
      <c r="AB51" s="36"/>
    </row>
    <row r="52" spans="3:31" ht="36" hidden="1" customHeight="1">
      <c r="C52" s="434" t="s">
        <v>413</v>
      </c>
      <c r="D52" s="435"/>
      <c r="E52" s="435"/>
      <c r="F52" s="436">
        <f>(9)*($D$58*1.5+$D$59*1.5+$D$60*2.5)</f>
        <v>42.912000000000006</v>
      </c>
      <c r="G52" s="436"/>
      <c r="H52" s="436"/>
      <c r="I52" s="133" t="s">
        <v>412</v>
      </c>
      <c r="J52" s="289"/>
      <c r="K52" s="36"/>
      <c r="L52" s="436">
        <f>(6)*($D$58*1.5+$D$59*1.5+$D$60*2.5)</f>
        <v>28.608000000000004</v>
      </c>
      <c r="M52" s="436"/>
      <c r="N52" s="436"/>
      <c r="O52" s="133" t="s">
        <v>412</v>
      </c>
      <c r="P52" s="289"/>
      <c r="Q52" s="36"/>
      <c r="R52" s="436">
        <f>(6)*($D$58*1.5+$D$59*1.5+$D$60*2.5)</f>
        <v>28.608000000000004</v>
      </c>
      <c r="S52" s="436"/>
      <c r="T52" s="436"/>
      <c r="U52" s="133" t="s">
        <v>412</v>
      </c>
      <c r="V52" s="289"/>
      <c r="W52" s="36"/>
      <c r="X52" s="290">
        <f>SUM(F52,L52,R52)</f>
        <v>100.12800000000001</v>
      </c>
      <c r="Y52" s="133" t="s">
        <v>412</v>
      </c>
      <c r="Z52" s="36"/>
      <c r="AA52" s="105"/>
      <c r="AB52" s="36"/>
    </row>
    <row r="53" spans="3:31" ht="22.35" hidden="1" customHeight="1">
      <c r="C53" s="60"/>
      <c r="D53" s="112"/>
      <c r="E53" s="61"/>
      <c r="F53" s="56"/>
      <c r="G53" s="56"/>
      <c r="H53" s="56"/>
      <c r="I53" s="135"/>
      <c r="J53" s="289"/>
      <c r="K53" s="36"/>
      <c r="L53" s="56"/>
      <c r="M53" s="56"/>
      <c r="N53" s="56"/>
      <c r="O53" s="135"/>
      <c r="P53" s="289"/>
      <c r="Q53" s="36"/>
      <c r="R53" s="56"/>
      <c r="S53" s="56"/>
      <c r="T53" s="56"/>
      <c r="U53" s="133"/>
      <c r="V53" s="58"/>
      <c r="W53" s="136" t="s">
        <v>414</v>
      </c>
      <c r="X53" s="290">
        <f>SUM(X51:X52)</f>
        <v>514.04599999999994</v>
      </c>
      <c r="Y53" s="133" t="s">
        <v>412</v>
      </c>
      <c r="Z53" s="36"/>
      <c r="AA53" s="105"/>
      <c r="AB53" s="36"/>
    </row>
    <row r="54" spans="3:31" hidden="1">
      <c r="C54" s="60"/>
      <c r="D54" s="112"/>
      <c r="E54" s="112"/>
      <c r="F54" s="439"/>
      <c r="G54" s="440"/>
      <c r="H54" s="440"/>
      <c r="I54" s="289"/>
      <c r="J54" s="289"/>
      <c r="K54" s="67" t="s">
        <v>415</v>
      </c>
      <c r="L54" s="288"/>
      <c r="M54" s="289"/>
      <c r="N54" s="289"/>
      <c r="O54" s="289"/>
      <c r="P54" s="289"/>
      <c r="Q54" s="36"/>
      <c r="R54" s="439"/>
      <c r="S54" s="440"/>
      <c r="T54" s="440"/>
      <c r="U54" s="289"/>
      <c r="V54" s="289"/>
      <c r="W54" s="289"/>
      <c r="X54" s="135"/>
      <c r="Y54" s="289"/>
      <c r="Z54" s="36"/>
      <c r="AA54" s="105"/>
      <c r="AB54" s="36"/>
    </row>
    <row r="55" spans="3:31" hidden="1">
      <c r="C55" s="137" t="s">
        <v>416</v>
      </c>
      <c r="D55" s="112">
        <v>1.2</v>
      </c>
      <c r="E55" s="138" t="s">
        <v>417</v>
      </c>
      <c r="F55" s="437" t="s">
        <v>418</v>
      </c>
      <c r="G55" s="438"/>
      <c r="H55" s="438"/>
      <c r="I55" s="139" t="s">
        <v>419</v>
      </c>
      <c r="J55" s="289"/>
      <c r="K55" s="36"/>
      <c r="L55" s="439"/>
      <c r="M55" s="440"/>
      <c r="N55" s="440"/>
      <c r="O55" s="289"/>
      <c r="P55" s="289"/>
      <c r="Q55" s="36"/>
      <c r="R55" s="439"/>
      <c r="S55" s="440"/>
      <c r="T55" s="440"/>
      <c r="U55" s="289"/>
      <c r="V55" s="289"/>
      <c r="W55" s="289"/>
      <c r="X55" s="289"/>
      <c r="Y55" s="289"/>
      <c r="Z55" s="36"/>
      <c r="AA55" s="105"/>
      <c r="AB55" s="36"/>
    </row>
    <row r="56" spans="3:31" hidden="1">
      <c r="C56" s="137" t="s">
        <v>420</v>
      </c>
      <c r="D56" s="112">
        <v>7.6260000000000003</v>
      </c>
      <c r="E56" s="138" t="s">
        <v>417</v>
      </c>
      <c r="F56" s="439"/>
      <c r="G56" s="440"/>
      <c r="H56" s="440"/>
      <c r="I56" s="139" t="s">
        <v>421</v>
      </c>
      <c r="J56" s="289"/>
      <c r="K56" s="36"/>
      <c r="L56" s="439"/>
      <c r="M56" s="440"/>
      <c r="N56" s="440"/>
      <c r="O56" s="289"/>
      <c r="P56" s="289"/>
      <c r="Q56" s="36"/>
      <c r="R56" s="439"/>
      <c r="S56" s="440"/>
      <c r="T56" s="440"/>
      <c r="U56" s="289"/>
      <c r="V56" s="289"/>
      <c r="W56" s="289"/>
      <c r="X56" s="289"/>
      <c r="Y56" s="289"/>
      <c r="Z56" s="36"/>
      <c r="AA56" s="105"/>
      <c r="AB56" s="36"/>
    </row>
    <row r="57" spans="3:31" hidden="1">
      <c r="C57" s="60"/>
      <c r="D57" s="36"/>
      <c r="E57" s="36"/>
      <c r="F57" s="36"/>
      <c r="G57" s="36"/>
      <c r="H57" s="36"/>
      <c r="I57" s="140" t="s">
        <v>422</v>
      </c>
      <c r="J57" s="36"/>
      <c r="K57" s="36"/>
      <c r="L57" s="289"/>
      <c r="M57" s="289"/>
      <c r="N57" s="289"/>
      <c r="O57" s="36" t="s">
        <v>423</v>
      </c>
      <c r="P57" s="36"/>
      <c r="Q57" s="36"/>
      <c r="R57" s="289"/>
      <c r="S57" s="289"/>
      <c r="T57" s="289"/>
      <c r="U57" s="36" t="s">
        <v>423</v>
      </c>
      <c r="V57" s="36"/>
      <c r="W57" s="36"/>
      <c r="X57" s="141"/>
      <c r="Y57" s="141"/>
      <c r="Z57" s="36"/>
      <c r="AA57" s="105"/>
      <c r="AB57" s="36"/>
    </row>
    <row r="58" spans="3:31" hidden="1">
      <c r="C58" s="137" t="s">
        <v>424</v>
      </c>
      <c r="D58" s="36">
        <f>1.271</f>
        <v>1.2709999999999999</v>
      </c>
      <c r="E58" s="138" t="s">
        <v>425</v>
      </c>
      <c r="F58" s="36"/>
      <c r="G58" s="36"/>
      <c r="H58" s="36"/>
      <c r="I58" s="140"/>
      <c r="J58" s="36"/>
      <c r="K58" s="36"/>
      <c r="L58" s="289"/>
      <c r="M58" s="289"/>
      <c r="N58" s="289"/>
      <c r="O58" s="36"/>
      <c r="P58" s="36"/>
      <c r="Q58" s="36"/>
      <c r="R58" s="289"/>
      <c r="S58" s="289"/>
      <c r="T58" s="289"/>
      <c r="U58" s="36"/>
      <c r="V58" s="36"/>
      <c r="W58" s="36"/>
      <c r="X58" s="141"/>
      <c r="Y58" s="141"/>
      <c r="Z58" s="36"/>
      <c r="AA58" s="105"/>
      <c r="AB58" s="36"/>
    </row>
    <row r="59" spans="3:31" hidden="1">
      <c r="C59" s="137" t="s">
        <v>424</v>
      </c>
      <c r="D59" s="36">
        <f>1.491</f>
        <v>1.4910000000000001</v>
      </c>
      <c r="E59" s="138" t="s">
        <v>426</v>
      </c>
      <c r="F59" s="36"/>
      <c r="G59" s="36"/>
      <c r="H59" s="36"/>
      <c r="I59" s="140"/>
      <c r="J59" s="36"/>
      <c r="K59" s="36"/>
      <c r="L59" s="289"/>
      <c r="M59" s="289"/>
      <c r="N59" s="289"/>
      <c r="O59" s="36"/>
      <c r="P59" s="36"/>
      <c r="Q59" s="36"/>
      <c r="R59" s="289"/>
      <c r="S59" s="289"/>
      <c r="T59" s="289"/>
      <c r="U59" s="36"/>
      <c r="V59" s="36"/>
      <c r="W59" s="36"/>
      <c r="X59" s="141"/>
      <c r="Y59" s="141"/>
      <c r="Z59" s="36"/>
      <c r="AA59" s="105"/>
      <c r="AB59" s="36"/>
    </row>
    <row r="60" spans="3:31" hidden="1">
      <c r="C60" s="137" t="s">
        <v>427</v>
      </c>
      <c r="D60" s="36">
        <f>0.25</f>
        <v>0.25</v>
      </c>
      <c r="E60" s="138" t="s">
        <v>428</v>
      </c>
      <c r="F60" s="36"/>
      <c r="G60" s="36"/>
      <c r="H60" s="36"/>
      <c r="I60" s="140"/>
      <c r="J60" s="36"/>
      <c r="K60" s="36"/>
      <c r="L60" s="289"/>
      <c r="M60" s="289"/>
      <c r="N60" s="289"/>
      <c r="O60" s="36"/>
      <c r="P60" s="36"/>
      <c r="Q60" s="36"/>
      <c r="R60" s="289"/>
      <c r="S60" s="289"/>
      <c r="T60" s="289"/>
      <c r="U60" s="36"/>
      <c r="V60" s="36"/>
      <c r="W60" s="36"/>
      <c r="X60" s="141"/>
      <c r="Y60" s="141"/>
      <c r="Z60" s="36"/>
      <c r="AA60" s="105"/>
      <c r="AB60" s="36"/>
    </row>
    <row r="61" spans="3:31" hidden="1">
      <c r="C61" s="60"/>
      <c r="D61" s="36"/>
      <c r="E61" s="36"/>
      <c r="F61" s="36"/>
      <c r="G61" s="36"/>
      <c r="H61" s="36"/>
      <c r="I61" s="36"/>
      <c r="J61" s="36"/>
      <c r="K61" s="36"/>
      <c r="L61" s="289"/>
      <c r="M61" s="289"/>
      <c r="N61" s="289"/>
      <c r="O61" s="36"/>
      <c r="P61" s="36"/>
      <c r="Q61" s="36"/>
      <c r="R61" s="289"/>
      <c r="S61" s="289"/>
      <c r="T61" s="289"/>
      <c r="U61" s="36"/>
      <c r="V61" s="36"/>
      <c r="W61" s="36"/>
      <c r="X61" s="141"/>
      <c r="Y61" s="141"/>
      <c r="Z61" s="36"/>
      <c r="AA61" s="105"/>
      <c r="AE61" s="142" t="s">
        <v>429</v>
      </c>
    </row>
    <row r="62" spans="3:31" hidden="1">
      <c r="C62" s="60"/>
      <c r="D62" s="143" t="s">
        <v>430</v>
      </c>
      <c r="E62" s="140" t="s">
        <v>431</v>
      </c>
      <c r="F62" s="36"/>
      <c r="G62" s="36"/>
      <c r="H62" s="287" t="s">
        <v>432</v>
      </c>
      <c r="I62" s="36">
        <f>(I44+I32)/8</f>
        <v>6.75</v>
      </c>
      <c r="J62" s="288" t="s">
        <v>431</v>
      </c>
      <c r="K62" s="36">
        <f>ROUNDUP(MAX(I62,I64),0)</f>
        <v>9</v>
      </c>
      <c r="L62" s="139" t="s">
        <v>433</v>
      </c>
      <c r="M62" s="289"/>
      <c r="N62" s="289"/>
      <c r="O62" s="36">
        <f>(O44+O32)/8</f>
        <v>5.25</v>
      </c>
      <c r="P62" s="288" t="s">
        <v>431</v>
      </c>
      <c r="Q62" s="36">
        <f>ROUNDUP(MAX(O62,O64),0)</f>
        <v>7</v>
      </c>
      <c r="R62" s="139" t="s">
        <v>433</v>
      </c>
      <c r="S62" s="289"/>
      <c r="T62" s="289"/>
      <c r="U62" s="36">
        <f>(U44+U32)/8</f>
        <v>5.25</v>
      </c>
      <c r="V62" s="288" t="s">
        <v>431</v>
      </c>
      <c r="W62" s="36">
        <f>ROUNDUP(MAX(U62,U64),0)</f>
        <v>7</v>
      </c>
      <c r="X62" s="139" t="s">
        <v>433</v>
      </c>
      <c r="Y62" s="141"/>
      <c r="Z62" s="36"/>
      <c r="AA62" s="105"/>
      <c r="AB62" s="36">
        <f>SUM(K62,Q62,W62)</f>
        <v>23</v>
      </c>
      <c r="AC62" s="47" t="s">
        <v>434</v>
      </c>
    </row>
    <row r="63" spans="3:31" hidden="1">
      <c r="C63" s="60"/>
      <c r="D63" s="143" t="s">
        <v>435</v>
      </c>
      <c r="E63" s="140" t="s">
        <v>431</v>
      </c>
      <c r="F63" s="36"/>
      <c r="G63" s="36"/>
      <c r="H63" s="287" t="s">
        <v>436</v>
      </c>
      <c r="I63" s="144">
        <f>(I30+I31+I42+I43)/16</f>
        <v>4.083333333333333</v>
      </c>
      <c r="J63" s="288" t="s">
        <v>431</v>
      </c>
      <c r="K63" s="36">
        <f>ROUNDUP(I63,0)</f>
        <v>5</v>
      </c>
      <c r="L63" s="139" t="s">
        <v>437</v>
      </c>
      <c r="M63" s="289"/>
      <c r="N63" s="289"/>
      <c r="O63" s="36">
        <f>(O30+O31+O42+O43)/16</f>
        <v>3.1666666666666665</v>
      </c>
      <c r="P63" s="288" t="s">
        <v>431</v>
      </c>
      <c r="Q63" s="36">
        <f>ROUNDUP(O63,0)</f>
        <v>4</v>
      </c>
      <c r="R63" s="139" t="s">
        <v>437</v>
      </c>
      <c r="S63" s="289"/>
      <c r="T63" s="289"/>
      <c r="U63" s="36">
        <f>(U30+U31+U42+U43)/16</f>
        <v>3.1666666666666665</v>
      </c>
      <c r="V63" s="288" t="s">
        <v>431</v>
      </c>
      <c r="W63" s="36">
        <f>ROUNDUP(U63,0)</f>
        <v>4</v>
      </c>
      <c r="X63" s="139" t="s">
        <v>437</v>
      </c>
      <c r="Y63" s="141"/>
      <c r="Z63" s="36"/>
      <c r="AA63" s="105"/>
      <c r="AB63" s="36">
        <f>SUM(K63,Q63,W63)</f>
        <v>13</v>
      </c>
      <c r="AC63" s="47" t="s">
        <v>438</v>
      </c>
    </row>
    <row r="64" spans="3:31" hidden="1">
      <c r="C64" s="60"/>
      <c r="D64" s="143" t="s">
        <v>439</v>
      </c>
      <c r="E64" s="140" t="s">
        <v>431</v>
      </c>
      <c r="F64" s="36"/>
      <c r="G64" s="36"/>
      <c r="H64" s="287" t="s">
        <v>440</v>
      </c>
      <c r="I64" s="36">
        <f>(I33+I45)/8</f>
        <v>8.5</v>
      </c>
      <c r="J64" s="288" t="s">
        <v>431</v>
      </c>
      <c r="K64" s="36"/>
      <c r="L64" s="289"/>
      <c r="M64" s="289"/>
      <c r="N64" s="289"/>
      <c r="O64" s="36">
        <f>(O33+O45)/8</f>
        <v>6.5</v>
      </c>
      <c r="P64" s="288" t="s">
        <v>431</v>
      </c>
      <c r="Q64" s="36"/>
      <c r="R64" s="289"/>
      <c r="S64" s="289"/>
      <c r="T64" s="289"/>
      <c r="U64" s="36">
        <f>(U33+U45)/8</f>
        <v>6.5</v>
      </c>
      <c r="V64" s="288" t="s">
        <v>431</v>
      </c>
      <c r="W64" s="36"/>
      <c r="X64" s="289"/>
      <c r="Y64" s="141"/>
      <c r="Z64" s="36"/>
      <c r="AA64" s="105"/>
      <c r="AB64" s="36"/>
    </row>
    <row r="65" spans="1:28" hidden="1">
      <c r="C65" s="60"/>
      <c r="E65" s="287" t="s">
        <v>441</v>
      </c>
      <c r="F65" s="36"/>
      <c r="G65" s="36"/>
      <c r="H65" s="287" t="s">
        <v>442</v>
      </c>
      <c r="I65" s="36">
        <v>7</v>
      </c>
      <c r="J65" s="36"/>
      <c r="K65" s="36"/>
      <c r="L65" s="289"/>
      <c r="M65" s="289"/>
      <c r="N65" s="287" t="s">
        <v>442</v>
      </c>
      <c r="O65" s="36">
        <v>7</v>
      </c>
      <c r="P65" s="36"/>
      <c r="Q65" s="36"/>
      <c r="R65" s="289"/>
      <c r="S65" s="289"/>
      <c r="T65" s="287" t="s">
        <v>442</v>
      </c>
      <c r="U65" s="36">
        <v>7</v>
      </c>
      <c r="V65" s="36"/>
      <c r="W65" s="36"/>
      <c r="X65" s="141"/>
      <c r="Y65" s="141"/>
      <c r="Z65" s="36"/>
      <c r="AA65" s="105"/>
      <c r="AB65" s="36"/>
    </row>
    <row r="66" spans="1:28" ht="15" hidden="1" thickBot="1">
      <c r="C66" s="124"/>
      <c r="D66" s="51"/>
      <c r="E66" s="36"/>
      <c r="F66" s="51"/>
      <c r="G66" s="51"/>
      <c r="H66" s="145"/>
      <c r="I66" s="51"/>
      <c r="J66" s="51"/>
      <c r="K66" s="51"/>
      <c r="L66" s="146"/>
      <c r="M66" s="146"/>
      <c r="N66" s="146"/>
      <c r="O66" s="51"/>
      <c r="P66" s="51"/>
      <c r="Q66" s="51"/>
      <c r="R66" s="146"/>
      <c r="S66" s="146"/>
      <c r="T66" s="146"/>
      <c r="U66" s="51"/>
      <c r="V66" s="51"/>
      <c r="W66" s="51"/>
      <c r="X66" s="147"/>
      <c r="Y66" s="147"/>
      <c r="Z66" s="51"/>
      <c r="AA66" s="148"/>
      <c r="AB66" s="36"/>
    </row>
    <row r="67" spans="1:28" ht="12.9" hidden="1" customHeight="1">
      <c r="E67" s="98"/>
    </row>
    <row r="68" spans="1:28" s="29" customFormat="1" ht="78" customHeight="1" thickBot="1">
      <c r="A68" s="28"/>
      <c r="B68" s="28"/>
      <c r="D68" s="30" t="s">
        <v>443</v>
      </c>
      <c r="E68" s="28"/>
      <c r="F68" s="32"/>
      <c r="G68" s="33"/>
      <c r="H68" s="32"/>
      <c r="L68" s="34" t="s">
        <v>349</v>
      </c>
      <c r="M68" s="32"/>
      <c r="N68" s="32"/>
      <c r="R68" s="33"/>
      <c r="S68" s="32"/>
      <c r="T68" s="33"/>
      <c r="X68" s="32"/>
      <c r="Y68" s="32"/>
      <c r="Z68" s="33"/>
      <c r="AA68" s="32"/>
      <c r="AB68" s="32"/>
    </row>
    <row r="69" spans="1:28" ht="15.9" customHeight="1" thickBot="1">
      <c r="A69" s="36"/>
      <c r="B69" s="36"/>
      <c r="C69" s="149"/>
      <c r="D69" s="98"/>
      <c r="E69" s="150" t="s">
        <v>350</v>
      </c>
      <c r="F69" s="98"/>
      <c r="G69" s="98"/>
      <c r="H69" s="98"/>
      <c r="I69" s="98"/>
      <c r="J69" s="363" t="s">
        <v>354</v>
      </c>
      <c r="K69" s="364"/>
      <c r="L69" s="367" t="s">
        <v>355</v>
      </c>
      <c r="M69" s="369" t="s">
        <v>356</v>
      </c>
      <c r="N69" s="44" t="s">
        <v>444</v>
      </c>
      <c r="O69" s="371" t="s">
        <v>358</v>
      </c>
      <c r="P69" s="373" t="s">
        <v>359</v>
      </c>
      <c r="Q69" s="375" t="s">
        <v>360</v>
      </c>
      <c r="R69" s="183" t="s">
        <v>462</v>
      </c>
      <c r="S69" s="45"/>
      <c r="T69" s="45"/>
      <c r="U69" s="45"/>
      <c r="V69" s="45"/>
      <c r="W69" s="45"/>
      <c r="X69" s="45"/>
      <c r="Y69" s="45"/>
      <c r="Z69" s="45"/>
      <c r="AA69" s="46"/>
      <c r="AB69" s="36"/>
    </row>
    <row r="70" spans="1:28" ht="15.9" customHeight="1" thickBot="1">
      <c r="A70" s="36"/>
      <c r="B70" s="36"/>
      <c r="C70" s="48"/>
      <c r="D70" s="55"/>
      <c r="E70" s="151"/>
      <c r="F70" s="36"/>
      <c r="G70" s="36"/>
      <c r="H70" s="36"/>
      <c r="I70" s="36"/>
      <c r="J70" s="365"/>
      <c r="K70" s="366"/>
      <c r="L70" s="368"/>
      <c r="M70" s="370"/>
      <c r="N70" s="53" t="s">
        <v>361</v>
      </c>
      <c r="O70" s="372"/>
      <c r="P70" s="374"/>
      <c r="Q70" s="376"/>
      <c r="R70" s="158" t="s">
        <v>883</v>
      </c>
      <c r="S70" s="36"/>
      <c r="T70" s="36"/>
      <c r="U70" s="36"/>
      <c r="V70" s="36"/>
      <c r="W70" s="36"/>
      <c r="X70" s="36"/>
      <c r="Y70" s="36"/>
      <c r="Z70" s="36"/>
      <c r="AA70" s="54"/>
      <c r="AB70" s="36"/>
    </row>
    <row r="71" spans="1:28" ht="22.35" customHeight="1" thickBot="1">
      <c r="A71" s="36"/>
      <c r="B71" s="36"/>
      <c r="C71" s="48"/>
      <c r="D71" s="55"/>
      <c r="E71" s="56" t="s">
        <v>362</v>
      </c>
      <c r="F71" s="358" t="s">
        <v>365</v>
      </c>
      <c r="G71" s="358"/>
      <c r="H71" s="358"/>
      <c r="I71" s="36"/>
      <c r="J71" s="36"/>
      <c r="K71" s="36"/>
      <c r="L71" s="441" t="s">
        <v>364</v>
      </c>
      <c r="M71" s="441"/>
      <c r="N71" s="441"/>
      <c r="O71" s="36"/>
      <c r="P71" s="36"/>
      <c r="Q71" s="36"/>
      <c r="R71" s="358" t="s">
        <v>363</v>
      </c>
      <c r="S71" s="358"/>
      <c r="T71" s="358"/>
      <c r="U71" s="36"/>
      <c r="W71" s="36"/>
      <c r="X71" s="58"/>
      <c r="Y71" s="59"/>
      <c r="Z71" s="59"/>
      <c r="AA71" s="54"/>
      <c r="AB71" s="36"/>
    </row>
    <row r="72" spans="1:28" ht="19.649999999999999" customHeight="1" thickBot="1">
      <c r="A72" s="36"/>
      <c r="B72" s="36"/>
      <c r="C72" s="60"/>
      <c r="D72" s="36"/>
      <c r="E72" s="61" t="s">
        <v>366</v>
      </c>
      <c r="F72" s="360" t="s">
        <v>369</v>
      </c>
      <c r="G72" s="361"/>
      <c r="H72" s="362"/>
      <c r="I72" s="62"/>
      <c r="J72" s="62"/>
      <c r="K72" s="62"/>
      <c r="L72" s="360" t="s">
        <v>368</v>
      </c>
      <c r="M72" s="361"/>
      <c r="N72" s="362"/>
      <c r="O72" s="62"/>
      <c r="P72" s="62"/>
      <c r="Q72" s="62"/>
      <c r="R72" s="360" t="s">
        <v>367</v>
      </c>
      <c r="S72" s="361"/>
      <c r="T72" s="362"/>
      <c r="U72" s="36"/>
      <c r="V72" s="63" t="s">
        <v>451</v>
      </c>
      <c r="W72" s="36"/>
      <c r="X72" s="58"/>
      <c r="Y72" s="36"/>
      <c r="Z72" s="36"/>
      <c r="AA72" s="54"/>
    </row>
    <row r="73" spans="1:28" ht="15" customHeight="1" thickBot="1">
      <c r="A73" s="36"/>
      <c r="B73" s="36"/>
      <c r="C73" s="60"/>
      <c r="D73" s="36"/>
      <c r="E73" s="152" t="s">
        <v>445</v>
      </c>
      <c r="F73" s="377" t="s">
        <v>477</v>
      </c>
      <c r="G73" s="378"/>
      <c r="H73" s="379"/>
      <c r="I73" s="65"/>
      <c r="J73" s="65"/>
      <c r="K73" s="66"/>
      <c r="L73" s="377" t="s">
        <v>475</v>
      </c>
      <c r="M73" s="378"/>
      <c r="N73" s="379"/>
      <c r="O73" s="65"/>
      <c r="P73" s="65"/>
      <c r="Q73" s="65"/>
      <c r="R73" s="205"/>
      <c r="S73" s="206"/>
      <c r="T73" s="207" t="s">
        <v>371</v>
      </c>
      <c r="U73" s="36"/>
      <c r="V73" s="67" t="s">
        <v>449</v>
      </c>
      <c r="W73" s="36"/>
      <c r="X73" s="58"/>
      <c r="Y73" s="59"/>
      <c r="Z73" s="59"/>
      <c r="AA73" s="54"/>
      <c r="AB73" s="36"/>
    </row>
    <row r="74" spans="1:28" ht="15.6" customHeight="1" thickTop="1" thickBot="1">
      <c r="A74" s="36"/>
      <c r="B74" s="36"/>
      <c r="C74" s="60"/>
      <c r="D74" s="36"/>
      <c r="E74" s="56" t="s">
        <v>372</v>
      </c>
      <c r="F74" s="72"/>
      <c r="G74" s="70"/>
      <c r="H74" s="71" t="s">
        <v>889</v>
      </c>
      <c r="I74" s="68"/>
      <c r="J74" s="65"/>
      <c r="K74" s="66"/>
      <c r="L74" s="69"/>
      <c r="M74" s="70"/>
      <c r="N74" s="71" t="s">
        <v>885</v>
      </c>
      <c r="O74" s="65"/>
      <c r="P74" s="65"/>
      <c r="Q74" s="65"/>
      <c r="R74" s="203"/>
      <c r="S74" s="70"/>
      <c r="T74" s="204"/>
      <c r="U74" s="36"/>
      <c r="V74" s="73" t="s">
        <v>452</v>
      </c>
      <c r="W74" s="36"/>
      <c r="X74" s="58"/>
      <c r="Y74" s="59"/>
      <c r="Z74" s="36"/>
      <c r="AA74" s="54"/>
      <c r="AB74" s="36"/>
    </row>
    <row r="75" spans="1:28" ht="31.65" customHeight="1" thickTop="1" thickBot="1">
      <c r="A75" s="36"/>
      <c r="B75" s="36"/>
      <c r="C75" s="60"/>
      <c r="D75" s="36"/>
      <c r="E75" s="74"/>
      <c r="F75" s="327"/>
      <c r="G75" s="208">
        <v>7</v>
      </c>
      <c r="H75" s="196">
        <v>6</v>
      </c>
      <c r="I75" s="75"/>
      <c r="J75" s="36"/>
      <c r="K75" s="76"/>
      <c r="L75" s="194">
        <v>5</v>
      </c>
      <c r="M75" s="195">
        <v>4</v>
      </c>
      <c r="N75" s="196">
        <v>3</v>
      </c>
      <c r="O75" s="36"/>
      <c r="P75" s="36"/>
      <c r="Q75" s="36"/>
      <c r="R75" s="194">
        <v>2</v>
      </c>
      <c r="S75" s="195">
        <v>1</v>
      </c>
      <c r="T75" s="196">
        <v>0</v>
      </c>
      <c r="U75" s="36"/>
      <c r="V75" s="36"/>
      <c r="W75" s="36"/>
      <c r="X75" s="58"/>
      <c r="Y75" s="59"/>
      <c r="Z75" s="36"/>
      <c r="AA75" s="54"/>
      <c r="AB75" s="36"/>
    </row>
    <row r="76" spans="1:28" ht="12.75" customHeight="1" thickTop="1">
      <c r="A76" s="36"/>
      <c r="B76" s="36"/>
      <c r="C76" s="60"/>
      <c r="D76" s="36"/>
      <c r="E76" s="380">
        <v>0</v>
      </c>
      <c r="F76" s="328"/>
      <c r="G76" s="383" t="s">
        <v>381</v>
      </c>
      <c r="H76" s="385" t="s">
        <v>378</v>
      </c>
      <c r="I76" s="329"/>
      <c r="J76" s="317"/>
      <c r="K76" s="317"/>
      <c r="L76" s="381" t="s">
        <v>375</v>
      </c>
      <c r="M76" s="383" t="s">
        <v>380</v>
      </c>
      <c r="N76" s="385" t="s">
        <v>376</v>
      </c>
      <c r="O76" s="329"/>
      <c r="P76" s="317"/>
      <c r="Q76" s="317"/>
      <c r="R76" s="381" t="s">
        <v>373</v>
      </c>
      <c r="S76" s="383" t="s">
        <v>379</v>
      </c>
      <c r="T76" s="385" t="s">
        <v>374</v>
      </c>
      <c r="U76" s="153"/>
      <c r="V76" s="36"/>
      <c r="W76" s="36"/>
      <c r="X76" s="77"/>
      <c r="Y76" s="77"/>
      <c r="Z76" s="77"/>
      <c r="AA76" s="54"/>
      <c r="AB76" s="36"/>
    </row>
    <row r="77" spans="1:28" ht="14.1" customHeight="1" thickBot="1">
      <c r="A77" s="36"/>
      <c r="B77" s="36"/>
      <c r="C77" s="60"/>
      <c r="D77" s="36"/>
      <c r="E77" s="380"/>
      <c r="F77" s="328"/>
      <c r="G77" s="384"/>
      <c r="H77" s="386"/>
      <c r="I77" s="329"/>
      <c r="J77" s="317"/>
      <c r="K77" s="317"/>
      <c r="L77" s="382"/>
      <c r="M77" s="384"/>
      <c r="N77" s="387"/>
      <c r="O77" s="329"/>
      <c r="P77" s="317"/>
      <c r="Q77" s="317"/>
      <c r="R77" s="382"/>
      <c r="S77" s="384"/>
      <c r="T77" s="386"/>
      <c r="U77" s="153"/>
      <c r="V77" s="36"/>
      <c r="W77" s="36"/>
      <c r="X77" s="77"/>
      <c r="Y77" s="77"/>
      <c r="Z77" s="77"/>
      <c r="AA77" s="54"/>
      <c r="AB77" s="36"/>
    </row>
    <row r="78" spans="1:28" ht="15" customHeight="1" thickTop="1">
      <c r="A78" s="36"/>
      <c r="B78" s="36"/>
      <c r="C78" s="60"/>
      <c r="D78" s="36"/>
      <c r="E78" s="380">
        <v>1</v>
      </c>
      <c r="F78" s="328"/>
      <c r="G78" s="442" t="s">
        <v>381</v>
      </c>
      <c r="H78" s="392"/>
      <c r="I78" s="329"/>
      <c r="J78" s="317"/>
      <c r="K78" s="317"/>
      <c r="L78" s="388" t="s">
        <v>375</v>
      </c>
      <c r="M78" s="394" t="s">
        <v>380</v>
      </c>
      <c r="N78" s="392"/>
      <c r="O78" s="329"/>
      <c r="P78" s="317"/>
      <c r="Q78" s="317"/>
      <c r="R78" s="388" t="s">
        <v>373</v>
      </c>
      <c r="S78" s="390" t="s">
        <v>379</v>
      </c>
      <c r="T78" s="396" t="s">
        <v>374</v>
      </c>
      <c r="U78" s="153"/>
      <c r="Y78" s="79"/>
      <c r="Z78" s="80"/>
      <c r="AA78" s="54"/>
      <c r="AB78" s="36"/>
    </row>
    <row r="79" spans="1:28" ht="15" customHeight="1" thickBot="1">
      <c r="A79" s="36"/>
      <c r="B79" s="36"/>
      <c r="C79" s="60"/>
      <c r="D79" s="36"/>
      <c r="E79" s="380"/>
      <c r="F79" s="328"/>
      <c r="G79" s="443"/>
      <c r="H79" s="393"/>
      <c r="I79" s="329"/>
      <c r="J79" s="317"/>
      <c r="K79" s="317"/>
      <c r="L79" s="389"/>
      <c r="M79" s="395"/>
      <c r="N79" s="393"/>
      <c r="O79" s="329"/>
      <c r="P79" s="317"/>
      <c r="Q79" s="317"/>
      <c r="R79" s="389"/>
      <c r="S79" s="391"/>
      <c r="T79" s="397"/>
      <c r="U79" s="153"/>
      <c r="V79" s="36"/>
      <c r="W79" s="36"/>
      <c r="X79" s="58"/>
      <c r="Y79" s="81"/>
      <c r="Z79" s="80"/>
      <c r="AA79" s="54"/>
      <c r="AB79" s="36"/>
    </row>
    <row r="80" spans="1:28" ht="14.4" customHeight="1" thickTop="1">
      <c r="A80" s="36"/>
      <c r="B80" s="36"/>
      <c r="C80" s="60"/>
      <c r="D80" s="36"/>
      <c r="E80" s="380">
        <v>2</v>
      </c>
      <c r="F80" s="328"/>
      <c r="G80" s="444" t="s">
        <v>381</v>
      </c>
      <c r="H80" s="385" t="s">
        <v>378</v>
      </c>
      <c r="I80" s="330"/>
      <c r="J80" s="317"/>
      <c r="K80" s="317"/>
      <c r="L80" s="381" t="s">
        <v>375</v>
      </c>
      <c r="M80" s="383" t="s">
        <v>380</v>
      </c>
      <c r="N80" s="385" t="s">
        <v>376</v>
      </c>
      <c r="O80" s="330"/>
      <c r="P80" s="317"/>
      <c r="Q80" s="317"/>
      <c r="R80" s="381" t="s">
        <v>373</v>
      </c>
      <c r="S80" s="383" t="s">
        <v>379</v>
      </c>
      <c r="T80" s="385" t="s">
        <v>374</v>
      </c>
      <c r="U80" s="153"/>
      <c r="V80" s="36"/>
      <c r="W80" s="36"/>
      <c r="X80" s="81"/>
      <c r="Y80" s="81"/>
      <c r="Z80" s="80"/>
      <c r="AA80" s="54"/>
      <c r="AB80" s="36"/>
    </row>
    <row r="81" spans="1:28" ht="14.1" customHeight="1">
      <c r="A81" s="36"/>
      <c r="B81" s="36"/>
      <c r="C81" s="60"/>
      <c r="D81" s="36"/>
      <c r="E81" s="380"/>
      <c r="F81" s="328"/>
      <c r="G81" s="445"/>
      <c r="H81" s="386"/>
      <c r="I81" s="330"/>
      <c r="J81" s="317"/>
      <c r="K81" s="317"/>
      <c r="L81" s="382"/>
      <c r="M81" s="384"/>
      <c r="N81" s="386"/>
      <c r="O81" s="330"/>
      <c r="P81" s="317"/>
      <c r="Q81" s="317"/>
      <c r="R81" s="382"/>
      <c r="S81" s="384"/>
      <c r="T81" s="386"/>
      <c r="U81" s="153"/>
      <c r="V81" s="36"/>
      <c r="W81" s="36"/>
      <c r="X81" s="58"/>
      <c r="Y81" s="59"/>
      <c r="Z81" s="36"/>
      <c r="AA81" s="54"/>
      <c r="AB81" s="36"/>
    </row>
    <row r="82" spans="1:28" ht="15" customHeight="1">
      <c r="A82" s="36"/>
      <c r="B82" s="36"/>
      <c r="C82" s="82" t="s">
        <v>446</v>
      </c>
      <c r="D82" s="36"/>
      <c r="E82" s="380">
        <v>3</v>
      </c>
      <c r="F82" s="328"/>
      <c r="G82" s="390" t="s">
        <v>381</v>
      </c>
      <c r="H82" s="396" t="s">
        <v>378</v>
      </c>
      <c r="I82" s="330"/>
      <c r="J82" s="317"/>
      <c r="K82" s="317"/>
      <c r="L82" s="388" t="s">
        <v>375</v>
      </c>
      <c r="M82" s="409" t="s">
        <v>380</v>
      </c>
      <c r="N82" s="396" t="s">
        <v>376</v>
      </c>
      <c r="O82" s="330"/>
      <c r="P82" s="317"/>
      <c r="Q82" s="317"/>
      <c r="R82" s="388" t="s">
        <v>373</v>
      </c>
      <c r="S82" s="390" t="s">
        <v>379</v>
      </c>
      <c r="T82" s="396" t="s">
        <v>374</v>
      </c>
      <c r="U82" s="153"/>
      <c r="V82" s="36"/>
      <c r="W82" s="36"/>
      <c r="X82" s="58"/>
      <c r="Y82" s="59"/>
      <c r="Z82" s="36"/>
      <c r="AA82" s="54"/>
      <c r="AB82" s="36"/>
    </row>
    <row r="83" spans="1:28" ht="15" customHeight="1" thickBot="1">
      <c r="A83" s="36"/>
      <c r="B83" s="36"/>
      <c r="C83" s="60"/>
      <c r="D83" s="83" t="s">
        <v>383</v>
      </c>
      <c r="E83" s="380"/>
      <c r="F83" s="328"/>
      <c r="G83" s="391"/>
      <c r="H83" s="397"/>
      <c r="I83" s="330"/>
      <c r="J83" s="317"/>
      <c r="K83" s="317"/>
      <c r="L83" s="389"/>
      <c r="M83" s="410"/>
      <c r="N83" s="397"/>
      <c r="O83" s="330"/>
      <c r="P83" s="317"/>
      <c r="Q83" s="317"/>
      <c r="R83" s="389"/>
      <c r="S83" s="391"/>
      <c r="T83" s="397"/>
      <c r="U83" s="153"/>
      <c r="V83" s="36"/>
      <c r="W83" s="36"/>
      <c r="X83" s="58"/>
      <c r="Y83" s="59"/>
      <c r="Z83" s="36"/>
      <c r="AA83" s="54"/>
      <c r="AB83" s="36"/>
    </row>
    <row r="84" spans="1:28" ht="15" customHeight="1" thickTop="1">
      <c r="A84" s="36"/>
      <c r="B84" s="36"/>
      <c r="C84" s="82" t="s">
        <v>384</v>
      </c>
      <c r="D84" s="36"/>
      <c r="E84" s="380">
        <v>4</v>
      </c>
      <c r="F84" s="328"/>
      <c r="G84" s="446" t="s">
        <v>387</v>
      </c>
      <c r="H84" s="402" t="s">
        <v>378</v>
      </c>
      <c r="I84" s="331"/>
      <c r="J84" s="317"/>
      <c r="K84" s="317"/>
      <c r="L84" s="398" t="s">
        <v>375</v>
      </c>
      <c r="M84" s="400" t="s">
        <v>386</v>
      </c>
      <c r="N84" s="402" t="s">
        <v>376</v>
      </c>
      <c r="O84" s="331"/>
      <c r="P84" s="317"/>
      <c r="Q84" s="317"/>
      <c r="R84" s="381" t="s">
        <v>373</v>
      </c>
      <c r="S84" s="383" t="s">
        <v>385</v>
      </c>
      <c r="T84" s="385" t="s">
        <v>374</v>
      </c>
      <c r="U84" s="153"/>
      <c r="V84" s="36"/>
      <c r="W84" s="36"/>
      <c r="X84" s="58"/>
      <c r="Y84" s="59"/>
      <c r="Z84" s="36"/>
      <c r="AA84" s="54"/>
      <c r="AB84" s="36"/>
    </row>
    <row r="85" spans="1:28" ht="15" customHeight="1" thickBot="1">
      <c r="A85" s="36"/>
      <c r="B85" s="36"/>
      <c r="C85" s="60"/>
      <c r="D85" s="36"/>
      <c r="E85" s="380"/>
      <c r="F85" s="328"/>
      <c r="G85" s="447"/>
      <c r="H85" s="403"/>
      <c r="I85" s="331"/>
      <c r="J85" s="317"/>
      <c r="K85" s="317"/>
      <c r="L85" s="399"/>
      <c r="M85" s="401"/>
      <c r="N85" s="403"/>
      <c r="O85" s="331"/>
      <c r="P85" s="317"/>
      <c r="Q85" s="317"/>
      <c r="R85" s="408"/>
      <c r="S85" s="407"/>
      <c r="T85" s="406"/>
      <c r="U85" s="153"/>
      <c r="V85" s="36"/>
      <c r="W85" s="36"/>
      <c r="X85" s="58"/>
      <c r="Y85" s="59"/>
      <c r="Z85" s="36"/>
      <c r="AA85" s="54"/>
      <c r="AB85" s="36"/>
    </row>
    <row r="86" spans="1:28" ht="15" customHeight="1" thickTop="1">
      <c r="A86" s="36"/>
      <c r="B86" s="36"/>
      <c r="C86" s="60"/>
      <c r="D86" s="36"/>
      <c r="E86" s="380">
        <v>5</v>
      </c>
      <c r="F86" s="328"/>
      <c r="G86" s="450" t="s">
        <v>387</v>
      </c>
      <c r="H86" s="396" t="s">
        <v>465</v>
      </c>
      <c r="I86" s="331"/>
      <c r="J86" s="317"/>
      <c r="K86" s="317"/>
      <c r="L86" s="422" t="s">
        <v>375</v>
      </c>
      <c r="M86" s="424" t="s">
        <v>386</v>
      </c>
      <c r="N86" s="396" t="s">
        <v>464</v>
      </c>
      <c r="O86" s="331"/>
      <c r="P86" s="317"/>
      <c r="Q86" s="317"/>
      <c r="R86" s="415" t="s">
        <v>373</v>
      </c>
      <c r="S86" s="413" t="s">
        <v>886</v>
      </c>
      <c r="T86" s="427" t="s">
        <v>471</v>
      </c>
      <c r="U86" s="153"/>
      <c r="V86" s="36"/>
      <c r="W86" s="36"/>
      <c r="X86" s="58"/>
      <c r="Y86" s="59"/>
      <c r="Z86" s="36"/>
      <c r="AA86" s="54"/>
      <c r="AB86" s="36"/>
    </row>
    <row r="87" spans="1:28" ht="15" customHeight="1" thickBot="1">
      <c r="A87" s="36"/>
      <c r="B87" s="36"/>
      <c r="C87" s="60"/>
      <c r="D87" s="36"/>
      <c r="E87" s="380"/>
      <c r="F87" s="328"/>
      <c r="G87" s="451"/>
      <c r="H87" s="426"/>
      <c r="I87" s="331"/>
      <c r="J87" s="317"/>
      <c r="K87" s="317"/>
      <c r="L87" s="423"/>
      <c r="M87" s="425"/>
      <c r="N87" s="426"/>
      <c r="O87" s="331"/>
      <c r="P87" s="317"/>
      <c r="Q87" s="317"/>
      <c r="R87" s="416"/>
      <c r="S87" s="414"/>
      <c r="T87" s="428"/>
      <c r="U87" s="153"/>
      <c r="V87" s="36"/>
      <c r="W87" s="36"/>
      <c r="X87" s="58"/>
      <c r="Y87" s="59"/>
      <c r="Z87" s="36"/>
      <c r="AA87" s="54"/>
      <c r="AB87" s="36"/>
    </row>
    <row r="88" spans="1:28" ht="15" customHeight="1" thickTop="1" thickBot="1">
      <c r="A88" s="36"/>
      <c r="B88" s="36"/>
      <c r="C88" s="60"/>
      <c r="D88" s="36"/>
      <c r="E88" s="380">
        <v>6</v>
      </c>
      <c r="F88" s="328"/>
      <c r="G88" s="448" t="s">
        <v>469</v>
      </c>
      <c r="H88" s="202" t="s">
        <v>465</v>
      </c>
      <c r="I88" s="332"/>
      <c r="J88" s="317"/>
      <c r="K88" s="317"/>
      <c r="L88" s="418" t="s">
        <v>468</v>
      </c>
      <c r="M88" s="417" t="s">
        <v>467</v>
      </c>
      <c r="N88" s="202" t="s">
        <v>464</v>
      </c>
      <c r="O88" s="332"/>
      <c r="P88" s="317"/>
      <c r="Q88" s="317"/>
      <c r="R88" s="418" t="s">
        <v>466</v>
      </c>
      <c r="S88" s="420" t="s">
        <v>888</v>
      </c>
      <c r="T88" s="192" t="s">
        <v>471</v>
      </c>
      <c r="U88" s="153"/>
      <c r="V88" s="36"/>
      <c r="W88" s="36"/>
      <c r="X88" s="58"/>
      <c r="Y88" s="59"/>
      <c r="Z88" s="36"/>
      <c r="AA88" s="54"/>
      <c r="AB88" s="36"/>
    </row>
    <row r="89" spans="1:28" ht="15" customHeight="1" thickTop="1" thickBot="1">
      <c r="A89" s="36"/>
      <c r="B89" s="36"/>
      <c r="C89" s="60"/>
      <c r="D89" s="36"/>
      <c r="E89" s="380"/>
      <c r="F89" s="333"/>
      <c r="G89" s="449"/>
      <c r="H89" s="201" t="s">
        <v>465</v>
      </c>
      <c r="I89" s="332"/>
      <c r="J89" s="317"/>
      <c r="K89" s="317"/>
      <c r="L89" s="419"/>
      <c r="M89" s="407"/>
      <c r="N89" s="201" t="s">
        <v>464</v>
      </c>
      <c r="O89" s="332"/>
      <c r="P89" s="317"/>
      <c r="Q89" s="317"/>
      <c r="R89" s="419"/>
      <c r="S89" s="421"/>
      <c r="T89" s="193" t="s">
        <v>471</v>
      </c>
      <c r="U89" s="153"/>
      <c r="V89" s="36"/>
      <c r="W89" s="36"/>
      <c r="X89" s="58"/>
      <c r="Y89" s="59"/>
      <c r="Z89" s="36"/>
      <c r="AA89" s="54"/>
      <c r="AB89" s="36"/>
    </row>
    <row r="90" spans="1:28" ht="14.85" customHeight="1" thickTop="1">
      <c r="A90" s="36"/>
      <c r="B90" s="36"/>
      <c r="C90" s="60"/>
      <c r="D90" s="36"/>
      <c r="E90" s="84" t="s">
        <v>388</v>
      </c>
      <c r="F90" s="85" t="s">
        <v>390</v>
      </c>
      <c r="G90" s="85" t="s">
        <v>390</v>
      </c>
      <c r="H90" s="85" t="s">
        <v>390</v>
      </c>
      <c r="I90" s="36"/>
      <c r="J90" s="36"/>
      <c r="K90" s="36"/>
      <c r="L90" s="85" t="s">
        <v>390</v>
      </c>
      <c r="M90" s="85" t="s">
        <v>390</v>
      </c>
      <c r="N90" s="85" t="s">
        <v>390</v>
      </c>
      <c r="O90" s="36"/>
      <c r="P90" s="36"/>
      <c r="Q90" s="36"/>
      <c r="R90" s="85" t="s">
        <v>389</v>
      </c>
      <c r="S90" s="85" t="s">
        <v>12</v>
      </c>
      <c r="T90" s="85" t="s">
        <v>14</v>
      </c>
      <c r="U90" s="36"/>
      <c r="V90" s="36"/>
      <c r="W90" s="36"/>
      <c r="X90" s="58"/>
      <c r="Y90" s="36"/>
      <c r="Z90" s="36"/>
      <c r="AA90" s="54"/>
      <c r="AB90" s="36"/>
    </row>
    <row r="91" spans="1:28" s="86" customFormat="1" ht="23.4" customHeight="1" thickBot="1">
      <c r="C91" s="87"/>
      <c r="D91" s="286"/>
      <c r="E91" s="88" t="s">
        <v>391</v>
      </c>
      <c r="F91" s="429">
        <v>8</v>
      </c>
      <c r="G91" s="430"/>
      <c r="H91" s="431"/>
      <c r="I91" s="89"/>
      <c r="J91" s="89"/>
      <c r="K91" s="89"/>
      <c r="L91" s="429">
        <v>10</v>
      </c>
      <c r="M91" s="430"/>
      <c r="N91" s="431"/>
      <c r="O91" s="89"/>
      <c r="P91" s="89"/>
      <c r="Q91" s="89"/>
      <c r="R91" s="429">
        <v>12</v>
      </c>
      <c r="S91" s="430"/>
      <c r="T91" s="431"/>
      <c r="U91" s="89"/>
      <c r="V91" s="90"/>
      <c r="W91" s="91" t="s">
        <v>392</v>
      </c>
      <c r="X91" s="89">
        <f>SUM(F91:T91)</f>
        <v>30</v>
      </c>
      <c r="Y91" s="58"/>
      <c r="Z91" s="58"/>
      <c r="AA91" s="92"/>
      <c r="AB91" s="58"/>
    </row>
    <row r="92" spans="1:28" s="86" customFormat="1" ht="51.9" hidden="1" customHeight="1" thickBot="1">
      <c r="C92" s="93"/>
      <c r="D92" s="59"/>
      <c r="E92" s="59"/>
      <c r="F92" s="58"/>
      <c r="G92" s="58"/>
      <c r="H92" s="58"/>
      <c r="I92" s="94" t="s">
        <v>393</v>
      </c>
      <c r="J92" s="95" t="s">
        <v>394</v>
      </c>
      <c r="K92" s="95" t="s">
        <v>395</v>
      </c>
      <c r="L92" s="58"/>
      <c r="M92" s="58"/>
      <c r="N92" s="58"/>
      <c r="O92" s="94" t="s">
        <v>393</v>
      </c>
      <c r="P92" s="95" t="s">
        <v>394</v>
      </c>
      <c r="Q92" s="95" t="s">
        <v>395</v>
      </c>
      <c r="R92" s="58"/>
      <c r="S92" s="58"/>
      <c r="T92" s="58"/>
      <c r="U92" s="94" t="s">
        <v>393</v>
      </c>
      <c r="V92" s="95" t="s">
        <v>394</v>
      </c>
      <c r="W92" s="95" t="s">
        <v>395</v>
      </c>
      <c r="X92" s="94" t="s">
        <v>396</v>
      </c>
      <c r="Y92" s="58"/>
      <c r="Z92" s="58"/>
      <c r="AA92" s="96"/>
      <c r="AB92" s="58"/>
    </row>
    <row r="93" spans="1:28" ht="15" hidden="1" thickBot="1">
      <c r="C93" s="97" t="s">
        <v>397</v>
      </c>
      <c r="D93" s="98"/>
      <c r="E93" s="99" t="s">
        <v>398</v>
      </c>
      <c r="F93" s="100">
        <v>44</v>
      </c>
      <c r="G93" s="101">
        <v>36</v>
      </c>
      <c r="H93" s="102">
        <v>28</v>
      </c>
      <c r="I93" s="103">
        <f>SUM(F93:H93)</f>
        <v>108</v>
      </c>
      <c r="J93" s="58"/>
      <c r="K93" s="58"/>
      <c r="L93" s="101">
        <v>28</v>
      </c>
      <c r="M93" s="101">
        <v>28</v>
      </c>
      <c r="N93" s="102">
        <v>28</v>
      </c>
      <c r="O93" s="103">
        <f>SUM(L93:N93)</f>
        <v>84</v>
      </c>
      <c r="P93" s="58"/>
      <c r="Q93" s="58"/>
      <c r="R93" s="101">
        <v>28</v>
      </c>
      <c r="S93" s="101">
        <v>28</v>
      </c>
      <c r="T93" s="102"/>
      <c r="U93" s="103">
        <f>SUM(R93:T93)</f>
        <v>56</v>
      </c>
      <c r="V93" s="58"/>
      <c r="W93" s="58"/>
      <c r="X93" s="104">
        <f t="shared" ref="X93:X103" si="20">SUM(I93,O93,U93)</f>
        <v>248</v>
      </c>
      <c r="Y93" s="36"/>
      <c r="Z93" s="36"/>
      <c r="AA93" s="105"/>
      <c r="AB93" s="36"/>
    </row>
    <row r="94" spans="1:28" ht="15" hidden="1" thickBot="1">
      <c r="C94" s="106"/>
      <c r="D94" s="107"/>
      <c r="E94" s="108" t="s">
        <v>399</v>
      </c>
      <c r="F94" s="109">
        <v>11</v>
      </c>
      <c r="G94" s="110">
        <v>9</v>
      </c>
      <c r="H94" s="111">
        <v>7</v>
      </c>
      <c r="I94" s="319">
        <f t="shared" ref="I94:I102" si="21">SUM(F94:H94)</f>
        <v>27</v>
      </c>
      <c r="J94" s="89"/>
      <c r="K94" s="89">
        <f>I94*5</f>
        <v>135</v>
      </c>
      <c r="L94" s="110">
        <v>7</v>
      </c>
      <c r="M94" s="110">
        <v>7</v>
      </c>
      <c r="N94" s="111">
        <v>7</v>
      </c>
      <c r="O94" s="319">
        <f t="shared" ref="O94:O102" si="22">SUM(L94:N94)</f>
        <v>21</v>
      </c>
      <c r="P94" s="89"/>
      <c r="Q94" s="89">
        <f>O94*5</f>
        <v>105</v>
      </c>
      <c r="R94" s="110">
        <v>7</v>
      </c>
      <c r="S94" s="110">
        <v>7</v>
      </c>
      <c r="T94" s="111"/>
      <c r="U94" s="319">
        <f>SUM(R94:T94)</f>
        <v>14</v>
      </c>
      <c r="V94" s="89"/>
      <c r="W94" s="89">
        <f>U94*5</f>
        <v>70</v>
      </c>
      <c r="X94" s="320">
        <f t="shared" si="20"/>
        <v>62</v>
      </c>
      <c r="Y94" s="36"/>
      <c r="Z94" s="36"/>
      <c r="AA94" s="105"/>
      <c r="AB94" s="36"/>
    </row>
    <row r="95" spans="1:28" ht="15" hidden="1" thickBot="1">
      <c r="C95" s="60"/>
      <c r="D95" s="112"/>
      <c r="E95" s="113" t="s">
        <v>400</v>
      </c>
      <c r="F95" s="114">
        <v>15</v>
      </c>
      <c r="G95" s="115">
        <v>11</v>
      </c>
      <c r="H95" s="116">
        <v>8</v>
      </c>
      <c r="I95" s="321">
        <f t="shared" si="21"/>
        <v>34</v>
      </c>
      <c r="J95" s="58"/>
      <c r="K95" s="58"/>
      <c r="L95" s="115">
        <v>10</v>
      </c>
      <c r="M95" s="115">
        <v>8</v>
      </c>
      <c r="N95" s="116">
        <v>8</v>
      </c>
      <c r="O95" s="321">
        <f t="shared" si="22"/>
        <v>26</v>
      </c>
      <c r="P95" s="58"/>
      <c r="Q95" s="58"/>
      <c r="R95" s="115">
        <v>10</v>
      </c>
      <c r="S95" s="115">
        <v>8</v>
      </c>
      <c r="T95" s="116"/>
      <c r="U95" s="321">
        <f>SUM(R95:T95)</f>
        <v>18</v>
      </c>
      <c r="V95" s="58"/>
      <c r="W95" s="58"/>
      <c r="X95" s="322">
        <f t="shared" si="20"/>
        <v>78</v>
      </c>
      <c r="Y95" s="36"/>
      <c r="Z95" s="36"/>
      <c r="AA95" s="105"/>
      <c r="AB95" s="36"/>
    </row>
    <row r="96" spans="1:28" ht="15" hidden="1" thickBot="1">
      <c r="C96" s="106"/>
      <c r="D96" s="107"/>
      <c r="E96" s="108" t="s">
        <v>401</v>
      </c>
      <c r="F96" s="117">
        <f t="shared" ref="F96:H97" si="23">F94</f>
        <v>11</v>
      </c>
      <c r="G96" s="118">
        <f t="shared" si="23"/>
        <v>9</v>
      </c>
      <c r="H96" s="285">
        <f t="shared" si="23"/>
        <v>7</v>
      </c>
      <c r="I96" s="319">
        <f t="shared" si="21"/>
        <v>27</v>
      </c>
      <c r="J96" s="89">
        <f>I96*4</f>
        <v>108</v>
      </c>
      <c r="K96" s="89"/>
      <c r="L96" s="118">
        <f t="shared" ref="L96:N97" si="24">L94</f>
        <v>7</v>
      </c>
      <c r="M96" s="118">
        <f t="shared" si="24"/>
        <v>7</v>
      </c>
      <c r="N96" s="285">
        <f t="shared" si="24"/>
        <v>7</v>
      </c>
      <c r="O96" s="319">
        <f t="shared" si="22"/>
        <v>21</v>
      </c>
      <c r="P96" s="89">
        <f>O96*4</f>
        <v>84</v>
      </c>
      <c r="Q96" s="89"/>
      <c r="R96" s="118">
        <f>R94</f>
        <v>7</v>
      </c>
      <c r="S96" s="118">
        <f>S94</f>
        <v>7</v>
      </c>
      <c r="T96" s="285"/>
      <c r="U96" s="319">
        <f>SUM(R96:T96)</f>
        <v>14</v>
      </c>
      <c r="V96" s="89">
        <f>U96*4</f>
        <v>56</v>
      </c>
      <c r="W96" s="89"/>
      <c r="X96" s="320">
        <f t="shared" si="20"/>
        <v>62</v>
      </c>
      <c r="Y96" s="36"/>
      <c r="Z96" s="36"/>
      <c r="AA96" s="105"/>
      <c r="AB96" s="36"/>
    </row>
    <row r="97" spans="3:28" ht="15" hidden="1" thickBot="1">
      <c r="C97" s="60"/>
      <c r="D97" s="112"/>
      <c r="E97" s="113" t="s">
        <v>402</v>
      </c>
      <c r="F97" s="119">
        <f t="shared" si="23"/>
        <v>15</v>
      </c>
      <c r="G97" s="120">
        <f t="shared" si="23"/>
        <v>11</v>
      </c>
      <c r="H97" s="121">
        <f t="shared" si="23"/>
        <v>8</v>
      </c>
      <c r="I97" s="323">
        <f>SUM(F97:H97)/6</f>
        <v>5.666666666666667</v>
      </c>
      <c r="J97" s="122">
        <f>I97*4</f>
        <v>22.666666666666668</v>
      </c>
      <c r="K97" s="58"/>
      <c r="L97" s="120">
        <f t="shared" si="24"/>
        <v>10</v>
      </c>
      <c r="M97" s="120">
        <f t="shared" si="24"/>
        <v>8</v>
      </c>
      <c r="N97" s="121">
        <f t="shared" si="24"/>
        <v>8</v>
      </c>
      <c r="O97" s="323">
        <f>SUM(L97:N97)/6</f>
        <v>4.333333333333333</v>
      </c>
      <c r="P97" s="122">
        <f>O97*4</f>
        <v>17.333333333333332</v>
      </c>
      <c r="Q97" s="58"/>
      <c r="R97" s="120">
        <f>R95</f>
        <v>10</v>
      </c>
      <c r="S97" s="120">
        <f>S95</f>
        <v>8</v>
      </c>
      <c r="T97" s="121"/>
      <c r="U97" s="323">
        <f>SUM(R97:T97)/6</f>
        <v>3</v>
      </c>
      <c r="V97" s="122">
        <f>U97*4</f>
        <v>12</v>
      </c>
      <c r="W97" s="58"/>
      <c r="X97" s="322">
        <f t="shared" si="20"/>
        <v>13</v>
      </c>
      <c r="Y97" s="36"/>
      <c r="Z97" s="36"/>
      <c r="AA97" s="105"/>
      <c r="AB97" s="36"/>
    </row>
    <row r="98" spans="3:28" ht="15" hidden="1" thickBot="1">
      <c r="C98" s="106"/>
      <c r="D98" s="107"/>
      <c r="E98" s="108" t="s">
        <v>403</v>
      </c>
      <c r="F98" s="117">
        <f t="shared" ref="F98:H99" si="25">F94</f>
        <v>11</v>
      </c>
      <c r="G98" s="118">
        <f t="shared" si="25"/>
        <v>9</v>
      </c>
      <c r="H98" s="285">
        <f t="shared" si="25"/>
        <v>7</v>
      </c>
      <c r="I98" s="319">
        <f t="shared" si="21"/>
        <v>27</v>
      </c>
      <c r="J98" s="89"/>
      <c r="K98" s="89"/>
      <c r="L98" s="118">
        <f t="shared" ref="L98:N99" si="26">L94</f>
        <v>7</v>
      </c>
      <c r="M98" s="118">
        <f t="shared" si="26"/>
        <v>7</v>
      </c>
      <c r="N98" s="285">
        <f t="shared" si="26"/>
        <v>7</v>
      </c>
      <c r="O98" s="319">
        <f t="shared" si="22"/>
        <v>21</v>
      </c>
      <c r="P98" s="89"/>
      <c r="Q98" s="89"/>
      <c r="R98" s="118">
        <f>R94</f>
        <v>7</v>
      </c>
      <c r="S98" s="118">
        <f>S94</f>
        <v>7</v>
      </c>
      <c r="T98" s="285"/>
      <c r="U98" s="319">
        <f>SUM(R98:T98)</f>
        <v>14</v>
      </c>
      <c r="V98" s="89"/>
      <c r="W98" s="89"/>
      <c r="X98" s="320">
        <f t="shared" si="20"/>
        <v>62</v>
      </c>
      <c r="Y98" s="36"/>
      <c r="Z98" s="36"/>
      <c r="AA98" s="105"/>
      <c r="AB98" s="36"/>
    </row>
    <row r="99" spans="3:28" ht="15" hidden="1" thickBot="1">
      <c r="C99" s="60"/>
      <c r="D99" s="112"/>
      <c r="E99" s="113" t="s">
        <v>404</v>
      </c>
      <c r="F99" s="119">
        <f t="shared" si="25"/>
        <v>15</v>
      </c>
      <c r="G99" s="119">
        <f t="shared" si="25"/>
        <v>11</v>
      </c>
      <c r="H99" s="123">
        <f t="shared" si="25"/>
        <v>8</v>
      </c>
      <c r="I99" s="321">
        <f t="shared" si="21"/>
        <v>34</v>
      </c>
      <c r="J99" s="58">
        <f>I99*2</f>
        <v>68</v>
      </c>
      <c r="K99" s="58"/>
      <c r="L99" s="120">
        <f t="shared" si="26"/>
        <v>10</v>
      </c>
      <c r="M99" s="120">
        <f t="shared" si="26"/>
        <v>8</v>
      </c>
      <c r="N99" s="121">
        <f t="shared" si="26"/>
        <v>8</v>
      </c>
      <c r="O99" s="321">
        <f t="shared" si="22"/>
        <v>26</v>
      </c>
      <c r="P99" s="58">
        <f>O99*2</f>
        <v>52</v>
      </c>
      <c r="Q99" s="58"/>
      <c r="R99" s="120">
        <f>R95</f>
        <v>10</v>
      </c>
      <c r="S99" s="120">
        <f>S95</f>
        <v>8</v>
      </c>
      <c r="T99" s="121"/>
      <c r="U99" s="321">
        <f>SUM(R99:T99)</f>
        <v>18</v>
      </c>
      <c r="V99" s="58">
        <f>U99*2</f>
        <v>36</v>
      </c>
      <c r="W99" s="58"/>
      <c r="X99" s="322">
        <f t="shared" si="20"/>
        <v>78</v>
      </c>
      <c r="Y99" s="36"/>
      <c r="Z99" s="36"/>
      <c r="AA99" s="105"/>
      <c r="AB99" s="36"/>
    </row>
    <row r="100" spans="3:28" ht="15" hidden="1" thickBot="1">
      <c r="C100" s="106"/>
      <c r="D100" s="107"/>
      <c r="E100" s="108" t="s">
        <v>405</v>
      </c>
      <c r="F100" s="117">
        <f>F94</f>
        <v>11</v>
      </c>
      <c r="G100" s="117">
        <f>G94</f>
        <v>9</v>
      </c>
      <c r="H100" s="284">
        <f>H94</f>
        <v>7</v>
      </c>
      <c r="I100" s="319">
        <f t="shared" si="21"/>
        <v>27</v>
      </c>
      <c r="J100" s="89"/>
      <c r="K100" s="89"/>
      <c r="L100" s="118">
        <f>L94</f>
        <v>7</v>
      </c>
      <c r="M100" s="118">
        <f>M94</f>
        <v>7</v>
      </c>
      <c r="N100" s="285">
        <f>N94</f>
        <v>7</v>
      </c>
      <c r="O100" s="319">
        <f t="shared" si="22"/>
        <v>21</v>
      </c>
      <c r="P100" s="89"/>
      <c r="Q100" s="89"/>
      <c r="R100" s="118">
        <f>R94</f>
        <v>7</v>
      </c>
      <c r="S100" s="118">
        <f>S94</f>
        <v>7</v>
      </c>
      <c r="T100" s="285"/>
      <c r="U100" s="319">
        <f>SUM(R100:T100)</f>
        <v>14</v>
      </c>
      <c r="V100" s="89"/>
      <c r="W100" s="89"/>
      <c r="X100" s="320">
        <f t="shared" si="20"/>
        <v>62</v>
      </c>
      <c r="Y100" s="36"/>
      <c r="Z100" s="36"/>
      <c r="AA100" s="105"/>
      <c r="AB100" s="36"/>
    </row>
    <row r="101" spans="3:28" ht="15" hidden="1" thickBot="1">
      <c r="C101" s="60"/>
      <c r="D101" s="112"/>
      <c r="E101" s="113" t="s">
        <v>406</v>
      </c>
      <c r="F101" s="119">
        <f>F94</f>
        <v>11</v>
      </c>
      <c r="G101" s="119">
        <f>G94</f>
        <v>9</v>
      </c>
      <c r="H101" s="123">
        <f>H94</f>
        <v>7</v>
      </c>
      <c r="I101" s="321">
        <f t="shared" si="21"/>
        <v>27</v>
      </c>
      <c r="J101" s="58">
        <f>I101*2</f>
        <v>54</v>
      </c>
      <c r="K101" s="58"/>
      <c r="L101" s="120">
        <f>L97</f>
        <v>10</v>
      </c>
      <c r="M101" s="120">
        <f>M97</f>
        <v>8</v>
      </c>
      <c r="N101" s="121">
        <f>N97</f>
        <v>8</v>
      </c>
      <c r="O101" s="321">
        <f t="shared" si="22"/>
        <v>26</v>
      </c>
      <c r="P101" s="58">
        <f>O101*2</f>
        <v>52</v>
      </c>
      <c r="Q101" s="58"/>
      <c r="R101" s="120">
        <f>R97</f>
        <v>10</v>
      </c>
      <c r="S101" s="120">
        <f>S97</f>
        <v>8</v>
      </c>
      <c r="T101" s="121"/>
      <c r="U101" s="321">
        <f>SUM(R101:T101)</f>
        <v>18</v>
      </c>
      <c r="V101" s="58">
        <f>U101*2</f>
        <v>36</v>
      </c>
      <c r="W101" s="58"/>
      <c r="X101" s="322">
        <f t="shared" si="20"/>
        <v>71</v>
      </c>
      <c r="Y101" s="36"/>
      <c r="Z101" s="36"/>
      <c r="AA101" s="105"/>
      <c r="AB101" s="36"/>
    </row>
    <row r="102" spans="3:28" ht="15" hidden="1" thickBot="1">
      <c r="C102" s="106"/>
      <c r="D102" s="107"/>
      <c r="E102" s="108" t="s">
        <v>407</v>
      </c>
      <c r="F102" s="411">
        <v>6</v>
      </c>
      <c r="G102" s="411"/>
      <c r="H102" s="411"/>
      <c r="I102" s="319">
        <f t="shared" si="21"/>
        <v>6</v>
      </c>
      <c r="J102" s="89">
        <f>I102*2</f>
        <v>12</v>
      </c>
      <c r="K102" s="89"/>
      <c r="L102" s="412">
        <v>6</v>
      </c>
      <c r="M102" s="411"/>
      <c r="N102" s="411"/>
      <c r="O102" s="319">
        <f t="shared" si="22"/>
        <v>6</v>
      </c>
      <c r="P102" s="89">
        <f>O102*2</f>
        <v>12</v>
      </c>
      <c r="Q102" s="89"/>
      <c r="R102" s="412">
        <v>6</v>
      </c>
      <c r="S102" s="411"/>
      <c r="T102" s="154"/>
      <c r="U102" s="319">
        <f>SUM(R102:T102)</f>
        <v>6</v>
      </c>
      <c r="V102" s="89">
        <f>U102*2</f>
        <v>12</v>
      </c>
      <c r="W102" s="89"/>
      <c r="X102" s="320">
        <f t="shared" si="20"/>
        <v>18</v>
      </c>
      <c r="Y102" s="36"/>
      <c r="Z102" s="36"/>
      <c r="AA102" s="105"/>
      <c r="AB102" s="36"/>
    </row>
    <row r="103" spans="3:28" ht="15" hidden="1" thickBot="1">
      <c r="C103" s="124"/>
      <c r="D103" s="125"/>
      <c r="E103" s="126" t="s">
        <v>408</v>
      </c>
      <c r="F103" s="432">
        <f>I95/6</f>
        <v>5.666666666666667</v>
      </c>
      <c r="G103" s="433"/>
      <c r="H103" s="433"/>
      <c r="I103" s="324">
        <f>F103</f>
        <v>5.666666666666667</v>
      </c>
      <c r="J103" s="58"/>
      <c r="K103" s="58">
        <f>ROUNDUP((F103*($D$55+$D$56)/1.25)*2+F103*4,0)</f>
        <v>103</v>
      </c>
      <c r="L103" s="432">
        <f>O95/6</f>
        <v>4.333333333333333</v>
      </c>
      <c r="M103" s="433"/>
      <c r="N103" s="433"/>
      <c r="O103" s="324">
        <f>L103</f>
        <v>4.333333333333333</v>
      </c>
      <c r="P103" s="58"/>
      <c r="Q103" s="58">
        <f>ROUNDUP((L103*($D$55+$D$56)/1.25)*2+L103*4,0)</f>
        <v>79</v>
      </c>
      <c r="R103" s="432">
        <f>U95/6</f>
        <v>3</v>
      </c>
      <c r="S103" s="452"/>
      <c r="T103" s="155"/>
      <c r="U103" s="324">
        <f>R103</f>
        <v>3</v>
      </c>
      <c r="V103" s="58"/>
      <c r="W103" s="58">
        <f>ROUNDUP((R103*($D$55+$D$56)/1.25)*2+R103*4,0)</f>
        <v>55</v>
      </c>
      <c r="X103" s="334">
        <f t="shared" si="20"/>
        <v>13</v>
      </c>
      <c r="Y103" s="36"/>
      <c r="Z103" s="36"/>
      <c r="AA103" s="105"/>
      <c r="AB103" s="36"/>
    </row>
    <row r="104" spans="3:28" hidden="1">
      <c r="C104" s="60"/>
      <c r="D104" s="112"/>
      <c r="E104" s="112"/>
      <c r="F104" s="289"/>
      <c r="G104" s="289"/>
      <c r="H104" s="289"/>
      <c r="I104" s="289"/>
      <c r="J104" s="58"/>
      <c r="K104" s="58"/>
      <c r="L104" s="289"/>
      <c r="M104" s="289"/>
      <c r="N104" s="289"/>
      <c r="O104" s="289"/>
      <c r="P104" s="58"/>
      <c r="Q104" s="58"/>
      <c r="R104" s="289"/>
      <c r="S104" s="289"/>
      <c r="T104" s="289"/>
      <c r="U104" s="289"/>
      <c r="V104" s="58"/>
      <c r="W104" s="58"/>
      <c r="X104" s="289"/>
      <c r="Y104" s="36"/>
      <c r="Z104" s="36"/>
      <c r="AA104" s="105"/>
      <c r="AB104" s="36"/>
    </row>
    <row r="105" spans="3:28" ht="15" hidden="1" thickBot="1">
      <c r="C105" s="97" t="s">
        <v>409</v>
      </c>
      <c r="D105" s="98"/>
      <c r="E105" s="99" t="s">
        <v>398</v>
      </c>
      <c r="F105" s="100">
        <v>44</v>
      </c>
      <c r="G105" s="101">
        <v>36</v>
      </c>
      <c r="H105" s="102">
        <v>28</v>
      </c>
      <c r="I105" s="103">
        <f>SUM(F105:H105)</f>
        <v>108</v>
      </c>
      <c r="J105" s="58"/>
      <c r="K105" s="58"/>
      <c r="L105" s="101">
        <v>28</v>
      </c>
      <c r="M105" s="101">
        <v>28</v>
      </c>
      <c r="N105" s="102">
        <v>28</v>
      </c>
      <c r="O105" s="103">
        <f>SUM(L105:N105)</f>
        <v>84</v>
      </c>
      <c r="P105" s="58"/>
      <c r="Q105" s="58"/>
      <c r="R105" s="101">
        <v>28</v>
      </c>
      <c r="S105" s="101">
        <v>28</v>
      </c>
      <c r="T105" s="102"/>
      <c r="U105" s="103">
        <f>SUM(R105:T105)</f>
        <v>56</v>
      </c>
      <c r="V105" s="58"/>
      <c r="W105" s="58"/>
      <c r="X105" s="104">
        <f t="shared" ref="X105:X115" si="27">SUM(I105,O105,U105)</f>
        <v>248</v>
      </c>
      <c r="Y105" s="36"/>
      <c r="Z105" s="36"/>
      <c r="AA105" s="105"/>
      <c r="AB105" s="36"/>
    </row>
    <row r="106" spans="3:28" ht="15" hidden="1" thickBot="1">
      <c r="C106" s="106"/>
      <c r="D106" s="107"/>
      <c r="E106" s="108" t="s">
        <v>399</v>
      </c>
      <c r="F106" s="109">
        <v>11</v>
      </c>
      <c r="G106" s="110">
        <v>9</v>
      </c>
      <c r="H106" s="111">
        <v>7</v>
      </c>
      <c r="I106" s="319">
        <f t="shared" ref="I106:I114" si="28">SUM(F106:H106)</f>
        <v>27</v>
      </c>
      <c r="J106" s="89"/>
      <c r="K106" s="89">
        <f>I106*5</f>
        <v>135</v>
      </c>
      <c r="L106" s="110">
        <v>7</v>
      </c>
      <c r="M106" s="110">
        <v>7</v>
      </c>
      <c r="N106" s="111">
        <v>7</v>
      </c>
      <c r="O106" s="319">
        <f t="shared" ref="O106:O114" si="29">SUM(L106:N106)</f>
        <v>21</v>
      </c>
      <c r="P106" s="89"/>
      <c r="Q106" s="89">
        <f>O106*5</f>
        <v>105</v>
      </c>
      <c r="R106" s="110">
        <v>7</v>
      </c>
      <c r="S106" s="110">
        <v>7</v>
      </c>
      <c r="T106" s="111"/>
      <c r="U106" s="319">
        <f t="shared" ref="U106:U114" si="30">SUM(R106:T106)</f>
        <v>14</v>
      </c>
      <c r="V106" s="89"/>
      <c r="W106" s="89">
        <f>U106*5</f>
        <v>70</v>
      </c>
      <c r="X106" s="320">
        <f t="shared" si="27"/>
        <v>62</v>
      </c>
      <c r="Y106" s="36"/>
      <c r="Z106" s="36"/>
      <c r="AA106" s="105"/>
      <c r="AB106" s="36"/>
    </row>
    <row r="107" spans="3:28" ht="15" hidden="1" thickBot="1">
      <c r="C107" s="60"/>
      <c r="D107" s="112"/>
      <c r="E107" s="113" t="s">
        <v>400</v>
      </c>
      <c r="F107" s="114">
        <v>15</v>
      </c>
      <c r="G107" s="115">
        <v>11</v>
      </c>
      <c r="H107" s="116">
        <v>8</v>
      </c>
      <c r="I107" s="321">
        <f t="shared" si="28"/>
        <v>34</v>
      </c>
      <c r="J107" s="58"/>
      <c r="K107" s="58"/>
      <c r="L107" s="115">
        <v>10</v>
      </c>
      <c r="M107" s="115">
        <v>8</v>
      </c>
      <c r="N107" s="116">
        <v>8</v>
      </c>
      <c r="O107" s="321">
        <f t="shared" si="29"/>
        <v>26</v>
      </c>
      <c r="P107" s="58"/>
      <c r="Q107" s="58"/>
      <c r="R107" s="115">
        <v>10</v>
      </c>
      <c r="S107" s="115">
        <v>8</v>
      </c>
      <c r="T107" s="116"/>
      <c r="U107" s="321">
        <f t="shared" si="30"/>
        <v>18</v>
      </c>
      <c r="V107" s="58"/>
      <c r="W107" s="58"/>
      <c r="X107" s="322">
        <f t="shared" si="27"/>
        <v>78</v>
      </c>
      <c r="Y107" s="36"/>
      <c r="Z107" s="36"/>
      <c r="AA107" s="105"/>
      <c r="AB107" s="36"/>
    </row>
    <row r="108" spans="3:28" ht="15" hidden="1" thickBot="1">
      <c r="C108" s="106"/>
      <c r="D108" s="107"/>
      <c r="E108" s="108" t="s">
        <v>401</v>
      </c>
      <c r="F108" s="117">
        <f t="shared" ref="F108:H109" si="31">F106</f>
        <v>11</v>
      </c>
      <c r="G108" s="118">
        <f t="shared" si="31"/>
        <v>9</v>
      </c>
      <c r="H108" s="285">
        <f t="shared" si="31"/>
        <v>7</v>
      </c>
      <c r="I108" s="319">
        <f t="shared" si="28"/>
        <v>27</v>
      </c>
      <c r="J108" s="89">
        <f>I108*4</f>
        <v>108</v>
      </c>
      <c r="K108" s="89"/>
      <c r="L108" s="118">
        <f t="shared" ref="L108:N109" si="32">L106</f>
        <v>7</v>
      </c>
      <c r="M108" s="118">
        <f t="shared" si="32"/>
        <v>7</v>
      </c>
      <c r="N108" s="285">
        <f t="shared" si="32"/>
        <v>7</v>
      </c>
      <c r="O108" s="319">
        <f t="shared" si="29"/>
        <v>21</v>
      </c>
      <c r="P108" s="89">
        <f>O108*4</f>
        <v>84</v>
      </c>
      <c r="Q108" s="89"/>
      <c r="R108" s="118">
        <f>R106</f>
        <v>7</v>
      </c>
      <c r="S108" s="118">
        <f>S106</f>
        <v>7</v>
      </c>
      <c r="T108" s="285"/>
      <c r="U108" s="319">
        <f t="shared" si="30"/>
        <v>14</v>
      </c>
      <c r="V108" s="89">
        <f>U108*4</f>
        <v>56</v>
      </c>
      <c r="W108" s="89"/>
      <c r="X108" s="320">
        <f t="shared" si="27"/>
        <v>62</v>
      </c>
      <c r="Y108" s="36"/>
      <c r="Z108" s="36"/>
      <c r="AA108" s="105"/>
      <c r="AB108" s="36"/>
    </row>
    <row r="109" spans="3:28" ht="15" hidden="1" thickBot="1">
      <c r="C109" s="60"/>
      <c r="D109" s="112"/>
      <c r="E109" s="113" t="s">
        <v>402</v>
      </c>
      <c r="F109" s="119">
        <f t="shared" si="31"/>
        <v>15</v>
      </c>
      <c r="G109" s="120">
        <f t="shared" si="31"/>
        <v>11</v>
      </c>
      <c r="H109" s="121">
        <f t="shared" si="31"/>
        <v>8</v>
      </c>
      <c r="I109" s="323">
        <f>SUM(F109:H109)/6</f>
        <v>5.666666666666667</v>
      </c>
      <c r="J109" s="122">
        <f>I109*4</f>
        <v>22.666666666666668</v>
      </c>
      <c r="K109" s="58"/>
      <c r="L109" s="120">
        <f t="shared" si="32"/>
        <v>10</v>
      </c>
      <c r="M109" s="120">
        <f t="shared" si="32"/>
        <v>8</v>
      </c>
      <c r="N109" s="121">
        <f t="shared" si="32"/>
        <v>8</v>
      </c>
      <c r="O109" s="323">
        <f>SUM(L109:N109)/6</f>
        <v>4.333333333333333</v>
      </c>
      <c r="P109" s="122">
        <f>O109*4</f>
        <v>17.333333333333332</v>
      </c>
      <c r="Q109" s="58"/>
      <c r="R109" s="120">
        <f>R107</f>
        <v>10</v>
      </c>
      <c r="S109" s="120">
        <f>S107</f>
        <v>8</v>
      </c>
      <c r="T109" s="121"/>
      <c r="U109" s="323">
        <f>SUM(R109:T109)/6</f>
        <v>3</v>
      </c>
      <c r="V109" s="122">
        <f>U109*4</f>
        <v>12</v>
      </c>
      <c r="W109" s="58"/>
      <c r="X109" s="322">
        <f t="shared" si="27"/>
        <v>13</v>
      </c>
      <c r="Y109" s="36"/>
      <c r="Z109" s="36"/>
      <c r="AA109" s="105"/>
      <c r="AB109" s="36"/>
    </row>
    <row r="110" spans="3:28" ht="15" hidden="1" thickBot="1">
      <c r="C110" s="106"/>
      <c r="D110" s="107"/>
      <c r="E110" s="108" t="s">
        <v>403</v>
      </c>
      <c r="F110" s="117">
        <f t="shared" ref="F110:H111" si="33">F106</f>
        <v>11</v>
      </c>
      <c r="G110" s="118">
        <f t="shared" si="33"/>
        <v>9</v>
      </c>
      <c r="H110" s="285">
        <f t="shared" si="33"/>
        <v>7</v>
      </c>
      <c r="I110" s="319">
        <f t="shared" si="28"/>
        <v>27</v>
      </c>
      <c r="J110" s="89"/>
      <c r="K110" s="89"/>
      <c r="L110" s="118">
        <f t="shared" ref="L110:N111" si="34">L106</f>
        <v>7</v>
      </c>
      <c r="M110" s="118">
        <f t="shared" si="34"/>
        <v>7</v>
      </c>
      <c r="N110" s="285">
        <f t="shared" si="34"/>
        <v>7</v>
      </c>
      <c r="O110" s="319">
        <f t="shared" si="29"/>
        <v>21</v>
      </c>
      <c r="P110" s="89"/>
      <c r="Q110" s="89"/>
      <c r="R110" s="118">
        <f>R106</f>
        <v>7</v>
      </c>
      <c r="S110" s="118">
        <f>S106</f>
        <v>7</v>
      </c>
      <c r="T110" s="285"/>
      <c r="U110" s="319">
        <f t="shared" si="30"/>
        <v>14</v>
      </c>
      <c r="V110" s="89"/>
      <c r="W110" s="89"/>
      <c r="X110" s="320">
        <f t="shared" si="27"/>
        <v>62</v>
      </c>
      <c r="Y110" s="36"/>
      <c r="Z110" s="36"/>
      <c r="AA110" s="105"/>
      <c r="AB110" s="36"/>
    </row>
    <row r="111" spans="3:28" ht="15" hidden="1" thickBot="1">
      <c r="C111" s="60"/>
      <c r="D111" s="112"/>
      <c r="E111" s="113" t="s">
        <v>404</v>
      </c>
      <c r="F111" s="119">
        <f t="shared" si="33"/>
        <v>15</v>
      </c>
      <c r="G111" s="119">
        <f t="shared" si="33"/>
        <v>11</v>
      </c>
      <c r="H111" s="123">
        <f t="shared" si="33"/>
        <v>8</v>
      </c>
      <c r="I111" s="321">
        <f t="shared" si="28"/>
        <v>34</v>
      </c>
      <c r="J111" s="58">
        <f>I111*2</f>
        <v>68</v>
      </c>
      <c r="K111" s="58"/>
      <c r="L111" s="120">
        <f t="shared" si="34"/>
        <v>10</v>
      </c>
      <c r="M111" s="120">
        <f t="shared" si="34"/>
        <v>8</v>
      </c>
      <c r="N111" s="121">
        <f t="shared" si="34"/>
        <v>8</v>
      </c>
      <c r="O111" s="321">
        <f t="shared" si="29"/>
        <v>26</v>
      </c>
      <c r="P111" s="58">
        <f>O111*2</f>
        <v>52</v>
      </c>
      <c r="Q111" s="58"/>
      <c r="R111" s="120">
        <f>R107</f>
        <v>10</v>
      </c>
      <c r="S111" s="120">
        <f>S107</f>
        <v>8</v>
      </c>
      <c r="T111" s="121"/>
      <c r="U111" s="321">
        <f t="shared" si="30"/>
        <v>18</v>
      </c>
      <c r="V111" s="58">
        <f>U111*2</f>
        <v>36</v>
      </c>
      <c r="W111" s="58"/>
      <c r="X111" s="322">
        <f t="shared" si="27"/>
        <v>78</v>
      </c>
      <c r="Y111" s="36"/>
      <c r="Z111" s="36"/>
      <c r="AA111" s="105"/>
      <c r="AB111" s="36"/>
    </row>
    <row r="112" spans="3:28" ht="15" hidden="1" thickBot="1">
      <c r="C112" s="106"/>
      <c r="D112" s="107"/>
      <c r="E112" s="108" t="s">
        <v>405</v>
      </c>
      <c r="F112" s="117">
        <f>F106</f>
        <v>11</v>
      </c>
      <c r="G112" s="117">
        <f>G106</f>
        <v>9</v>
      </c>
      <c r="H112" s="284">
        <f>H106</f>
        <v>7</v>
      </c>
      <c r="I112" s="319">
        <f t="shared" si="28"/>
        <v>27</v>
      </c>
      <c r="J112" s="89"/>
      <c r="K112" s="89"/>
      <c r="L112" s="118">
        <f>L106</f>
        <v>7</v>
      </c>
      <c r="M112" s="118">
        <f>M106</f>
        <v>7</v>
      </c>
      <c r="N112" s="285">
        <f>N106</f>
        <v>7</v>
      </c>
      <c r="O112" s="319">
        <f t="shared" si="29"/>
        <v>21</v>
      </c>
      <c r="P112" s="89"/>
      <c r="Q112" s="89"/>
      <c r="R112" s="118">
        <f>R106</f>
        <v>7</v>
      </c>
      <c r="S112" s="118">
        <f>S106</f>
        <v>7</v>
      </c>
      <c r="T112" s="285"/>
      <c r="U112" s="319">
        <f t="shared" si="30"/>
        <v>14</v>
      </c>
      <c r="V112" s="89"/>
      <c r="W112" s="89"/>
      <c r="X112" s="320">
        <f t="shared" si="27"/>
        <v>62</v>
      </c>
      <c r="Y112" s="36"/>
      <c r="Z112" s="36"/>
      <c r="AA112" s="105"/>
      <c r="AB112" s="36"/>
    </row>
    <row r="113" spans="3:31" ht="15" hidden="1" thickBot="1">
      <c r="C113" s="60"/>
      <c r="D113" s="112"/>
      <c r="E113" s="113" t="s">
        <v>406</v>
      </c>
      <c r="F113" s="119">
        <f>F106</f>
        <v>11</v>
      </c>
      <c r="G113" s="119">
        <f>G106</f>
        <v>9</v>
      </c>
      <c r="H113" s="123">
        <f>H106</f>
        <v>7</v>
      </c>
      <c r="I113" s="321">
        <f t="shared" si="28"/>
        <v>27</v>
      </c>
      <c r="J113" s="58">
        <f>I113*2</f>
        <v>54</v>
      </c>
      <c r="K113" s="58"/>
      <c r="L113" s="120">
        <f>L109</f>
        <v>10</v>
      </c>
      <c r="M113" s="120">
        <f>M109</f>
        <v>8</v>
      </c>
      <c r="N113" s="121">
        <f>N109</f>
        <v>8</v>
      </c>
      <c r="O113" s="321">
        <f t="shared" si="29"/>
        <v>26</v>
      </c>
      <c r="P113" s="58">
        <f>O113*2</f>
        <v>52</v>
      </c>
      <c r="Q113" s="58"/>
      <c r="R113" s="120">
        <f>R109</f>
        <v>10</v>
      </c>
      <c r="S113" s="120">
        <f>S109</f>
        <v>8</v>
      </c>
      <c r="T113" s="121"/>
      <c r="U113" s="321">
        <f t="shared" si="30"/>
        <v>18</v>
      </c>
      <c r="V113" s="58">
        <f>U113*2</f>
        <v>36</v>
      </c>
      <c r="W113" s="58"/>
      <c r="X113" s="322">
        <f t="shared" si="27"/>
        <v>71</v>
      </c>
      <c r="Y113" s="36"/>
      <c r="Z113" s="36"/>
      <c r="AA113" s="105"/>
      <c r="AB113" s="36"/>
    </row>
    <row r="114" spans="3:31" ht="15" hidden="1" thickBot="1">
      <c r="C114" s="127"/>
      <c r="D114" s="128"/>
      <c r="E114" s="129" t="s">
        <v>407</v>
      </c>
      <c r="F114" s="411">
        <v>6</v>
      </c>
      <c r="G114" s="411"/>
      <c r="H114" s="411"/>
      <c r="I114" s="319">
        <f t="shared" si="28"/>
        <v>6</v>
      </c>
      <c r="J114" s="89">
        <f>I114*2</f>
        <v>12</v>
      </c>
      <c r="K114" s="89"/>
      <c r="L114" s="412">
        <v>6</v>
      </c>
      <c r="M114" s="411"/>
      <c r="N114" s="411"/>
      <c r="O114" s="319">
        <f t="shared" si="29"/>
        <v>6</v>
      </c>
      <c r="P114" s="89">
        <f>O114*2</f>
        <v>12</v>
      </c>
      <c r="Q114" s="89"/>
      <c r="R114" s="412">
        <v>6</v>
      </c>
      <c r="S114" s="411"/>
      <c r="T114" s="154"/>
      <c r="U114" s="319">
        <f t="shared" si="30"/>
        <v>6</v>
      </c>
      <c r="V114" s="89">
        <f>U114*2</f>
        <v>12</v>
      </c>
      <c r="W114" s="89"/>
      <c r="X114" s="320">
        <f t="shared" si="27"/>
        <v>18</v>
      </c>
      <c r="Y114" s="36"/>
      <c r="Z114" s="36"/>
      <c r="AA114" s="105"/>
      <c r="AB114" s="36"/>
    </row>
    <row r="115" spans="3:31" ht="15" hidden="1" thickBot="1">
      <c r="C115" s="124"/>
      <c r="D115" s="125"/>
      <c r="E115" s="126" t="s">
        <v>408</v>
      </c>
      <c r="F115" s="432">
        <f>I107/6</f>
        <v>5.666666666666667</v>
      </c>
      <c r="G115" s="433"/>
      <c r="H115" s="433"/>
      <c r="I115" s="324">
        <f>F115</f>
        <v>5.666666666666667</v>
      </c>
      <c r="J115" s="58"/>
      <c r="K115" s="58">
        <f>ROUNDUP((F115*($D$55+$D$56)/1.25)*2+F115*4,0)</f>
        <v>103</v>
      </c>
      <c r="L115" s="432">
        <f>O107/6</f>
        <v>4.333333333333333</v>
      </c>
      <c r="M115" s="433"/>
      <c r="N115" s="433"/>
      <c r="O115" s="324">
        <f>L115</f>
        <v>4.333333333333333</v>
      </c>
      <c r="P115" s="58"/>
      <c r="Q115" s="58">
        <f>ROUNDUP((L115*($D$55+$D$56)/1.25)*2+L115*4,0)</f>
        <v>79</v>
      </c>
      <c r="R115" s="432">
        <f>U107/6</f>
        <v>3</v>
      </c>
      <c r="S115" s="452"/>
      <c r="T115" s="155"/>
      <c r="U115" s="324">
        <f>R115</f>
        <v>3</v>
      </c>
      <c r="V115" s="58"/>
      <c r="W115" s="58">
        <f>ROUNDUP((R115*($D$55+$D$56)/1.25)*2+R115*4,0)</f>
        <v>55</v>
      </c>
      <c r="X115" s="334">
        <f t="shared" si="27"/>
        <v>13</v>
      </c>
      <c r="Y115" s="36"/>
      <c r="Z115" s="36"/>
      <c r="AA115" s="105"/>
      <c r="AB115" s="36"/>
    </row>
    <row r="116" spans="3:31" hidden="1">
      <c r="C116" s="130"/>
      <c r="D116" s="112"/>
      <c r="E116" s="112"/>
      <c r="F116" s="131"/>
      <c r="G116" s="131"/>
      <c r="H116" s="131"/>
      <c r="I116" s="132" t="s">
        <v>410</v>
      </c>
      <c r="J116" s="132">
        <f>SUM(J93:J114)</f>
        <v>529.33333333333326</v>
      </c>
      <c r="K116" s="132">
        <f>SUM(K93:K115)</f>
        <v>476</v>
      </c>
      <c r="L116" s="131"/>
      <c r="M116" s="131"/>
      <c r="N116" s="131"/>
      <c r="O116" s="132" t="s">
        <v>410</v>
      </c>
      <c r="P116" s="132">
        <f>SUM(P93:P114)</f>
        <v>434.66666666666663</v>
      </c>
      <c r="Q116" s="132">
        <f>SUM(Q93:Q114)</f>
        <v>289</v>
      </c>
      <c r="R116" s="131"/>
      <c r="S116" s="131"/>
      <c r="T116" s="131"/>
      <c r="U116" s="132" t="s">
        <v>410</v>
      </c>
      <c r="V116" s="132">
        <f>SUM(V93:V114)</f>
        <v>304</v>
      </c>
      <c r="W116" s="132">
        <f>SUM(W93:W114)</f>
        <v>195</v>
      </c>
      <c r="X116" s="59"/>
      <c r="Y116" s="36"/>
      <c r="Z116" s="36"/>
      <c r="AA116" s="105"/>
      <c r="AB116" s="36"/>
    </row>
    <row r="117" spans="3:31" ht="35.4" hidden="1" customHeight="1">
      <c r="C117" s="434" t="s">
        <v>411</v>
      </c>
      <c r="D117" s="435"/>
      <c r="E117" s="435"/>
      <c r="F117" s="436">
        <f>(F103+F115)*($D$56*1.5+ $D$55*2.5)</f>
        <v>163.642</v>
      </c>
      <c r="G117" s="436"/>
      <c r="H117" s="436"/>
      <c r="I117" s="133" t="s">
        <v>412</v>
      </c>
      <c r="J117" s="58"/>
      <c r="K117" s="134"/>
      <c r="L117" s="436">
        <f>(L103+L115)*($D$56*1.5+ $D$55*2.5)</f>
        <v>125.13799999999999</v>
      </c>
      <c r="M117" s="436"/>
      <c r="N117" s="436"/>
      <c r="O117" s="133" t="s">
        <v>412</v>
      </c>
      <c r="P117" s="58"/>
      <c r="Q117" s="134"/>
      <c r="R117" s="436">
        <f>(R103+R115)*($D$56*1.5+ $D$55*2.5)</f>
        <v>86.634</v>
      </c>
      <c r="S117" s="436"/>
      <c r="T117" s="436"/>
      <c r="U117" s="133" t="s">
        <v>412</v>
      </c>
      <c r="V117" s="58"/>
      <c r="W117" s="134"/>
      <c r="X117" s="290">
        <f>SUM(F117,L117,R117)</f>
        <v>375.41399999999999</v>
      </c>
      <c r="Y117" s="133" t="s">
        <v>412</v>
      </c>
      <c r="Z117" s="36"/>
      <c r="AA117" s="105"/>
      <c r="AB117" s="36"/>
    </row>
    <row r="118" spans="3:31" ht="36" hidden="1" customHeight="1">
      <c r="C118" s="434" t="s">
        <v>413</v>
      </c>
      <c r="D118" s="435"/>
      <c r="E118" s="435"/>
      <c r="F118" s="436">
        <f>(9)*($D$58*1.2+$D$59*1.5+$D$60*2.5)</f>
        <v>39.4803</v>
      </c>
      <c r="G118" s="436"/>
      <c r="H118" s="436"/>
      <c r="I118" s="133" t="s">
        <v>412</v>
      </c>
      <c r="J118" s="289"/>
      <c r="K118" s="36"/>
      <c r="L118" s="436">
        <f>(6)*($D$58*1.2+$D$59*1.5+$D$60*2.5)</f>
        <v>26.3202</v>
      </c>
      <c r="M118" s="436"/>
      <c r="N118" s="436"/>
      <c r="O118" s="133" t="s">
        <v>412</v>
      </c>
      <c r="P118" s="289"/>
      <c r="Q118" s="36"/>
      <c r="R118" s="436">
        <f>(6)*($D$58*1.2+$D$59*1.5+$D$60*2.5)</f>
        <v>26.3202</v>
      </c>
      <c r="S118" s="436"/>
      <c r="T118" s="436"/>
      <c r="U118" s="133" t="s">
        <v>412</v>
      </c>
      <c r="V118" s="289"/>
      <c r="W118" s="36"/>
      <c r="X118" s="290">
        <f>SUM(F118,L118,R118)</f>
        <v>92.120699999999999</v>
      </c>
      <c r="Y118" s="133" t="s">
        <v>412</v>
      </c>
      <c r="Z118" s="36"/>
      <c r="AA118" s="105"/>
      <c r="AB118" s="36"/>
    </row>
    <row r="119" spans="3:31" ht="22.35" hidden="1" customHeight="1">
      <c r="C119" s="60"/>
      <c r="D119" s="112"/>
      <c r="E119" s="61"/>
      <c r="F119" s="56"/>
      <c r="G119" s="56"/>
      <c r="H119" s="56"/>
      <c r="I119" s="135"/>
      <c r="J119" s="289"/>
      <c r="K119" s="36"/>
      <c r="L119" s="56"/>
      <c r="M119" s="56"/>
      <c r="N119" s="56"/>
      <c r="O119" s="135"/>
      <c r="P119" s="289"/>
      <c r="Q119" s="36"/>
      <c r="R119" s="56"/>
      <c r="S119" s="56"/>
      <c r="T119" s="56"/>
      <c r="U119" s="133"/>
      <c r="V119" s="58"/>
      <c r="W119" s="136" t="s">
        <v>414</v>
      </c>
      <c r="X119" s="290">
        <f>SUM(X117:X118)</f>
        <v>467.53469999999999</v>
      </c>
      <c r="Y119" s="133" t="s">
        <v>412</v>
      </c>
      <c r="Z119" s="36"/>
      <c r="AA119" s="105"/>
      <c r="AB119" s="36"/>
    </row>
    <row r="120" spans="3:31" hidden="1">
      <c r="C120" s="60"/>
      <c r="D120" s="112"/>
      <c r="E120" s="112"/>
      <c r="F120" s="439"/>
      <c r="G120" s="440"/>
      <c r="H120" s="440"/>
      <c r="I120" s="289"/>
      <c r="J120" s="289"/>
      <c r="K120" s="36"/>
      <c r="L120" s="67" t="s">
        <v>415</v>
      </c>
      <c r="M120" s="289"/>
      <c r="N120" s="289"/>
      <c r="O120" s="289"/>
      <c r="P120" s="289"/>
      <c r="Q120" s="36"/>
      <c r="R120" s="439"/>
      <c r="S120" s="440"/>
      <c r="T120" s="440"/>
      <c r="U120" s="289"/>
      <c r="V120" s="289"/>
      <c r="W120" s="289"/>
      <c r="X120" s="135"/>
      <c r="Y120" s="289"/>
      <c r="Z120" s="36"/>
      <c r="AA120" s="105"/>
      <c r="AB120" s="36"/>
    </row>
    <row r="121" spans="3:31" hidden="1">
      <c r="C121" s="137" t="s">
        <v>416</v>
      </c>
      <c r="D121" s="112">
        <v>1.2</v>
      </c>
      <c r="E121" s="138" t="s">
        <v>417</v>
      </c>
      <c r="F121" s="437" t="s">
        <v>418</v>
      </c>
      <c r="G121" s="438"/>
      <c r="H121" s="438"/>
      <c r="I121" s="139" t="s">
        <v>419</v>
      </c>
      <c r="J121" s="289"/>
      <c r="K121" s="36"/>
      <c r="L121" s="439"/>
      <c r="M121" s="440"/>
      <c r="N121" s="440"/>
      <c r="O121" s="289"/>
      <c r="P121" s="289"/>
      <c r="Q121" s="36"/>
      <c r="R121" s="439"/>
      <c r="S121" s="440"/>
      <c r="T121" s="440"/>
      <c r="U121" s="289"/>
      <c r="V121" s="289"/>
      <c r="W121" s="289"/>
      <c r="X121" s="289"/>
      <c r="Y121" s="289"/>
      <c r="Z121" s="36"/>
      <c r="AA121" s="105"/>
      <c r="AB121" s="36"/>
    </row>
    <row r="122" spans="3:31" hidden="1">
      <c r="C122" s="137" t="s">
        <v>420</v>
      </c>
      <c r="D122" s="112">
        <v>7.6260000000000003</v>
      </c>
      <c r="E122" s="138" t="s">
        <v>417</v>
      </c>
      <c r="F122" s="439"/>
      <c r="G122" s="440"/>
      <c r="H122" s="440"/>
      <c r="I122" s="139" t="s">
        <v>421</v>
      </c>
      <c r="J122" s="289"/>
      <c r="K122" s="36"/>
      <c r="L122" s="439"/>
      <c r="M122" s="440"/>
      <c r="N122" s="440"/>
      <c r="O122" s="289"/>
      <c r="P122" s="289"/>
      <c r="Q122" s="36"/>
      <c r="R122" s="439"/>
      <c r="S122" s="440"/>
      <c r="T122" s="440"/>
      <c r="U122" s="289"/>
      <c r="V122" s="289"/>
      <c r="W122" s="289"/>
      <c r="X122" s="289"/>
      <c r="Y122" s="289"/>
      <c r="Z122" s="36"/>
      <c r="AA122" s="105"/>
      <c r="AB122" s="36"/>
    </row>
    <row r="123" spans="3:31" hidden="1">
      <c r="C123" s="60"/>
      <c r="D123" s="36"/>
      <c r="E123" s="36"/>
      <c r="F123" s="36"/>
      <c r="G123" s="36"/>
      <c r="H123" s="36"/>
      <c r="I123" s="140" t="s">
        <v>422</v>
      </c>
      <c r="J123" s="36"/>
      <c r="K123" s="36"/>
      <c r="L123" s="289"/>
      <c r="M123" s="289"/>
      <c r="N123" s="289"/>
      <c r="O123" s="36" t="s">
        <v>423</v>
      </c>
      <c r="P123" s="36"/>
      <c r="Q123" s="36"/>
      <c r="R123" s="289"/>
      <c r="S123" s="289"/>
      <c r="T123" s="289"/>
      <c r="U123" s="36" t="s">
        <v>423</v>
      </c>
      <c r="V123" s="36"/>
      <c r="W123" s="36"/>
      <c r="X123" s="141"/>
      <c r="Y123" s="141"/>
      <c r="Z123" s="36"/>
      <c r="AA123" s="105"/>
      <c r="AB123" s="36"/>
    </row>
    <row r="124" spans="3:31" hidden="1">
      <c r="C124" s="137" t="s">
        <v>424</v>
      </c>
      <c r="D124" s="36">
        <f>1.271</f>
        <v>1.2709999999999999</v>
      </c>
      <c r="E124" s="138" t="s">
        <v>425</v>
      </c>
      <c r="F124" s="36"/>
      <c r="G124" s="36"/>
      <c r="H124" s="36"/>
      <c r="I124" s="140"/>
      <c r="J124" s="36"/>
      <c r="K124" s="36"/>
      <c r="L124" s="289"/>
      <c r="M124" s="289"/>
      <c r="N124" s="289"/>
      <c r="O124" s="36"/>
      <c r="P124" s="36"/>
      <c r="Q124" s="36"/>
      <c r="R124" s="289"/>
      <c r="S124" s="289"/>
      <c r="T124" s="289"/>
      <c r="U124" s="36"/>
      <c r="V124" s="36"/>
      <c r="W124" s="36"/>
      <c r="X124" s="141"/>
      <c r="Y124" s="141"/>
      <c r="Z124" s="36"/>
      <c r="AA124" s="105"/>
      <c r="AB124" s="36"/>
    </row>
    <row r="125" spans="3:31" hidden="1">
      <c r="C125" s="137" t="s">
        <v>424</v>
      </c>
      <c r="D125" s="36">
        <f>1.491</f>
        <v>1.4910000000000001</v>
      </c>
      <c r="E125" s="138" t="s">
        <v>426</v>
      </c>
      <c r="F125" s="36"/>
      <c r="G125" s="36"/>
      <c r="H125" s="36"/>
      <c r="I125" s="140"/>
      <c r="J125" s="36"/>
      <c r="K125" s="36"/>
      <c r="L125" s="289"/>
      <c r="M125" s="289"/>
      <c r="N125" s="289"/>
      <c r="O125" s="36"/>
      <c r="P125" s="36"/>
      <c r="Q125" s="36"/>
      <c r="R125" s="289"/>
      <c r="S125" s="289"/>
      <c r="T125" s="289"/>
      <c r="U125" s="36"/>
      <c r="V125" s="36"/>
      <c r="W125" s="36"/>
      <c r="X125" s="141"/>
      <c r="Y125" s="141"/>
      <c r="Z125" s="36"/>
      <c r="AA125" s="105"/>
      <c r="AB125" s="36"/>
    </row>
    <row r="126" spans="3:31" hidden="1">
      <c r="C126" s="137" t="s">
        <v>427</v>
      </c>
      <c r="D126" s="36">
        <f>0.25</f>
        <v>0.25</v>
      </c>
      <c r="E126" s="156" t="s">
        <v>447</v>
      </c>
      <c r="F126" s="36"/>
      <c r="G126" s="36"/>
      <c r="H126" s="36"/>
      <c r="I126" s="140"/>
      <c r="J126" s="36"/>
      <c r="K126" s="36"/>
      <c r="L126" s="289"/>
      <c r="M126" s="289"/>
      <c r="N126" s="289"/>
      <c r="O126" s="36"/>
      <c r="P126" s="36"/>
      <c r="Q126" s="36"/>
      <c r="R126" s="289"/>
      <c r="S126" s="289"/>
      <c r="T126" s="289"/>
      <c r="U126" s="36"/>
      <c r="V126" s="36"/>
      <c r="W126" s="36"/>
      <c r="X126" s="141"/>
      <c r="Y126" s="141"/>
      <c r="Z126" s="36"/>
      <c r="AA126" s="105"/>
      <c r="AB126" s="36"/>
    </row>
    <row r="127" spans="3:31" hidden="1">
      <c r="C127" s="60"/>
      <c r="D127" s="36"/>
      <c r="E127" s="36"/>
      <c r="F127" s="36"/>
      <c r="G127" s="36"/>
      <c r="H127" s="36"/>
      <c r="I127" s="36"/>
      <c r="J127" s="36"/>
      <c r="K127" s="36"/>
      <c r="L127" s="289"/>
      <c r="M127" s="289"/>
      <c r="N127" s="289"/>
      <c r="O127" s="36"/>
      <c r="P127" s="36"/>
      <c r="Q127" s="36"/>
      <c r="R127" s="289"/>
      <c r="S127" s="289"/>
      <c r="T127" s="289"/>
      <c r="U127" s="36"/>
      <c r="V127" s="36"/>
      <c r="W127" s="36"/>
      <c r="X127" s="141"/>
      <c r="Y127" s="141"/>
      <c r="Z127" s="36"/>
      <c r="AA127" s="105"/>
      <c r="AC127" s="142"/>
      <c r="AE127" s="142" t="s">
        <v>429</v>
      </c>
    </row>
    <row r="128" spans="3:31" hidden="1">
      <c r="C128" s="60"/>
      <c r="D128" s="143" t="s">
        <v>430</v>
      </c>
      <c r="E128" s="140" t="s">
        <v>431</v>
      </c>
      <c r="F128" s="36"/>
      <c r="G128" s="36"/>
      <c r="H128" s="287" t="s">
        <v>432</v>
      </c>
      <c r="I128" s="36">
        <f>(I110+I98)/8</f>
        <v>6.75</v>
      </c>
      <c r="J128" s="288" t="s">
        <v>431</v>
      </c>
      <c r="K128" s="36">
        <f>ROUNDUP(MAX(I128,I130),0)</f>
        <v>9</v>
      </c>
      <c r="L128" s="139" t="s">
        <v>433</v>
      </c>
      <c r="M128" s="289"/>
      <c r="N128" s="289"/>
      <c r="O128" s="36">
        <f>(O110+O98)/8</f>
        <v>5.25</v>
      </c>
      <c r="P128" s="288" t="s">
        <v>431</v>
      </c>
      <c r="Q128" s="36">
        <f>ROUNDUP(MAX(O128,O130),0)</f>
        <v>7</v>
      </c>
      <c r="R128" s="139" t="s">
        <v>433</v>
      </c>
      <c r="S128" s="289"/>
      <c r="T128" s="289"/>
      <c r="U128" s="36">
        <f>(U110+U98)/8</f>
        <v>3.5</v>
      </c>
      <c r="V128" s="288" t="s">
        <v>431</v>
      </c>
      <c r="W128" s="36">
        <f>ROUNDUP(MAX(U128,U130),0)</f>
        <v>5</v>
      </c>
      <c r="X128" s="139" t="s">
        <v>433</v>
      </c>
      <c r="Y128" s="141"/>
      <c r="Z128" s="36"/>
      <c r="AA128" s="105"/>
      <c r="AB128" s="36">
        <f>SUM(K128,Q128,W128)</f>
        <v>21</v>
      </c>
      <c r="AC128" s="47" t="s">
        <v>434</v>
      </c>
    </row>
    <row r="129" spans="3:29" hidden="1">
      <c r="C129" s="60"/>
      <c r="D129" s="143" t="s">
        <v>435</v>
      </c>
      <c r="E129" s="140" t="s">
        <v>431</v>
      </c>
      <c r="F129" s="36"/>
      <c r="G129" s="36"/>
      <c r="H129" s="287" t="s">
        <v>436</v>
      </c>
      <c r="I129" s="36">
        <f>(I96+I97+I108+I109)/16</f>
        <v>4.083333333333333</v>
      </c>
      <c r="J129" s="288" t="s">
        <v>431</v>
      </c>
      <c r="K129" s="36">
        <f>ROUNDUP(I129,0)</f>
        <v>5</v>
      </c>
      <c r="L129" s="139" t="s">
        <v>437</v>
      </c>
      <c r="M129" s="289"/>
      <c r="N129" s="289"/>
      <c r="O129" s="36">
        <f>(O96+O97+O108+O109)/16</f>
        <v>3.1666666666666665</v>
      </c>
      <c r="P129" s="288" t="s">
        <v>431</v>
      </c>
      <c r="Q129" s="36">
        <f>ROUNDUP(O129,0)</f>
        <v>4</v>
      </c>
      <c r="R129" s="139" t="s">
        <v>437</v>
      </c>
      <c r="S129" s="289"/>
      <c r="T129" s="289"/>
      <c r="U129" s="36">
        <f>(U96+U97+U108+U109)/16</f>
        <v>2.125</v>
      </c>
      <c r="V129" s="288" t="s">
        <v>431</v>
      </c>
      <c r="W129" s="36">
        <f>ROUNDUP(U129,0)</f>
        <v>3</v>
      </c>
      <c r="X129" s="139" t="s">
        <v>437</v>
      </c>
      <c r="Y129" s="141"/>
      <c r="Z129" s="36"/>
      <c r="AA129" s="105"/>
      <c r="AB129" s="36">
        <f>SUM(K129,Q129,W129)</f>
        <v>12</v>
      </c>
      <c r="AC129" s="47" t="s">
        <v>438</v>
      </c>
    </row>
    <row r="130" spans="3:29" hidden="1">
      <c r="C130" s="60"/>
      <c r="D130" s="143" t="s">
        <v>439</v>
      </c>
      <c r="E130" s="140" t="s">
        <v>431</v>
      </c>
      <c r="F130" s="36"/>
      <c r="G130" s="36"/>
      <c r="H130" s="287" t="s">
        <v>440</v>
      </c>
      <c r="I130" s="36">
        <f>(I99+I111)/8</f>
        <v>8.5</v>
      </c>
      <c r="J130" s="288" t="s">
        <v>431</v>
      </c>
      <c r="K130" s="36"/>
      <c r="L130" s="289"/>
      <c r="M130" s="289"/>
      <c r="N130" s="289"/>
      <c r="O130" s="36">
        <f>(O99+O111)/8</f>
        <v>6.5</v>
      </c>
      <c r="P130" s="288" t="s">
        <v>431</v>
      </c>
      <c r="Q130" s="36"/>
      <c r="R130" s="289"/>
      <c r="S130" s="289"/>
      <c r="T130" s="289"/>
      <c r="U130" s="36">
        <f>(U99+U111)/8</f>
        <v>4.5</v>
      </c>
      <c r="V130" s="288" t="s">
        <v>431</v>
      </c>
      <c r="W130" s="36"/>
      <c r="X130" s="289"/>
      <c r="Y130" s="141"/>
      <c r="Z130" s="36"/>
      <c r="AA130" s="105"/>
      <c r="AB130" s="36"/>
    </row>
    <row r="131" spans="3:29" hidden="1">
      <c r="C131" s="60"/>
      <c r="D131" s="36"/>
      <c r="E131" s="36"/>
      <c r="F131" s="36"/>
      <c r="G131" s="36"/>
      <c r="H131" s="287" t="s">
        <v>442</v>
      </c>
      <c r="I131" s="36">
        <v>7</v>
      </c>
      <c r="J131" s="36"/>
      <c r="K131" s="36"/>
      <c r="L131" s="289"/>
      <c r="M131" s="289"/>
      <c r="N131" s="287" t="s">
        <v>442</v>
      </c>
      <c r="O131" s="36">
        <v>7</v>
      </c>
      <c r="P131" s="36"/>
      <c r="Q131" s="36"/>
      <c r="R131" s="289"/>
      <c r="S131" s="289"/>
      <c r="T131" s="287" t="s">
        <v>442</v>
      </c>
      <c r="U131" s="36">
        <v>7</v>
      </c>
      <c r="V131" s="36"/>
      <c r="W131" s="36"/>
      <c r="X131" s="141"/>
      <c r="Y131" s="141"/>
      <c r="Z131" s="36"/>
      <c r="AA131" s="105"/>
      <c r="AB131" s="36"/>
    </row>
    <row r="132" spans="3:29" ht="15" hidden="1" thickBot="1">
      <c r="C132" s="124"/>
      <c r="D132" s="51"/>
      <c r="E132" s="51"/>
      <c r="F132" s="51"/>
      <c r="G132" s="51"/>
      <c r="H132" s="145"/>
      <c r="I132" s="51"/>
      <c r="J132" s="51"/>
      <c r="K132" s="51"/>
      <c r="L132" s="146"/>
      <c r="M132" s="146"/>
      <c r="N132" s="146"/>
      <c r="O132" s="51"/>
      <c r="P132" s="51"/>
      <c r="Q132" s="51"/>
      <c r="R132" s="146"/>
      <c r="S132" s="146"/>
      <c r="T132" s="146"/>
      <c r="U132" s="51"/>
      <c r="V132" s="51"/>
      <c r="W132" s="51"/>
      <c r="X132" s="147"/>
      <c r="Y132" s="147"/>
      <c r="Z132" s="51"/>
      <c r="AA132" s="148"/>
      <c r="AB132" s="36"/>
    </row>
    <row r="133" spans="3:29" hidden="1"/>
    <row r="134" spans="3:29" ht="15.6">
      <c r="N134" s="183"/>
    </row>
    <row r="135" spans="3:29" ht="15.6">
      <c r="N135" s="158"/>
    </row>
  </sheetData>
  <sheetProtection selectLockedCells="1" selectUnlockedCells="1"/>
  <mergeCells count="217">
    <mergeCell ref="F102:H102"/>
    <mergeCell ref="L102:N102"/>
    <mergeCell ref="R102:S102"/>
    <mergeCell ref="S86:S87"/>
    <mergeCell ref="T86:T87"/>
    <mergeCell ref="F91:H91"/>
    <mergeCell ref="L91:N91"/>
    <mergeCell ref="R91:T91"/>
    <mergeCell ref="F121:H121"/>
    <mergeCell ref="L121:N121"/>
    <mergeCell ref="R121:T121"/>
    <mergeCell ref="F122:H122"/>
    <mergeCell ref="L122:N122"/>
    <mergeCell ref="R122:T122"/>
    <mergeCell ref="F103:H103"/>
    <mergeCell ref="L103:N103"/>
    <mergeCell ref="R103:S103"/>
    <mergeCell ref="F114:H114"/>
    <mergeCell ref="L114:N114"/>
    <mergeCell ref="R114:S114"/>
    <mergeCell ref="C118:E118"/>
    <mergeCell ref="F118:H118"/>
    <mergeCell ref="L118:N118"/>
    <mergeCell ref="R118:T118"/>
    <mergeCell ref="F120:H120"/>
    <mergeCell ref="R120:T120"/>
    <mergeCell ref="F115:H115"/>
    <mergeCell ref="L115:N115"/>
    <mergeCell ref="R115:S115"/>
    <mergeCell ref="C117:E117"/>
    <mergeCell ref="F117:H117"/>
    <mergeCell ref="L117:N117"/>
    <mergeCell ref="R117:T117"/>
    <mergeCell ref="E88:E89"/>
    <mergeCell ref="G88:G89"/>
    <mergeCell ref="M88:M89"/>
    <mergeCell ref="S88:S89"/>
    <mergeCell ref="E86:E87"/>
    <mergeCell ref="G86:G87"/>
    <mergeCell ref="H86:H87"/>
    <mergeCell ref="L86:L87"/>
    <mergeCell ref="M86:M87"/>
    <mergeCell ref="N86:N87"/>
    <mergeCell ref="R86:R87"/>
    <mergeCell ref="R88:R89"/>
    <mergeCell ref="L88:L89"/>
    <mergeCell ref="T82:T83"/>
    <mergeCell ref="E84:E85"/>
    <mergeCell ref="G84:G85"/>
    <mergeCell ref="H84:H85"/>
    <mergeCell ref="L84:L85"/>
    <mergeCell ref="M84:M85"/>
    <mergeCell ref="N84:N85"/>
    <mergeCell ref="R84:R85"/>
    <mergeCell ref="S84:S85"/>
    <mergeCell ref="T84:T85"/>
    <mergeCell ref="E82:E83"/>
    <mergeCell ref="G82:G83"/>
    <mergeCell ref="H82:H83"/>
    <mergeCell ref="L82:L83"/>
    <mergeCell ref="M82:M83"/>
    <mergeCell ref="N82:N83"/>
    <mergeCell ref="R82:R83"/>
    <mergeCell ref="S82:S83"/>
    <mergeCell ref="E80:E81"/>
    <mergeCell ref="G80:G81"/>
    <mergeCell ref="H80:H81"/>
    <mergeCell ref="L80:L81"/>
    <mergeCell ref="M80:M81"/>
    <mergeCell ref="N80:N81"/>
    <mergeCell ref="R80:R81"/>
    <mergeCell ref="S80:S81"/>
    <mergeCell ref="T80:T81"/>
    <mergeCell ref="T78:T79"/>
    <mergeCell ref="E78:E79"/>
    <mergeCell ref="G78:G79"/>
    <mergeCell ref="H78:H79"/>
    <mergeCell ref="L78:L79"/>
    <mergeCell ref="M78:M79"/>
    <mergeCell ref="N78:N79"/>
    <mergeCell ref="R78:R79"/>
    <mergeCell ref="S78:S79"/>
    <mergeCell ref="P69:P70"/>
    <mergeCell ref="Q69:Q70"/>
    <mergeCell ref="E76:E77"/>
    <mergeCell ref="G76:G77"/>
    <mergeCell ref="H76:H77"/>
    <mergeCell ref="L76:L77"/>
    <mergeCell ref="M76:M77"/>
    <mergeCell ref="N76:N77"/>
    <mergeCell ref="R76:R77"/>
    <mergeCell ref="L73:N73"/>
    <mergeCell ref="F73:H73"/>
    <mergeCell ref="F71:H71"/>
    <mergeCell ref="L71:N71"/>
    <mergeCell ref="R71:T71"/>
    <mergeCell ref="F72:H72"/>
    <mergeCell ref="L72:N72"/>
    <mergeCell ref="R72:T72"/>
    <mergeCell ref="J69:K70"/>
    <mergeCell ref="L69:L70"/>
    <mergeCell ref="M69:M70"/>
    <mergeCell ref="O69:O70"/>
    <mergeCell ref="S76:S77"/>
    <mergeCell ref="T76:T77"/>
    <mergeCell ref="F55:H55"/>
    <mergeCell ref="L55:N55"/>
    <mergeCell ref="R55:T55"/>
    <mergeCell ref="F56:H56"/>
    <mergeCell ref="L56:N56"/>
    <mergeCell ref="R56:T56"/>
    <mergeCell ref="C52:E52"/>
    <mergeCell ref="F52:H52"/>
    <mergeCell ref="L52:N52"/>
    <mergeCell ref="R52:T52"/>
    <mergeCell ref="F54:H54"/>
    <mergeCell ref="R54:T54"/>
    <mergeCell ref="F49:H49"/>
    <mergeCell ref="L49:N49"/>
    <mergeCell ref="R49:T49"/>
    <mergeCell ref="C51:E51"/>
    <mergeCell ref="F51:H51"/>
    <mergeCell ref="L51:N51"/>
    <mergeCell ref="R51:T51"/>
    <mergeCell ref="F37:H37"/>
    <mergeCell ref="L37:N37"/>
    <mergeCell ref="R37:T37"/>
    <mergeCell ref="F48:H48"/>
    <mergeCell ref="L48:N48"/>
    <mergeCell ref="R48:T48"/>
    <mergeCell ref="F36:H36"/>
    <mergeCell ref="L36:N36"/>
    <mergeCell ref="R36:T36"/>
    <mergeCell ref="S20:S21"/>
    <mergeCell ref="R20:R21"/>
    <mergeCell ref="E22:E23"/>
    <mergeCell ref="G22:G23"/>
    <mergeCell ref="M22:M23"/>
    <mergeCell ref="L22:L23"/>
    <mergeCell ref="S22:S23"/>
    <mergeCell ref="R22:R23"/>
    <mergeCell ref="E20:E21"/>
    <mergeCell ref="F20:F21"/>
    <mergeCell ref="G20:G21"/>
    <mergeCell ref="H20:H21"/>
    <mergeCell ref="N20:N21"/>
    <mergeCell ref="M20:M21"/>
    <mergeCell ref="L20:L21"/>
    <mergeCell ref="T20:T21"/>
    <mergeCell ref="F25:H25"/>
    <mergeCell ref="L25:N25"/>
    <mergeCell ref="R25:T25"/>
    <mergeCell ref="F22:F23"/>
    <mergeCell ref="R16:R17"/>
    <mergeCell ref="E18:E19"/>
    <mergeCell ref="F18:F19"/>
    <mergeCell ref="G18:G19"/>
    <mergeCell ref="H18:H19"/>
    <mergeCell ref="N18:N19"/>
    <mergeCell ref="M18:M19"/>
    <mergeCell ref="L18:L19"/>
    <mergeCell ref="T18:T19"/>
    <mergeCell ref="S18:S19"/>
    <mergeCell ref="R18:R19"/>
    <mergeCell ref="E16:E17"/>
    <mergeCell ref="F16:F17"/>
    <mergeCell ref="G16:G17"/>
    <mergeCell ref="H16:H17"/>
    <mergeCell ref="N16:N17"/>
    <mergeCell ref="M16:M17"/>
    <mergeCell ref="L16:L17"/>
    <mergeCell ref="T16:T17"/>
    <mergeCell ref="S16:S17"/>
    <mergeCell ref="R12:R13"/>
    <mergeCell ref="E14:E15"/>
    <mergeCell ref="F14:F15"/>
    <mergeCell ref="G14:G15"/>
    <mergeCell ref="H14:H15"/>
    <mergeCell ref="N14:N15"/>
    <mergeCell ref="M14:M15"/>
    <mergeCell ref="L14:L15"/>
    <mergeCell ref="T14:T15"/>
    <mergeCell ref="S14:S15"/>
    <mergeCell ref="R14:R15"/>
    <mergeCell ref="E12:E13"/>
    <mergeCell ref="F12:F13"/>
    <mergeCell ref="G12:G13"/>
    <mergeCell ref="H12:H13"/>
    <mergeCell ref="N12:N13"/>
    <mergeCell ref="M12:M13"/>
    <mergeCell ref="L12:L13"/>
    <mergeCell ref="T12:T13"/>
    <mergeCell ref="S12:S13"/>
    <mergeCell ref="L7:N7"/>
    <mergeCell ref="E10:E11"/>
    <mergeCell ref="F10:F11"/>
    <mergeCell ref="G10:G11"/>
    <mergeCell ref="H10:H11"/>
    <mergeCell ref="N10:N11"/>
    <mergeCell ref="M10:M11"/>
    <mergeCell ref="L10:L11"/>
    <mergeCell ref="T10:T11"/>
    <mergeCell ref="S10:S11"/>
    <mergeCell ref="R10:R11"/>
    <mergeCell ref="F7:H7"/>
    <mergeCell ref="F5:H5"/>
    <mergeCell ref="L5:N5"/>
    <mergeCell ref="R5:T5"/>
    <mergeCell ref="F6:H6"/>
    <mergeCell ref="L6:N6"/>
    <mergeCell ref="R6:T6"/>
    <mergeCell ref="J3:K4"/>
    <mergeCell ref="L3:L4"/>
    <mergeCell ref="M3:M4"/>
    <mergeCell ref="O3:O4"/>
    <mergeCell ref="P3:P4"/>
    <mergeCell ref="Q3:Q4"/>
  </mergeCells>
  <pageMargins left="0.25" right="0.25" top="0.75" bottom="0.75" header="0.51180555555555596" footer="0.51180555555555596"/>
  <pageSetup paperSize="17" scale="90" firstPageNumber="0" fitToHeight="0" orientation="landscape" r:id="rId1"/>
  <headerFooter alignWithMargins="0"/>
  <rowBreaks count="1" manualBreakCount="1">
    <brk id="66" max="26" man="1"/>
  </rowBreaks>
  <colBreaks count="1" manualBreakCount="1">
    <brk id="28" max="1048575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K23"/>
  <sheetViews>
    <sheetView workbookViewId="0"/>
  </sheetViews>
  <sheetFormatPr defaultColWidth="11" defaultRowHeight="15.6"/>
  <sheetData>
    <row r="2" spans="2:11">
      <c r="B2" s="158" t="s">
        <v>461</v>
      </c>
      <c r="F2" s="183" t="s">
        <v>462</v>
      </c>
    </row>
    <row r="3" spans="2:11">
      <c r="B3" s="158"/>
      <c r="F3" s="158" t="s">
        <v>463</v>
      </c>
      <c r="I3" s="158"/>
    </row>
    <row r="4" spans="2:11" ht="16.2" thickBot="1"/>
    <row r="5" spans="2:11" ht="16.2" thickBot="1">
      <c r="C5" s="367" t="s">
        <v>355</v>
      </c>
      <c r="D5" s="369" t="s">
        <v>356</v>
      </c>
      <c r="E5" s="453" t="s">
        <v>358</v>
      </c>
      <c r="F5" s="373" t="s">
        <v>359</v>
      </c>
    </row>
    <row r="6" spans="2:11" ht="16.2" thickBot="1">
      <c r="C6" s="368"/>
      <c r="D6" s="370"/>
      <c r="E6" s="454"/>
      <c r="F6" s="374"/>
    </row>
    <row r="7" spans="2:11" ht="16.2" thickBot="1">
      <c r="E7" s="180"/>
      <c r="F7" s="181"/>
      <c r="G7" s="182"/>
    </row>
    <row r="8" spans="2:11" ht="16.8" thickTop="1" thickBot="1">
      <c r="B8" s="74"/>
      <c r="C8" s="188">
        <v>8</v>
      </c>
      <c r="D8" s="189">
        <v>7</v>
      </c>
      <c r="E8" s="190">
        <v>6</v>
      </c>
      <c r="F8" s="188">
        <v>5</v>
      </c>
      <c r="G8" s="189">
        <v>4</v>
      </c>
      <c r="H8" s="190">
        <v>3</v>
      </c>
      <c r="I8" s="188">
        <v>2</v>
      </c>
      <c r="J8" s="189">
        <v>1</v>
      </c>
      <c r="K8" s="190">
        <v>0</v>
      </c>
    </row>
    <row r="9" spans="2:11" ht="16.2" thickTop="1">
      <c r="B9" s="380">
        <v>0</v>
      </c>
      <c r="C9" s="467" t="s">
        <v>460</v>
      </c>
      <c r="D9" s="458" t="s">
        <v>460</v>
      </c>
      <c r="E9" s="499" t="s">
        <v>460</v>
      </c>
      <c r="F9" s="467" t="s">
        <v>460</v>
      </c>
      <c r="G9" s="499" t="s">
        <v>460</v>
      </c>
      <c r="H9" s="465" t="s">
        <v>460</v>
      </c>
      <c r="I9" s="467" t="s">
        <v>460</v>
      </c>
      <c r="J9" s="458" t="s">
        <v>460</v>
      </c>
      <c r="K9" s="465" t="s">
        <v>460</v>
      </c>
    </row>
    <row r="10" spans="2:11" ht="16.2" thickBot="1">
      <c r="B10" s="380"/>
      <c r="C10" s="476"/>
      <c r="D10" s="459"/>
      <c r="E10" s="503"/>
      <c r="F10" s="468"/>
      <c r="G10" s="500"/>
      <c r="H10" s="474"/>
      <c r="I10" s="468"/>
      <c r="J10" s="462"/>
      <c r="K10" s="466"/>
    </row>
    <row r="11" spans="2:11" ht="16.2" thickTop="1">
      <c r="B11" s="455">
        <v>1</v>
      </c>
      <c r="C11" s="471" t="s">
        <v>459</v>
      </c>
      <c r="D11" s="460" t="s">
        <v>459</v>
      </c>
      <c r="E11" s="504"/>
      <c r="F11" s="471" t="s">
        <v>459</v>
      </c>
      <c r="G11" s="460" t="s">
        <v>459</v>
      </c>
      <c r="H11" s="487"/>
      <c r="I11" s="471" t="s">
        <v>459</v>
      </c>
      <c r="J11" s="463" t="s">
        <v>459</v>
      </c>
      <c r="K11" s="460" t="s">
        <v>460</v>
      </c>
    </row>
    <row r="12" spans="2:11" ht="16.2" thickBot="1">
      <c r="B12" s="455"/>
      <c r="C12" s="494"/>
      <c r="D12" s="461"/>
      <c r="E12" s="505"/>
      <c r="F12" s="494"/>
      <c r="G12" s="461"/>
      <c r="H12" s="488"/>
      <c r="I12" s="472"/>
      <c r="J12" s="470"/>
      <c r="K12" s="469"/>
    </row>
    <row r="13" spans="2:11" ht="16.2" thickTop="1">
      <c r="B13" s="455">
        <v>2</v>
      </c>
      <c r="C13" s="467" t="s">
        <v>459</v>
      </c>
      <c r="D13" s="458" t="s">
        <v>459</v>
      </c>
      <c r="E13" s="499" t="s">
        <v>459</v>
      </c>
      <c r="F13" s="467" t="s">
        <v>459</v>
      </c>
      <c r="G13" s="458" t="s">
        <v>459</v>
      </c>
      <c r="H13" s="465" t="s">
        <v>459</v>
      </c>
      <c r="I13" s="467" t="s">
        <v>459</v>
      </c>
      <c r="J13" s="458" t="s">
        <v>459</v>
      </c>
      <c r="K13" s="465" t="s">
        <v>459</v>
      </c>
    </row>
    <row r="14" spans="2:11">
      <c r="B14" s="455"/>
      <c r="C14" s="468"/>
      <c r="D14" s="462"/>
      <c r="E14" s="500"/>
      <c r="F14" s="468"/>
      <c r="G14" s="462"/>
      <c r="H14" s="473"/>
      <c r="I14" s="468"/>
      <c r="J14" s="462"/>
      <c r="K14" s="473"/>
    </row>
    <row r="15" spans="2:11">
      <c r="B15" s="455">
        <v>3</v>
      </c>
      <c r="C15" s="471" t="s">
        <v>458</v>
      </c>
      <c r="D15" s="463" t="s">
        <v>458</v>
      </c>
      <c r="E15" s="456" t="s">
        <v>459</v>
      </c>
      <c r="F15" s="471" t="s">
        <v>458</v>
      </c>
      <c r="G15" s="463" t="s">
        <v>458</v>
      </c>
      <c r="H15" s="460" t="s">
        <v>459</v>
      </c>
      <c r="I15" s="471" t="s">
        <v>458</v>
      </c>
      <c r="J15" s="463" t="s">
        <v>458</v>
      </c>
      <c r="K15" s="460" t="s">
        <v>459</v>
      </c>
    </row>
    <row r="16" spans="2:11" ht="16.2" thickBot="1">
      <c r="B16" s="455"/>
      <c r="C16" s="494"/>
      <c r="D16" s="464"/>
      <c r="E16" s="457"/>
      <c r="F16" s="472"/>
      <c r="G16" s="470"/>
      <c r="H16" s="469"/>
      <c r="I16" s="472"/>
      <c r="J16" s="470"/>
      <c r="K16" s="469"/>
    </row>
    <row r="17" spans="2:11" ht="16.2" thickTop="1">
      <c r="B17" s="455">
        <v>4</v>
      </c>
      <c r="C17" s="495" t="s">
        <v>458</v>
      </c>
      <c r="D17" s="501" t="s">
        <v>458</v>
      </c>
      <c r="E17" s="506" t="s">
        <v>458</v>
      </c>
      <c r="F17" s="495" t="s">
        <v>458</v>
      </c>
      <c r="G17" s="501" t="s">
        <v>458</v>
      </c>
      <c r="H17" s="489" t="s">
        <v>458</v>
      </c>
      <c r="I17" s="467" t="s">
        <v>458</v>
      </c>
      <c r="J17" s="458" t="s">
        <v>458</v>
      </c>
      <c r="K17" s="465" t="s">
        <v>458</v>
      </c>
    </row>
    <row r="18" spans="2:11" ht="16.2" thickBot="1">
      <c r="B18" s="455"/>
      <c r="C18" s="496"/>
      <c r="D18" s="502"/>
      <c r="E18" s="507"/>
      <c r="F18" s="496"/>
      <c r="G18" s="502"/>
      <c r="H18" s="490"/>
      <c r="I18" s="476"/>
      <c r="J18" s="475"/>
      <c r="K18" s="474"/>
    </row>
    <row r="19" spans="2:11" ht="16.2" thickTop="1">
      <c r="B19" s="380">
        <v>5</v>
      </c>
      <c r="C19" s="497" t="s">
        <v>457</v>
      </c>
      <c r="D19" s="491" t="s">
        <v>457</v>
      </c>
      <c r="E19" s="456" t="s">
        <v>458</v>
      </c>
      <c r="F19" s="497" t="s">
        <v>457</v>
      </c>
      <c r="G19" s="491" t="s">
        <v>457</v>
      </c>
      <c r="H19" s="460" t="s">
        <v>458</v>
      </c>
      <c r="I19" s="481" t="s">
        <v>457</v>
      </c>
      <c r="J19" s="479" t="s">
        <v>457</v>
      </c>
      <c r="K19" s="477" t="s">
        <v>458</v>
      </c>
    </row>
    <row r="20" spans="2:11" ht="16.2" thickBot="1">
      <c r="B20" s="380"/>
      <c r="C20" s="498"/>
      <c r="D20" s="492"/>
      <c r="E20" s="457"/>
      <c r="F20" s="498"/>
      <c r="G20" s="492"/>
      <c r="H20" s="461"/>
      <c r="I20" s="482"/>
      <c r="J20" s="480"/>
      <c r="K20" s="478"/>
    </row>
    <row r="21" spans="2:11" ht="16.8" thickTop="1" thickBot="1">
      <c r="B21" s="455">
        <v>6</v>
      </c>
      <c r="C21" s="485" t="s">
        <v>457</v>
      </c>
      <c r="D21" s="493" t="s">
        <v>457</v>
      </c>
      <c r="E21" s="179" t="s">
        <v>457</v>
      </c>
      <c r="F21" s="485" t="s">
        <v>457</v>
      </c>
      <c r="G21" s="493" t="s">
        <v>457</v>
      </c>
      <c r="H21" s="179" t="s">
        <v>457</v>
      </c>
      <c r="I21" s="485" t="s">
        <v>457</v>
      </c>
      <c r="J21" s="483" t="s">
        <v>457</v>
      </c>
      <c r="K21" s="186" t="s">
        <v>457</v>
      </c>
    </row>
    <row r="22" spans="2:11" ht="16.8" thickTop="1" thickBot="1">
      <c r="B22" s="455"/>
      <c r="C22" s="486"/>
      <c r="D22" s="475"/>
      <c r="E22" s="191" t="s">
        <v>457</v>
      </c>
      <c r="F22" s="486"/>
      <c r="G22" s="475"/>
      <c r="H22" s="191" t="s">
        <v>457</v>
      </c>
      <c r="I22" s="486"/>
      <c r="J22" s="484"/>
      <c r="K22" s="187" t="s">
        <v>457</v>
      </c>
    </row>
    <row r="23" spans="2:11" ht="16.2" thickTop="1">
      <c r="B23" s="84" t="s">
        <v>388</v>
      </c>
      <c r="C23" s="85" t="s">
        <v>390</v>
      </c>
      <c r="D23" s="85" t="s">
        <v>390</v>
      </c>
      <c r="E23" s="85" t="s">
        <v>390</v>
      </c>
      <c r="F23" s="85" t="s">
        <v>390</v>
      </c>
      <c r="G23" s="85" t="s">
        <v>390</v>
      </c>
      <c r="H23" s="85" t="s">
        <v>390</v>
      </c>
      <c r="I23" s="85" t="s">
        <v>389</v>
      </c>
      <c r="J23" s="85" t="s">
        <v>12</v>
      </c>
      <c r="K23" s="85" t="s">
        <v>14</v>
      </c>
    </row>
  </sheetData>
  <mergeCells count="71">
    <mergeCell ref="D21:D22"/>
    <mergeCell ref="C9:C10"/>
    <mergeCell ref="C11:C12"/>
    <mergeCell ref="C13:C14"/>
    <mergeCell ref="C15:C16"/>
    <mergeCell ref="C17:C18"/>
    <mergeCell ref="C19:C20"/>
    <mergeCell ref="C21:C22"/>
    <mergeCell ref="D17:D18"/>
    <mergeCell ref="D19:D20"/>
    <mergeCell ref="E9:E10"/>
    <mergeCell ref="E11:E12"/>
    <mergeCell ref="E13:E14"/>
    <mergeCell ref="E15:E16"/>
    <mergeCell ref="E17:E18"/>
    <mergeCell ref="G19:G20"/>
    <mergeCell ref="G21:G22"/>
    <mergeCell ref="F9:F10"/>
    <mergeCell ref="F11:F12"/>
    <mergeCell ref="F13:F14"/>
    <mergeCell ref="F15:F16"/>
    <mergeCell ref="F17:F18"/>
    <mergeCell ref="F19:F20"/>
    <mergeCell ref="F21:F22"/>
    <mergeCell ref="G9:G10"/>
    <mergeCell ref="G11:G12"/>
    <mergeCell ref="G13:G14"/>
    <mergeCell ref="G15:G16"/>
    <mergeCell ref="G17:G18"/>
    <mergeCell ref="J21:J22"/>
    <mergeCell ref="I21:I22"/>
    <mergeCell ref="H9:H10"/>
    <mergeCell ref="H11:H12"/>
    <mergeCell ref="H13:H14"/>
    <mergeCell ref="H15:H16"/>
    <mergeCell ref="H17:H18"/>
    <mergeCell ref="H19:H20"/>
    <mergeCell ref="K17:K18"/>
    <mergeCell ref="J17:J18"/>
    <mergeCell ref="I17:I18"/>
    <mergeCell ref="K19:K20"/>
    <mergeCell ref="J19:J20"/>
    <mergeCell ref="I19:I20"/>
    <mergeCell ref="K13:K14"/>
    <mergeCell ref="J13:J14"/>
    <mergeCell ref="I13:I14"/>
    <mergeCell ref="K15:K16"/>
    <mergeCell ref="J15:J16"/>
    <mergeCell ref="I15:I16"/>
    <mergeCell ref="K9:K10"/>
    <mergeCell ref="J9:J10"/>
    <mergeCell ref="I9:I10"/>
    <mergeCell ref="K11:K12"/>
    <mergeCell ref="J11:J12"/>
    <mergeCell ref="I11:I12"/>
    <mergeCell ref="C5:C6"/>
    <mergeCell ref="D5:D6"/>
    <mergeCell ref="F5:F6"/>
    <mergeCell ref="E5:E6"/>
    <mergeCell ref="B21:B22"/>
    <mergeCell ref="B19:B20"/>
    <mergeCell ref="B17:B18"/>
    <mergeCell ref="B15:B16"/>
    <mergeCell ref="B13:B14"/>
    <mergeCell ref="B11:B12"/>
    <mergeCell ref="B9:B10"/>
    <mergeCell ref="E19:E20"/>
    <mergeCell ref="D9:D10"/>
    <mergeCell ref="D11:D12"/>
    <mergeCell ref="D13:D14"/>
    <mergeCell ref="D15:D16"/>
  </mergeCells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1:AR506"/>
  <sheetViews>
    <sheetView tabSelected="1" zoomScale="85" zoomScaleNormal="85" workbookViewId="0"/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1" width="7.8984375" style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472</v>
      </c>
      <c r="E2" s="511"/>
      <c r="F2" s="511"/>
      <c r="G2" s="512" t="s">
        <v>684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348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349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41">
        <v>0</v>
      </c>
      <c r="W6" s="166"/>
      <c r="X6" s="345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345">
        <v>0</v>
      </c>
      <c r="AK6" s="166"/>
      <c r="AL6" s="241">
        <v>0</v>
      </c>
      <c r="AM6" s="166"/>
      <c r="AN6" s="241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42">
        <v>0</v>
      </c>
      <c r="W7" s="166"/>
      <c r="X7" s="346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346">
        <v>0</v>
      </c>
      <c r="AK7" s="166"/>
      <c r="AL7" s="242">
        <v>0</v>
      </c>
      <c r="AM7" s="166"/>
      <c r="AN7" s="266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42">
        <v>0</v>
      </c>
      <c r="W8" s="166"/>
      <c r="X8" s="346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346">
        <v>0</v>
      </c>
      <c r="AK8" s="166"/>
      <c r="AL8" s="242">
        <v>0</v>
      </c>
      <c r="AM8" s="166"/>
      <c r="AN8" s="266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42">
        <v>0</v>
      </c>
      <c r="W9" s="166"/>
      <c r="X9" s="346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346">
        <v>0</v>
      </c>
      <c r="AK9" s="166"/>
      <c r="AL9" s="242">
        <v>0</v>
      </c>
      <c r="AM9" s="166"/>
      <c r="AN9" s="266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3">
        <v>0</v>
      </c>
      <c r="W10" s="166"/>
      <c r="X10" s="347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347">
        <v>0</v>
      </c>
      <c r="AK10" s="166"/>
      <c r="AL10" s="243">
        <v>0</v>
      </c>
      <c r="AM10" s="166"/>
      <c r="AN10" s="243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68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8"/>
      <c r="AA17" s="19"/>
      <c r="AB17" s="508"/>
      <c r="AC17" s="19"/>
      <c r="AD17" s="508"/>
      <c r="AE17" s="19"/>
      <c r="AF17" s="508"/>
      <c r="AG17" s="19"/>
      <c r="AH17" s="508"/>
      <c r="AI17" s="19"/>
      <c r="AJ17" s="509"/>
      <c r="AK17" s="15"/>
      <c r="AL17" s="509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6"/>
      <c r="Q18" s="19"/>
      <c r="R18" s="356"/>
      <c r="S18" s="19"/>
      <c r="T18" s="356"/>
      <c r="U18" s="19"/>
      <c r="V18" s="356"/>
      <c r="W18" s="19"/>
      <c r="X18" s="356"/>
      <c r="Y18" s="19"/>
      <c r="Z18" s="356"/>
      <c r="AA18" s="19"/>
      <c r="AB18" s="356"/>
      <c r="AC18" s="19"/>
      <c r="AD18" s="356"/>
      <c r="AE18" s="19"/>
      <c r="AF18" s="356"/>
      <c r="AG18" s="19"/>
      <c r="AH18" s="356"/>
      <c r="AI18" s="19"/>
      <c r="AJ18" s="510"/>
      <c r="AK18" s="19"/>
      <c r="AL18" s="510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7">
        <v>11</v>
      </c>
      <c r="Q19" s="357"/>
      <c r="R19" s="357">
        <v>10</v>
      </c>
      <c r="S19" s="357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709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 s="517"/>
      <c r="N25" s="517"/>
      <c r="O25" s="517"/>
      <c r="P25" s="517"/>
      <c r="Q25" s="517"/>
      <c r="R25" s="517"/>
      <c r="S25" s="517"/>
      <c r="T25" s="517"/>
      <c r="U25" s="517"/>
      <c r="V25" s="517"/>
      <c r="W25" s="517"/>
      <c r="X25" s="517"/>
      <c r="Y25" s="517"/>
      <c r="Z25" s="517"/>
      <c r="AA25" s="517"/>
      <c r="AB25" s="517"/>
      <c r="AC25" s="517"/>
      <c r="AD25" s="517"/>
      <c r="AE25" s="517"/>
      <c r="AF25" s="517"/>
      <c r="AG25" s="517"/>
      <c r="AH25" s="517"/>
      <c r="AI25" s="517"/>
      <c r="AJ25" s="517"/>
      <c r="AK25" s="517"/>
      <c r="AL25" s="517"/>
      <c r="AM25" s="517"/>
      <c r="AN25" s="517"/>
      <c r="AO25" s="517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976</v>
      </c>
      <c r="F61" s="5"/>
      <c r="G61" s="343" t="s">
        <v>989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993</v>
      </c>
      <c r="F66" s="271"/>
      <c r="G66" s="272" t="s">
        <v>961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993</v>
      </c>
      <c r="F67" s="271"/>
      <c r="G67" s="272" t="s">
        <v>962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993</v>
      </c>
      <c r="F70" s="271"/>
      <c r="G70" s="270" t="s">
        <v>168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993</v>
      </c>
      <c r="F71" s="271"/>
      <c r="G71" s="270" t="s">
        <v>169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992</v>
      </c>
      <c r="F74" s="13"/>
      <c r="G74" s="270" t="s">
        <v>168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992</v>
      </c>
      <c r="F75" s="13"/>
      <c r="G75" s="270" t="s">
        <v>169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677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677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677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677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992</v>
      </c>
      <c r="F80" s="13"/>
      <c r="G80" s="336" t="s">
        <v>188</v>
      </c>
      <c r="H80" s="235" t="s">
        <v>677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992</v>
      </c>
      <c r="F81" s="13"/>
      <c r="G81" s="336" t="s">
        <v>189</v>
      </c>
      <c r="H81" s="235" t="s">
        <v>677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992</v>
      </c>
      <c r="F82" s="13"/>
      <c r="G82" s="270" t="s">
        <v>178</v>
      </c>
      <c r="H82" s="235" t="s">
        <v>677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992</v>
      </c>
      <c r="F83" s="13"/>
      <c r="G83" s="270" t="s">
        <v>179</v>
      </c>
      <c r="H83" s="235" t="s">
        <v>677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13"/>
      <c r="F84" s="13"/>
      <c r="G84" s="13"/>
      <c r="H84" s="235" t="s">
        <v>677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13"/>
      <c r="F85" s="13"/>
      <c r="G85" s="13"/>
      <c r="H85" s="235" t="s">
        <v>677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992</v>
      </c>
      <c r="F86" s="13"/>
      <c r="G86" s="276" t="s">
        <v>206</v>
      </c>
      <c r="H86" s="235" t="s">
        <v>677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992</v>
      </c>
      <c r="F87" s="13"/>
      <c r="G87" s="276" t="s">
        <v>207</v>
      </c>
      <c r="H87" s="235" t="s">
        <v>677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992</v>
      </c>
      <c r="F88" s="184"/>
      <c r="G88" s="270" t="s">
        <v>196</v>
      </c>
      <c r="H88" s="235" t="s">
        <v>677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992</v>
      </c>
      <c r="F89" s="184"/>
      <c r="G89" s="270" t="s">
        <v>197</v>
      </c>
      <c r="H89" s="235" t="s">
        <v>677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992</v>
      </c>
      <c r="F90" s="13"/>
      <c r="G90" s="270" t="s">
        <v>186</v>
      </c>
      <c r="H90" s="235" t="s">
        <v>677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992</v>
      </c>
      <c r="F91" s="13"/>
      <c r="G91" s="270" t="s">
        <v>187</v>
      </c>
      <c r="H91" s="235" t="s">
        <v>677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992</v>
      </c>
      <c r="F92" s="185"/>
      <c r="G92" s="270" t="s">
        <v>176</v>
      </c>
      <c r="H92" s="235" t="s">
        <v>677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992</v>
      </c>
      <c r="F93" s="13"/>
      <c r="G93" s="270" t="s">
        <v>177</v>
      </c>
      <c r="H93" s="235" t="s">
        <v>677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13"/>
      <c r="F94" s="13"/>
      <c r="G94" s="13"/>
      <c r="H94" s="235" t="s">
        <v>677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13"/>
      <c r="F95" s="13"/>
      <c r="G95" s="13"/>
      <c r="H95" s="235" t="s">
        <v>677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992</v>
      </c>
      <c r="F96" s="184"/>
      <c r="G96" s="276" t="s">
        <v>208</v>
      </c>
      <c r="H96" s="235" t="s">
        <v>677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992</v>
      </c>
      <c r="F97" s="184"/>
      <c r="G97" s="276" t="s">
        <v>209</v>
      </c>
      <c r="H97" s="235" t="s">
        <v>677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992</v>
      </c>
      <c r="F98" s="13"/>
      <c r="G98" s="270" t="s">
        <v>198</v>
      </c>
      <c r="H98" s="235" t="s">
        <v>677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992</v>
      </c>
      <c r="F99" s="13"/>
      <c r="G99" s="270" t="s">
        <v>199</v>
      </c>
      <c r="H99" s="235" t="s">
        <v>677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184"/>
      <c r="F100" s="184"/>
      <c r="G100" s="244"/>
      <c r="H100" s="340" t="s">
        <v>678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184"/>
      <c r="F101" s="184"/>
      <c r="G101" s="244"/>
      <c r="H101" s="235" t="s">
        <v>678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184"/>
      <c r="F102" s="184"/>
      <c r="G102" s="244"/>
      <c r="H102" s="235" t="s">
        <v>678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184"/>
      <c r="F103" s="184"/>
      <c r="G103" s="244"/>
      <c r="H103" s="235" t="s">
        <v>678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993</v>
      </c>
      <c r="F104" s="13"/>
      <c r="G104" s="270" t="s">
        <v>121</v>
      </c>
      <c r="H104" s="235" t="s">
        <v>678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993</v>
      </c>
      <c r="F105" s="13"/>
      <c r="G105" s="270" t="s">
        <v>120</v>
      </c>
      <c r="H105" s="235" t="s">
        <v>678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993</v>
      </c>
      <c r="F106" s="13"/>
      <c r="G106" s="270" t="s">
        <v>108</v>
      </c>
      <c r="H106" s="235" t="s">
        <v>678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993</v>
      </c>
      <c r="F107" s="13"/>
      <c r="G107" s="270" t="s">
        <v>109</v>
      </c>
      <c r="H107" s="235" t="s">
        <v>678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4" t="s">
        <v>993</v>
      </c>
      <c r="F108" s="13"/>
      <c r="G108" s="276" t="s">
        <v>90</v>
      </c>
      <c r="H108" s="235" t="s">
        <v>678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4" t="s">
        <v>993</v>
      </c>
      <c r="F109" s="13"/>
      <c r="G109" s="276" t="s">
        <v>91</v>
      </c>
      <c r="H109" s="235" t="s">
        <v>678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993</v>
      </c>
      <c r="F110" s="13"/>
      <c r="G110" s="276" t="s">
        <v>100</v>
      </c>
      <c r="H110" s="235" t="s">
        <v>678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993</v>
      </c>
      <c r="F111" s="13"/>
      <c r="G111" s="276" t="s">
        <v>101</v>
      </c>
      <c r="H111" s="235" t="s">
        <v>678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993</v>
      </c>
      <c r="F112" s="13"/>
      <c r="G112" s="270" t="s">
        <v>137</v>
      </c>
      <c r="H112" s="235" t="s">
        <v>678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993</v>
      </c>
      <c r="F113" s="13"/>
      <c r="G113" s="270" t="s">
        <v>136</v>
      </c>
      <c r="H113" s="235" t="s">
        <v>678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993</v>
      </c>
      <c r="F114" s="184"/>
      <c r="G114" s="270" t="s">
        <v>118</v>
      </c>
      <c r="H114" s="235" t="s">
        <v>678</v>
      </c>
      <c r="I114" s="13"/>
      <c r="J114" s="13"/>
      <c r="K114" s="16"/>
    </row>
    <row r="115" spans="2:11" ht="16.2" thickBot="1">
      <c r="B115" s="26">
        <v>110</v>
      </c>
      <c r="C115" s="228" t="s">
        <v>284</v>
      </c>
      <c r="D115" s="230" t="s">
        <v>550</v>
      </c>
      <c r="E115" s="271" t="s">
        <v>993</v>
      </c>
      <c r="F115" s="184"/>
      <c r="G115" s="270" t="s">
        <v>119</v>
      </c>
      <c r="H115" s="235" t="s">
        <v>678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993</v>
      </c>
      <c r="F116" s="184"/>
      <c r="G116" s="337" t="s">
        <v>110</v>
      </c>
      <c r="H116" s="235" t="s">
        <v>678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993</v>
      </c>
      <c r="F117" s="184"/>
      <c r="G117" s="270" t="s">
        <v>111</v>
      </c>
      <c r="H117" s="235" t="s">
        <v>678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4" t="s">
        <v>993</v>
      </c>
      <c r="F118" s="13"/>
      <c r="G118" s="276" t="s">
        <v>89</v>
      </c>
      <c r="H118" s="235" t="s">
        <v>678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4" t="s">
        <v>993</v>
      </c>
      <c r="F119" s="13"/>
      <c r="G119" s="276" t="s">
        <v>99</v>
      </c>
      <c r="H119" s="235" t="s">
        <v>678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4" t="s">
        <v>993</v>
      </c>
      <c r="F120" s="13"/>
      <c r="G120" s="276" t="s">
        <v>88</v>
      </c>
      <c r="H120" s="235" t="s">
        <v>678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4" t="s">
        <v>993</v>
      </c>
      <c r="F121" s="13"/>
      <c r="G121" s="276" t="s">
        <v>98</v>
      </c>
      <c r="H121" s="235" t="s">
        <v>678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993</v>
      </c>
      <c r="F122" s="13"/>
      <c r="G122" s="270" t="s">
        <v>128</v>
      </c>
      <c r="H122" s="235" t="s">
        <v>678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993</v>
      </c>
      <c r="F123" s="13"/>
      <c r="G123" s="270" t="s">
        <v>129</v>
      </c>
      <c r="H123" s="235" t="s">
        <v>678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184"/>
      <c r="F124" s="184"/>
      <c r="G124" s="244"/>
      <c r="H124" s="340" t="s">
        <v>679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184"/>
      <c r="F125" s="184"/>
      <c r="G125" s="244"/>
      <c r="H125" s="235" t="s">
        <v>679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184"/>
      <c r="F126" s="184"/>
      <c r="G126" s="184"/>
      <c r="H126" s="235" t="s">
        <v>679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184"/>
      <c r="F127" s="184"/>
      <c r="G127" s="184"/>
      <c r="H127" s="235" t="s">
        <v>679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993</v>
      </c>
      <c r="F128" s="271"/>
      <c r="G128" s="270" t="s">
        <v>188</v>
      </c>
      <c r="H128" s="235" t="s">
        <v>679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993</v>
      </c>
      <c r="F129" s="271"/>
      <c r="G129" s="270" t="s">
        <v>189</v>
      </c>
      <c r="H129" s="235" t="s">
        <v>679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993</v>
      </c>
      <c r="F130" s="271"/>
      <c r="G130" s="270" t="s">
        <v>178</v>
      </c>
      <c r="H130" s="235" t="s">
        <v>679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993</v>
      </c>
      <c r="F131" s="271"/>
      <c r="G131" s="270" t="s">
        <v>179</v>
      </c>
      <c r="H131" s="235" t="s">
        <v>679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4" t="s">
        <v>993</v>
      </c>
      <c r="F132" s="271"/>
      <c r="G132" s="276" t="s">
        <v>216</v>
      </c>
      <c r="H132" s="235" t="s">
        <v>679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4" t="s">
        <v>993</v>
      </c>
      <c r="F133" s="271"/>
      <c r="G133" s="276" t="s">
        <v>217</v>
      </c>
      <c r="H133" s="235" t="s">
        <v>679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4" t="s">
        <v>993</v>
      </c>
      <c r="F134" s="271"/>
      <c r="G134" s="276" t="s">
        <v>206</v>
      </c>
      <c r="H134" s="235" t="s">
        <v>679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4" t="s">
        <v>993</v>
      </c>
      <c r="F135" s="271"/>
      <c r="G135" s="276" t="s">
        <v>207</v>
      </c>
      <c r="H135" s="235" t="s">
        <v>679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993</v>
      </c>
      <c r="F136" s="271"/>
      <c r="G136" s="270" t="s">
        <v>196</v>
      </c>
      <c r="H136" s="235" t="s">
        <v>679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993</v>
      </c>
      <c r="F137" s="271"/>
      <c r="G137" s="270" t="s">
        <v>197</v>
      </c>
      <c r="H137" s="235" t="s">
        <v>679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993</v>
      </c>
      <c r="F138" s="274"/>
      <c r="G138" s="270" t="s">
        <v>186</v>
      </c>
      <c r="H138" s="235" t="s">
        <v>679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993</v>
      </c>
      <c r="F139" s="274"/>
      <c r="G139" s="270" t="s">
        <v>187</v>
      </c>
      <c r="H139" s="235" t="s">
        <v>679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993</v>
      </c>
      <c r="F140" s="274"/>
      <c r="G140" s="270" t="s">
        <v>176</v>
      </c>
      <c r="H140" s="235" t="s">
        <v>679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993</v>
      </c>
      <c r="F141" s="274"/>
      <c r="G141" s="270" t="s">
        <v>177</v>
      </c>
      <c r="H141" s="235" t="s">
        <v>679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4" t="s">
        <v>993</v>
      </c>
      <c r="F142" s="271"/>
      <c r="G142" s="276" t="s">
        <v>218</v>
      </c>
      <c r="H142" s="235" t="s">
        <v>679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4" t="s">
        <v>993</v>
      </c>
      <c r="F143" s="271"/>
      <c r="G143" s="276" t="s">
        <v>219</v>
      </c>
      <c r="H143" s="235" t="s">
        <v>679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4" t="s">
        <v>993</v>
      </c>
      <c r="F144" s="271"/>
      <c r="G144" s="276" t="s">
        <v>208</v>
      </c>
      <c r="H144" s="235" t="s">
        <v>679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993</v>
      </c>
      <c r="F145" s="271"/>
      <c r="G145" s="276" t="s">
        <v>209</v>
      </c>
      <c r="H145" s="235" t="s">
        <v>679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993</v>
      </c>
      <c r="F146" s="271"/>
      <c r="G146" s="270" t="s">
        <v>198</v>
      </c>
      <c r="H146" s="235" t="s">
        <v>679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993</v>
      </c>
      <c r="F147" s="271"/>
      <c r="G147" s="270" t="s">
        <v>199</v>
      </c>
      <c r="H147" s="235" t="s">
        <v>679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680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680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84"/>
      <c r="F150" s="13"/>
      <c r="G150" s="13"/>
      <c r="H150" s="235" t="s">
        <v>680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84"/>
      <c r="F151" s="13"/>
      <c r="G151" s="13"/>
      <c r="H151" s="235" t="s">
        <v>680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993</v>
      </c>
      <c r="F152" s="13"/>
      <c r="G152" s="272" t="s">
        <v>331</v>
      </c>
      <c r="H152" s="235" t="s">
        <v>680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993</v>
      </c>
      <c r="F153" s="13"/>
      <c r="G153" s="272" t="s">
        <v>330</v>
      </c>
      <c r="H153" s="235" t="s">
        <v>680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993</v>
      </c>
      <c r="F154" s="13"/>
      <c r="G154" s="272" t="s">
        <v>335</v>
      </c>
      <c r="H154" s="235" t="s">
        <v>680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993</v>
      </c>
      <c r="F155" s="13"/>
      <c r="G155" s="272" t="s">
        <v>334</v>
      </c>
      <c r="H155" s="235" t="s">
        <v>680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/>
      <c r="F156" s="13"/>
      <c r="G156" s="271"/>
      <c r="H156" s="235" t="s">
        <v>680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/>
      <c r="F157" s="13"/>
      <c r="G157" s="271"/>
      <c r="H157" s="235" t="s">
        <v>680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993</v>
      </c>
      <c r="F158" s="13"/>
      <c r="G158" s="276" t="s">
        <v>6</v>
      </c>
      <c r="H158" s="235" t="s">
        <v>680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993</v>
      </c>
      <c r="F159" s="13"/>
      <c r="G159" s="276" t="s">
        <v>7</v>
      </c>
      <c r="H159" s="235" t="s">
        <v>680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993</v>
      </c>
      <c r="F160" s="184"/>
      <c r="G160" s="272" t="s">
        <v>16</v>
      </c>
      <c r="H160" s="235" t="s">
        <v>680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993</v>
      </c>
      <c r="F161" s="184"/>
      <c r="G161" s="272" t="s">
        <v>17</v>
      </c>
      <c r="H161" s="235" t="s">
        <v>680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993</v>
      </c>
      <c r="F162" s="184"/>
      <c r="G162" s="272" t="s">
        <v>18</v>
      </c>
      <c r="H162" s="235" t="s">
        <v>680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1" t="s">
        <v>993</v>
      </c>
      <c r="F163" s="184"/>
      <c r="G163" s="272" t="s">
        <v>19</v>
      </c>
      <c r="H163" s="235" t="s">
        <v>680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993</v>
      </c>
      <c r="F164" s="184"/>
      <c r="G164" s="272" t="s">
        <v>4</v>
      </c>
      <c r="H164" s="235" t="s">
        <v>680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993</v>
      </c>
      <c r="F165" s="184"/>
      <c r="G165" s="272" t="s">
        <v>5</v>
      </c>
      <c r="H165" s="235" t="s">
        <v>680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/>
      <c r="F166" s="184"/>
      <c r="G166" s="338"/>
      <c r="H166" s="235" t="s">
        <v>680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/>
      <c r="F167" s="184"/>
      <c r="G167" s="338"/>
      <c r="H167" s="235" t="s">
        <v>680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993</v>
      </c>
      <c r="F168" s="13"/>
      <c r="G168" s="276" t="s">
        <v>332</v>
      </c>
      <c r="H168" s="235" t="s">
        <v>680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993</v>
      </c>
      <c r="F169" s="13"/>
      <c r="G169" s="276" t="s">
        <v>333</v>
      </c>
      <c r="H169" s="235" t="s">
        <v>680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993</v>
      </c>
      <c r="F170" s="13"/>
      <c r="G170" s="272" t="s">
        <v>329</v>
      </c>
      <c r="H170" s="235" t="s">
        <v>680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993</v>
      </c>
      <c r="F171" s="13"/>
      <c r="G171" s="272" t="s">
        <v>328</v>
      </c>
      <c r="H171" s="235" t="s">
        <v>680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682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682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84"/>
      <c r="F174" s="13"/>
      <c r="G174" s="13"/>
      <c r="H174" s="235" t="s">
        <v>682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84"/>
      <c r="F175" s="13"/>
      <c r="G175" s="13"/>
      <c r="H175" s="235" t="s">
        <v>682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993</v>
      </c>
      <c r="F176" s="13"/>
      <c r="G176" s="272" t="s">
        <v>310</v>
      </c>
      <c r="H176" s="235" t="s">
        <v>682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993</v>
      </c>
      <c r="F177" s="13"/>
      <c r="G177" s="272" t="s">
        <v>311</v>
      </c>
      <c r="H177" s="235" t="s">
        <v>682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993</v>
      </c>
      <c r="F178" s="13"/>
      <c r="G178" s="272" t="s">
        <v>317</v>
      </c>
      <c r="H178" s="235" t="s">
        <v>682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993</v>
      </c>
      <c r="F179" s="13"/>
      <c r="G179" s="272" t="s">
        <v>318</v>
      </c>
      <c r="H179" s="235" t="s">
        <v>682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4"/>
      <c r="F180" s="13"/>
      <c r="G180" s="271"/>
      <c r="H180" s="235" t="s">
        <v>682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4"/>
      <c r="F181" s="13"/>
      <c r="G181" s="271"/>
      <c r="H181" s="235" t="s">
        <v>682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993</v>
      </c>
      <c r="F182" s="13"/>
      <c r="G182" s="276" t="s">
        <v>319</v>
      </c>
      <c r="H182" s="235" t="s">
        <v>682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993</v>
      </c>
      <c r="F183" s="13"/>
      <c r="G183" s="276" t="s">
        <v>312</v>
      </c>
      <c r="H183" s="235" t="s">
        <v>682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993</v>
      </c>
      <c r="F184" s="184"/>
      <c r="G184" s="272" t="s">
        <v>303</v>
      </c>
      <c r="H184" s="235" t="s">
        <v>682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993</v>
      </c>
      <c r="F185" s="184"/>
      <c r="G185" s="272" t="s">
        <v>294</v>
      </c>
      <c r="H185" s="235" t="s">
        <v>682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993</v>
      </c>
      <c r="F186" s="13"/>
      <c r="G186" s="272" t="s">
        <v>304</v>
      </c>
      <c r="H186" s="235" t="s">
        <v>682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993</v>
      </c>
      <c r="F187" s="13"/>
      <c r="G187" s="272" t="s">
        <v>295</v>
      </c>
      <c r="H187" s="235" t="s">
        <v>682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993</v>
      </c>
      <c r="F188" s="13"/>
      <c r="G188" s="272" t="s">
        <v>313</v>
      </c>
      <c r="H188" s="235" t="s">
        <v>682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993</v>
      </c>
      <c r="F189" s="13"/>
      <c r="G189" s="272" t="s">
        <v>320</v>
      </c>
      <c r="H189" s="235" t="s">
        <v>682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4"/>
      <c r="F190" s="13"/>
      <c r="G190" s="271"/>
      <c r="H190" s="235" t="s">
        <v>682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4"/>
      <c r="F191" s="13"/>
      <c r="G191" s="271"/>
      <c r="H191" s="235" t="s">
        <v>682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993</v>
      </c>
      <c r="F192" s="184"/>
      <c r="G192" s="276" t="s">
        <v>292</v>
      </c>
      <c r="H192" s="235" t="s">
        <v>682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993</v>
      </c>
      <c r="F193" s="184"/>
      <c r="G193" s="276" t="s">
        <v>293</v>
      </c>
      <c r="H193" s="235" t="s">
        <v>682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993</v>
      </c>
      <c r="F194" s="13"/>
      <c r="G194" s="272" t="s">
        <v>301</v>
      </c>
      <c r="H194" s="235" t="s">
        <v>682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993</v>
      </c>
      <c r="F195" s="13"/>
      <c r="G195" s="272" t="s">
        <v>302</v>
      </c>
      <c r="H195" s="235" t="s">
        <v>682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41" t="s">
        <v>683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683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683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683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992</v>
      </c>
      <c r="F200" s="13"/>
      <c r="G200" s="270" t="s">
        <v>121</v>
      </c>
      <c r="H200" s="235" t="s">
        <v>683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992</v>
      </c>
      <c r="F201" s="13"/>
      <c r="G201" s="270" t="s">
        <v>120</v>
      </c>
      <c r="H201" s="235" t="s">
        <v>683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992</v>
      </c>
      <c r="F202" s="13"/>
      <c r="G202" s="270" t="s">
        <v>108</v>
      </c>
      <c r="H202" s="235" t="s">
        <v>683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992</v>
      </c>
      <c r="F203" s="13"/>
      <c r="G203" s="270" t="s">
        <v>109</v>
      </c>
      <c r="H203" s="235" t="s">
        <v>683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13"/>
      <c r="F204" s="13"/>
      <c r="G204" s="271"/>
      <c r="H204" s="235" t="s">
        <v>683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13"/>
      <c r="F205" s="13"/>
      <c r="G205" s="271"/>
      <c r="H205" s="235" t="s">
        <v>683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4" t="s">
        <v>992</v>
      </c>
      <c r="F206" s="13"/>
      <c r="G206" s="335" t="s">
        <v>100</v>
      </c>
      <c r="H206" s="235" t="s">
        <v>683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4" t="s">
        <v>992</v>
      </c>
      <c r="F207" s="13"/>
      <c r="G207" s="335" t="s">
        <v>101</v>
      </c>
      <c r="H207" s="235" t="s">
        <v>683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992</v>
      </c>
      <c r="F208" s="184"/>
      <c r="G208" s="336" t="s">
        <v>137</v>
      </c>
      <c r="H208" s="235" t="s">
        <v>683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992</v>
      </c>
      <c r="F209" s="184"/>
      <c r="G209" s="336" t="s">
        <v>136</v>
      </c>
      <c r="H209" s="235" t="s">
        <v>683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992</v>
      </c>
      <c r="F210" s="184"/>
      <c r="G210" s="270" t="s">
        <v>118</v>
      </c>
      <c r="H210" s="235" t="s">
        <v>683</v>
      </c>
      <c r="I210" s="13"/>
      <c r="J210" s="13"/>
      <c r="K210" s="16"/>
    </row>
    <row r="211" spans="2:11" ht="16.2" thickBot="1">
      <c r="B211" s="26">
        <v>206</v>
      </c>
      <c r="C211" s="228" t="s">
        <v>829</v>
      </c>
      <c r="D211" s="230" t="s">
        <v>534</v>
      </c>
      <c r="E211" s="271" t="s">
        <v>992</v>
      </c>
      <c r="F211" s="184"/>
      <c r="G211" s="270" t="s">
        <v>119</v>
      </c>
      <c r="H211" s="235" t="s">
        <v>683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992</v>
      </c>
      <c r="F212" s="184"/>
      <c r="G212" s="337" t="s">
        <v>110</v>
      </c>
      <c r="H212" s="235" t="s">
        <v>683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992</v>
      </c>
      <c r="F213" s="184"/>
      <c r="G213" s="270" t="s">
        <v>111</v>
      </c>
      <c r="H213" s="235" t="s">
        <v>683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184"/>
      <c r="F214" s="184"/>
      <c r="G214" s="338"/>
      <c r="H214" s="235" t="s">
        <v>683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184"/>
      <c r="F215" s="184"/>
      <c r="G215" s="338"/>
      <c r="H215" s="235" t="s">
        <v>683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4" t="s">
        <v>992</v>
      </c>
      <c r="F216" s="13"/>
      <c r="G216" s="276" t="s">
        <v>88</v>
      </c>
      <c r="H216" s="235" t="s">
        <v>683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4" t="s">
        <v>992</v>
      </c>
      <c r="F217" s="13"/>
      <c r="G217" s="276" t="s">
        <v>98</v>
      </c>
      <c r="H217" s="235" t="s">
        <v>683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992</v>
      </c>
      <c r="F218" s="13"/>
      <c r="G218" s="270" t="s">
        <v>128</v>
      </c>
      <c r="H218" s="235" t="s">
        <v>683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992</v>
      </c>
      <c r="F219" s="13"/>
      <c r="G219" s="270" t="s">
        <v>129</v>
      </c>
      <c r="H219" s="235" t="s">
        <v>683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993</v>
      </c>
      <c r="F221" s="271"/>
      <c r="G221" s="217" t="s">
        <v>958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993</v>
      </c>
      <c r="F223" s="275"/>
      <c r="G223" s="270" t="s">
        <v>948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992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1" t="s">
        <v>993</v>
      </c>
      <c r="F230" s="5"/>
      <c r="G230" s="272" t="s">
        <v>960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5"/>
      <c r="F231" s="5"/>
      <c r="G231" s="5"/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993</v>
      </c>
      <c r="F232" s="5"/>
      <c r="G232" s="270" t="s">
        <v>949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670</v>
      </c>
      <c r="E233" s="5"/>
      <c r="F233" s="5"/>
      <c r="G233" s="5"/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992</v>
      </c>
      <c r="F234" s="271"/>
      <c r="G234" s="343" t="s">
        <v>949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1" t="s">
        <v>993</v>
      </c>
      <c r="F236" s="5"/>
      <c r="G236" s="272" t="s">
        <v>959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5"/>
      <c r="F237" s="5"/>
      <c r="G237" s="5"/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993</v>
      </c>
      <c r="F238" s="5"/>
      <c r="G238" s="270" t="s">
        <v>160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5"/>
      <c r="F239" s="5"/>
      <c r="G239" s="5"/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992</v>
      </c>
      <c r="F240" s="271"/>
      <c r="G240" s="343" t="s">
        <v>160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993</v>
      </c>
      <c r="F242" s="275"/>
      <c r="G242" s="272" t="s">
        <v>0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993</v>
      </c>
      <c r="F244" s="271"/>
      <c r="G244" s="270" t="s">
        <v>947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992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44"/>
      <c r="H247" s="13"/>
      <c r="I247" s="13"/>
      <c r="J247" s="271" t="s">
        <v>970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44"/>
      <c r="H248" s="13"/>
      <c r="I248" s="13"/>
      <c r="J248" s="271" t="s">
        <v>970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57"/>
      <c r="H249" s="13"/>
      <c r="I249" s="13"/>
      <c r="J249" s="271" t="s">
        <v>970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57"/>
      <c r="H250" s="13"/>
      <c r="I250" s="13"/>
      <c r="J250" s="271" t="s">
        <v>970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57"/>
      <c r="H251" s="13"/>
      <c r="I251" s="13"/>
      <c r="J251" s="271" t="s">
        <v>970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57"/>
      <c r="H252" s="13"/>
      <c r="I252" s="13"/>
      <c r="J252" s="271" t="s">
        <v>970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17"/>
      <c r="H388" s="13"/>
      <c r="I388" s="13"/>
      <c r="J388" s="271" t="s">
        <v>963</v>
      </c>
      <c r="K388" s="217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17"/>
      <c r="H389" s="13"/>
      <c r="I389" s="13"/>
      <c r="J389" s="271" t="s">
        <v>963</v>
      </c>
      <c r="K389" s="217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17"/>
      <c r="H390" s="13"/>
      <c r="I390" s="13"/>
      <c r="J390" s="271" t="s">
        <v>963</v>
      </c>
      <c r="K390" s="217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17"/>
      <c r="H391" s="13"/>
      <c r="I391" s="13"/>
      <c r="J391" s="271" t="s">
        <v>963</v>
      </c>
      <c r="K391" s="217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17"/>
      <c r="H392" s="13"/>
      <c r="I392" s="13"/>
      <c r="J392" s="271" t="s">
        <v>963</v>
      </c>
      <c r="K392" s="217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17"/>
      <c r="H393" s="13"/>
      <c r="I393" s="13"/>
      <c r="J393" s="271" t="s">
        <v>963</v>
      </c>
      <c r="K393" s="217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344" t="s">
        <v>993</v>
      </c>
      <c r="F396" s="13"/>
      <c r="G396" s="217" t="s">
        <v>956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344" t="s">
        <v>993</v>
      </c>
      <c r="F397" s="13"/>
      <c r="G397" s="217" t="s">
        <v>957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344" t="s">
        <v>993</v>
      </c>
      <c r="F400" s="344"/>
      <c r="G400" s="270" t="s">
        <v>945</v>
      </c>
      <c r="H400" s="5"/>
      <c r="I400" s="5"/>
      <c r="J400" s="5"/>
      <c r="K400" s="14"/>
    </row>
    <row r="401" spans="2:12">
      <c r="B401" s="26">
        <v>396</v>
      </c>
      <c r="C401" s="259" t="s">
        <v>872</v>
      </c>
      <c r="D401" s="302" t="s">
        <v>648</v>
      </c>
      <c r="E401" s="344" t="s">
        <v>993</v>
      </c>
      <c r="F401" s="344"/>
      <c r="G401" s="270" t="s">
        <v>946</v>
      </c>
      <c r="H401" s="5"/>
      <c r="I401" s="5"/>
      <c r="J401" s="5"/>
      <c r="K401" s="14"/>
    </row>
    <row r="402" spans="2:12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2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2">
      <c r="B404" s="26">
        <v>399</v>
      </c>
      <c r="C404" s="228" t="s">
        <v>227</v>
      </c>
      <c r="D404" s="300" t="s">
        <v>639</v>
      </c>
      <c r="E404" s="271" t="s">
        <v>992</v>
      </c>
      <c r="F404" s="263"/>
      <c r="G404" s="282" t="s">
        <v>945</v>
      </c>
      <c r="H404" s="13"/>
      <c r="I404" s="13"/>
      <c r="J404" s="13"/>
      <c r="K404" s="16"/>
    </row>
    <row r="405" spans="2:12" ht="16.2" thickBot="1">
      <c r="B405" s="26">
        <v>400</v>
      </c>
      <c r="C405" s="291" t="s">
        <v>235</v>
      </c>
      <c r="D405" s="303" t="s">
        <v>640</v>
      </c>
      <c r="E405" s="292" t="s">
        <v>992</v>
      </c>
      <c r="F405" s="297"/>
      <c r="G405" s="298" t="s">
        <v>946</v>
      </c>
      <c r="H405" s="226"/>
      <c r="I405" s="226"/>
      <c r="J405" s="226"/>
      <c r="K405" s="227"/>
    </row>
    <row r="406" spans="2:12">
      <c r="B406"/>
      <c r="C406"/>
      <c r="D406"/>
      <c r="E406"/>
      <c r="F406"/>
      <c r="G406"/>
      <c r="H406"/>
      <c r="I406"/>
      <c r="J406"/>
      <c r="K406"/>
      <c r="L406"/>
    </row>
    <row r="407" spans="2:12">
      <c r="B407"/>
      <c r="C407"/>
      <c r="D407"/>
      <c r="E407"/>
      <c r="F407"/>
      <c r="G407"/>
      <c r="H407"/>
      <c r="I407"/>
      <c r="J407"/>
      <c r="K407"/>
      <c r="L407"/>
    </row>
    <row r="408" spans="2:12">
      <c r="B408"/>
      <c r="C408"/>
      <c r="D408"/>
      <c r="E408"/>
      <c r="F408"/>
      <c r="G408"/>
      <c r="H408"/>
      <c r="I408"/>
      <c r="J408"/>
      <c r="K408"/>
      <c r="L408"/>
    </row>
    <row r="409" spans="2:12">
      <c r="B409"/>
      <c r="C409"/>
      <c r="D409"/>
      <c r="E409"/>
      <c r="F409"/>
      <c r="G409"/>
      <c r="H409"/>
      <c r="I409"/>
      <c r="J409"/>
      <c r="K409"/>
      <c r="L409"/>
    </row>
    <row r="410" spans="2:12">
      <c r="B410"/>
      <c r="C410"/>
      <c r="D410"/>
      <c r="E410"/>
      <c r="F410"/>
      <c r="G410"/>
      <c r="H410"/>
      <c r="I410"/>
      <c r="J410"/>
      <c r="K410"/>
      <c r="L410"/>
    </row>
    <row r="411" spans="2:12">
      <c r="B411"/>
      <c r="C411"/>
      <c r="D411"/>
      <c r="E411"/>
      <c r="F411"/>
      <c r="G411"/>
      <c r="H411"/>
      <c r="I411"/>
      <c r="J411"/>
      <c r="K411"/>
      <c r="L411"/>
    </row>
    <row r="412" spans="2:12">
      <c r="B412"/>
      <c r="C412"/>
      <c r="D412"/>
      <c r="E412"/>
      <c r="F412"/>
      <c r="G412"/>
      <c r="H412"/>
      <c r="I412"/>
      <c r="J412"/>
      <c r="K412"/>
      <c r="L412"/>
    </row>
    <row r="413" spans="2:12">
      <c r="B413"/>
      <c r="C413"/>
      <c r="D413"/>
      <c r="E413"/>
      <c r="F413"/>
      <c r="G413"/>
      <c r="H413"/>
      <c r="I413"/>
      <c r="J413"/>
      <c r="K413"/>
      <c r="L413"/>
    </row>
    <row r="414" spans="2:12">
      <c r="B414"/>
      <c r="C414"/>
      <c r="D414"/>
      <c r="E414"/>
      <c r="F414"/>
      <c r="G414"/>
      <c r="H414"/>
      <c r="I414"/>
      <c r="J414"/>
      <c r="K414"/>
      <c r="L414"/>
    </row>
    <row r="415" spans="2:12">
      <c r="B415"/>
      <c r="C415"/>
      <c r="D415"/>
      <c r="E415"/>
      <c r="F415"/>
      <c r="G415"/>
      <c r="H415"/>
      <c r="I415"/>
      <c r="J415"/>
      <c r="K415"/>
      <c r="L415"/>
    </row>
    <row r="416" spans="2:12">
      <c r="B416"/>
      <c r="C416"/>
      <c r="D416"/>
      <c r="E416"/>
      <c r="F416"/>
      <c r="G416"/>
      <c r="H416"/>
      <c r="I416"/>
      <c r="J416"/>
      <c r="K416"/>
      <c r="L416"/>
    </row>
    <row r="417" spans="2:12">
      <c r="B417"/>
      <c r="C417"/>
      <c r="D417"/>
      <c r="E417"/>
      <c r="F417"/>
      <c r="G417"/>
      <c r="H417"/>
      <c r="I417"/>
      <c r="J417"/>
      <c r="K417"/>
      <c r="L417"/>
    </row>
    <row r="418" spans="2:12">
      <c r="B418"/>
      <c r="C418"/>
      <c r="D418"/>
      <c r="E418"/>
      <c r="F418"/>
      <c r="G418"/>
      <c r="H418"/>
      <c r="I418"/>
      <c r="J418"/>
      <c r="K418"/>
      <c r="L418"/>
    </row>
    <row r="419" spans="2:12">
      <c r="B419"/>
      <c r="C419"/>
      <c r="D419"/>
      <c r="E419"/>
      <c r="F419"/>
      <c r="G419"/>
      <c r="H419"/>
      <c r="I419"/>
      <c r="J419"/>
      <c r="K419"/>
      <c r="L419"/>
    </row>
    <row r="420" spans="2:12">
      <c r="B420"/>
      <c r="C420"/>
      <c r="D420"/>
      <c r="E420"/>
      <c r="F420"/>
      <c r="G420"/>
      <c r="H420"/>
      <c r="I420"/>
      <c r="J420"/>
      <c r="K420"/>
      <c r="L420"/>
    </row>
    <row r="421" spans="2:12">
      <c r="B421"/>
      <c r="C421"/>
      <c r="D421"/>
      <c r="E421"/>
      <c r="F421"/>
      <c r="G421"/>
      <c r="H421"/>
      <c r="I421"/>
      <c r="J421"/>
      <c r="K421"/>
      <c r="L421"/>
    </row>
    <row r="422" spans="2:12">
      <c r="B422"/>
      <c r="C422"/>
      <c r="D422"/>
      <c r="E422"/>
      <c r="F422"/>
      <c r="G422"/>
      <c r="H422"/>
      <c r="I422"/>
      <c r="J422"/>
      <c r="K422"/>
      <c r="L422"/>
    </row>
    <row r="423" spans="2:12">
      <c r="B423"/>
      <c r="C423"/>
      <c r="D423"/>
      <c r="E423"/>
      <c r="F423"/>
      <c r="G423"/>
      <c r="H423"/>
      <c r="I423"/>
      <c r="J423"/>
      <c r="K423"/>
      <c r="L423"/>
    </row>
    <row r="424" spans="2:12">
      <c r="B424"/>
      <c r="C424"/>
      <c r="D424"/>
      <c r="E424"/>
      <c r="F424"/>
      <c r="G424"/>
      <c r="H424"/>
      <c r="I424"/>
      <c r="J424"/>
      <c r="K424"/>
      <c r="L424"/>
    </row>
    <row r="425" spans="2:12">
      <c r="B425"/>
      <c r="C425"/>
      <c r="D425"/>
      <c r="E425"/>
      <c r="F425"/>
      <c r="G425"/>
      <c r="H425"/>
      <c r="I425"/>
      <c r="J425"/>
      <c r="K425"/>
      <c r="L425"/>
    </row>
    <row r="426" spans="2:12">
      <c r="B426"/>
      <c r="C426"/>
      <c r="D426"/>
      <c r="E426"/>
      <c r="F426"/>
      <c r="G426"/>
      <c r="H426"/>
      <c r="I426"/>
      <c r="J426"/>
      <c r="K426"/>
      <c r="L426"/>
    </row>
    <row r="427" spans="2:12">
      <c r="B427"/>
      <c r="C427"/>
      <c r="D427"/>
      <c r="E427"/>
      <c r="F427"/>
      <c r="G427"/>
      <c r="H427"/>
      <c r="I427"/>
      <c r="J427"/>
      <c r="K427"/>
      <c r="L427"/>
    </row>
    <row r="428" spans="2:12">
      <c r="B428"/>
      <c r="C428"/>
      <c r="D428"/>
      <c r="E428"/>
      <c r="F428"/>
      <c r="G428"/>
      <c r="H428"/>
      <c r="I428"/>
      <c r="J428"/>
      <c r="K428"/>
      <c r="L428"/>
    </row>
    <row r="429" spans="2:12">
      <c r="B429"/>
      <c r="C429"/>
      <c r="D429"/>
      <c r="E429"/>
      <c r="F429"/>
      <c r="G429"/>
      <c r="H429"/>
      <c r="I429"/>
      <c r="J429"/>
      <c r="K429"/>
      <c r="L429"/>
    </row>
    <row r="430" spans="2:12">
      <c r="B430"/>
      <c r="C430"/>
      <c r="D430"/>
      <c r="E430"/>
      <c r="F430"/>
      <c r="G430"/>
      <c r="H430"/>
      <c r="I430"/>
      <c r="J430"/>
      <c r="K430"/>
      <c r="L430"/>
    </row>
    <row r="431" spans="2:12">
      <c r="B431"/>
      <c r="C431"/>
      <c r="D431"/>
      <c r="E431"/>
      <c r="F431"/>
      <c r="G431"/>
      <c r="H431"/>
      <c r="I431"/>
      <c r="J431"/>
      <c r="K431"/>
      <c r="L431"/>
    </row>
    <row r="432" spans="2:12">
      <c r="B432"/>
      <c r="C432"/>
      <c r="D432"/>
      <c r="E432"/>
      <c r="F432"/>
      <c r="G432"/>
      <c r="H432"/>
      <c r="I432"/>
      <c r="J432"/>
      <c r="K432"/>
      <c r="L432"/>
    </row>
    <row r="433" spans="2:12">
      <c r="B433"/>
      <c r="C433"/>
      <c r="D433"/>
      <c r="E433"/>
      <c r="F433"/>
      <c r="G433"/>
      <c r="H433"/>
      <c r="I433"/>
      <c r="J433"/>
      <c r="K433"/>
      <c r="L433"/>
    </row>
    <row r="434" spans="2:12">
      <c r="B434"/>
      <c r="C434"/>
      <c r="D434"/>
      <c r="E434"/>
      <c r="F434"/>
      <c r="G434"/>
      <c r="H434"/>
      <c r="I434"/>
      <c r="J434"/>
      <c r="K434"/>
      <c r="L434"/>
    </row>
    <row r="435" spans="2:12">
      <c r="B435"/>
      <c r="C435"/>
      <c r="D435"/>
      <c r="E435"/>
      <c r="F435"/>
      <c r="G435"/>
      <c r="H435"/>
      <c r="I435"/>
      <c r="J435"/>
      <c r="K435"/>
      <c r="L435"/>
    </row>
    <row r="436" spans="2:12">
      <c r="B436"/>
      <c r="C436"/>
      <c r="D436"/>
      <c r="E436"/>
      <c r="F436"/>
      <c r="G436"/>
      <c r="H436"/>
      <c r="I436"/>
      <c r="J436"/>
      <c r="K436"/>
      <c r="L436"/>
    </row>
    <row r="437" spans="2:12">
      <c r="B437"/>
      <c r="C437"/>
      <c r="D437"/>
      <c r="E437"/>
      <c r="F437"/>
      <c r="G437"/>
      <c r="H437"/>
      <c r="I437"/>
      <c r="J437"/>
      <c r="K437"/>
      <c r="L437"/>
    </row>
    <row r="438" spans="2:12">
      <c r="B438"/>
      <c r="C438"/>
      <c r="D438"/>
      <c r="E438"/>
      <c r="F438"/>
      <c r="G438"/>
      <c r="H438"/>
      <c r="I438"/>
      <c r="J438"/>
      <c r="K438"/>
      <c r="L438"/>
    </row>
    <row r="439" spans="2:12">
      <c r="B439"/>
      <c r="C439"/>
      <c r="D439"/>
      <c r="E439"/>
      <c r="F439"/>
      <c r="G439"/>
      <c r="H439"/>
      <c r="I439"/>
      <c r="J439"/>
      <c r="K439"/>
      <c r="L439"/>
    </row>
    <row r="440" spans="2:12">
      <c r="B440"/>
      <c r="C440"/>
      <c r="D440"/>
      <c r="E440"/>
      <c r="F440"/>
      <c r="G440"/>
      <c r="H440"/>
      <c r="I440"/>
      <c r="J440"/>
      <c r="K440"/>
      <c r="L440"/>
    </row>
    <row r="441" spans="2:12">
      <c r="B441"/>
      <c r="C441"/>
      <c r="D441"/>
      <c r="E441"/>
      <c r="F441"/>
      <c r="G441"/>
      <c r="H441"/>
      <c r="I441"/>
      <c r="J441"/>
      <c r="K441"/>
      <c r="L441"/>
    </row>
    <row r="442" spans="2:12">
      <c r="B442"/>
      <c r="C442"/>
      <c r="D442"/>
      <c r="E442"/>
      <c r="F442"/>
      <c r="G442"/>
      <c r="H442"/>
      <c r="I442"/>
      <c r="J442"/>
      <c r="K442"/>
      <c r="L442"/>
    </row>
    <row r="443" spans="2:12">
      <c r="B443"/>
      <c r="C443"/>
      <c r="D443"/>
      <c r="E443"/>
      <c r="F443"/>
      <c r="G443"/>
      <c r="H443"/>
      <c r="I443"/>
      <c r="J443"/>
      <c r="K443"/>
      <c r="L443"/>
    </row>
    <row r="444" spans="2:12">
      <c r="B444"/>
      <c r="C444"/>
      <c r="D444"/>
      <c r="E444"/>
      <c r="F444"/>
      <c r="G444"/>
      <c r="H444"/>
      <c r="I444"/>
      <c r="J444"/>
      <c r="K444"/>
      <c r="L444"/>
    </row>
    <row r="445" spans="2:12">
      <c r="B445"/>
      <c r="C445"/>
      <c r="D445"/>
      <c r="E445"/>
      <c r="F445"/>
      <c r="G445"/>
      <c r="H445"/>
      <c r="I445"/>
      <c r="J445"/>
      <c r="K445"/>
      <c r="L445"/>
    </row>
    <row r="446" spans="2:12">
      <c r="B446"/>
      <c r="C446"/>
      <c r="D446"/>
      <c r="E446"/>
      <c r="F446"/>
      <c r="G446"/>
      <c r="H446"/>
      <c r="I446"/>
      <c r="J446"/>
      <c r="K446"/>
      <c r="L446"/>
    </row>
    <row r="447" spans="2:12">
      <c r="B447"/>
      <c r="C447"/>
      <c r="D447"/>
      <c r="E447"/>
      <c r="F447"/>
      <c r="G447"/>
      <c r="H447"/>
      <c r="I447"/>
      <c r="J447"/>
      <c r="K447"/>
      <c r="L447"/>
    </row>
    <row r="448" spans="2:12">
      <c r="B448"/>
      <c r="C448"/>
      <c r="D448"/>
      <c r="E448"/>
      <c r="F448"/>
      <c r="G448"/>
      <c r="H448"/>
      <c r="I448"/>
      <c r="J448"/>
      <c r="K448"/>
      <c r="L448"/>
    </row>
    <row r="449" spans="2:12">
      <c r="B449"/>
      <c r="C449"/>
      <c r="D449"/>
      <c r="E449"/>
      <c r="F449"/>
      <c r="G449"/>
      <c r="H449"/>
      <c r="I449"/>
      <c r="J449"/>
      <c r="K449"/>
      <c r="L449"/>
    </row>
    <row r="450" spans="2:12">
      <c r="B450"/>
      <c r="C450"/>
      <c r="D450"/>
      <c r="E450"/>
      <c r="F450"/>
      <c r="G450"/>
      <c r="H450"/>
      <c r="I450"/>
      <c r="J450"/>
      <c r="K450"/>
      <c r="L450"/>
    </row>
    <row r="451" spans="2:12">
      <c r="B451"/>
      <c r="C451"/>
      <c r="D451"/>
      <c r="E451"/>
      <c r="F451"/>
      <c r="G451"/>
      <c r="H451"/>
      <c r="I451"/>
      <c r="J451"/>
      <c r="K451"/>
      <c r="L451"/>
    </row>
    <row r="452" spans="2:12">
      <c r="B452"/>
      <c r="C452"/>
      <c r="D452"/>
      <c r="E452"/>
      <c r="F452"/>
      <c r="G452"/>
      <c r="H452"/>
      <c r="I452"/>
      <c r="J452"/>
      <c r="K452"/>
      <c r="L452"/>
    </row>
    <row r="453" spans="2:12">
      <c r="B453"/>
      <c r="C453"/>
      <c r="D453"/>
      <c r="E453"/>
      <c r="F453"/>
      <c r="G453"/>
      <c r="H453"/>
      <c r="I453"/>
      <c r="J453"/>
      <c r="K453"/>
      <c r="L453"/>
    </row>
    <row r="454" spans="2:12">
      <c r="B454"/>
      <c r="C454"/>
      <c r="D454"/>
      <c r="E454"/>
      <c r="F454"/>
      <c r="G454"/>
      <c r="H454"/>
      <c r="I454"/>
      <c r="J454"/>
      <c r="K454"/>
      <c r="L454"/>
    </row>
    <row r="455" spans="2:12">
      <c r="B455"/>
      <c r="C455"/>
      <c r="D455"/>
      <c r="E455"/>
      <c r="F455"/>
      <c r="G455"/>
      <c r="H455"/>
      <c r="I455"/>
      <c r="J455"/>
      <c r="K455"/>
      <c r="L455"/>
    </row>
    <row r="456" spans="2:12">
      <c r="B456"/>
      <c r="C456"/>
      <c r="D456"/>
      <c r="E456"/>
      <c r="F456"/>
      <c r="G456"/>
      <c r="H456"/>
      <c r="I456"/>
      <c r="J456"/>
      <c r="K456"/>
      <c r="L456"/>
    </row>
    <row r="457" spans="2:12">
      <c r="B457"/>
      <c r="C457"/>
      <c r="D457"/>
      <c r="E457"/>
      <c r="F457"/>
      <c r="G457"/>
      <c r="H457"/>
      <c r="I457"/>
      <c r="J457"/>
      <c r="K457"/>
      <c r="L457"/>
    </row>
    <row r="458" spans="2:12">
      <c r="B458"/>
      <c r="C458"/>
      <c r="D458"/>
      <c r="E458"/>
      <c r="F458"/>
      <c r="G458"/>
      <c r="H458"/>
      <c r="I458"/>
      <c r="J458"/>
      <c r="K458"/>
      <c r="L458"/>
    </row>
    <row r="459" spans="2:12">
      <c r="B459"/>
      <c r="C459"/>
      <c r="D459"/>
      <c r="E459"/>
      <c r="F459"/>
      <c r="G459"/>
      <c r="H459"/>
      <c r="I459"/>
      <c r="J459"/>
      <c r="K459"/>
      <c r="L459"/>
    </row>
    <row r="460" spans="2:12">
      <c r="B460"/>
      <c r="C460"/>
      <c r="D460"/>
      <c r="E460"/>
      <c r="F460"/>
      <c r="G460"/>
      <c r="H460"/>
      <c r="I460"/>
      <c r="J460"/>
      <c r="K460"/>
      <c r="L460"/>
    </row>
    <row r="461" spans="2:12">
      <c r="B461"/>
      <c r="C461"/>
      <c r="D461"/>
      <c r="E461"/>
      <c r="F461"/>
      <c r="G461"/>
      <c r="H461"/>
      <c r="I461"/>
      <c r="J461"/>
      <c r="K461"/>
      <c r="L461"/>
    </row>
    <row r="462" spans="2:12">
      <c r="B462"/>
      <c r="C462"/>
      <c r="D462"/>
      <c r="E462"/>
      <c r="F462"/>
      <c r="G462"/>
      <c r="H462"/>
      <c r="I462"/>
      <c r="J462"/>
      <c r="K462"/>
      <c r="L462"/>
    </row>
    <row r="463" spans="2:12">
      <c r="B463"/>
      <c r="C463"/>
      <c r="D463"/>
      <c r="E463"/>
      <c r="F463"/>
      <c r="G463"/>
      <c r="H463"/>
      <c r="I463"/>
      <c r="J463"/>
      <c r="K463"/>
      <c r="L463"/>
    </row>
    <row r="464" spans="2:12">
      <c r="B464"/>
      <c r="C464"/>
      <c r="D464"/>
      <c r="E464"/>
      <c r="F464"/>
      <c r="G464"/>
      <c r="H464"/>
      <c r="I464"/>
      <c r="J464"/>
      <c r="K464"/>
      <c r="L464"/>
    </row>
    <row r="465" spans="2:12">
      <c r="B465"/>
      <c r="C465"/>
      <c r="D465"/>
      <c r="E465"/>
      <c r="F465"/>
      <c r="G465"/>
      <c r="H465"/>
      <c r="I465"/>
      <c r="J465"/>
      <c r="K465"/>
      <c r="L465"/>
    </row>
    <row r="466" spans="2:12">
      <c r="B466"/>
      <c r="C466"/>
      <c r="D466"/>
      <c r="E466"/>
      <c r="F466"/>
      <c r="G466"/>
      <c r="H466"/>
      <c r="I466"/>
      <c r="J466"/>
      <c r="K466"/>
      <c r="L466"/>
    </row>
    <row r="467" spans="2:12">
      <c r="B467"/>
      <c r="C467"/>
      <c r="D467"/>
      <c r="E467"/>
      <c r="F467"/>
      <c r="G467"/>
      <c r="H467"/>
      <c r="I467"/>
      <c r="J467"/>
      <c r="K467"/>
      <c r="L467"/>
    </row>
    <row r="468" spans="2:12">
      <c r="B468"/>
      <c r="C468"/>
      <c r="D468"/>
      <c r="E468"/>
      <c r="F468"/>
      <c r="G468"/>
      <c r="H468"/>
      <c r="I468"/>
      <c r="J468"/>
      <c r="K468"/>
      <c r="L468"/>
    </row>
    <row r="469" spans="2:12">
      <c r="B469"/>
      <c r="C469"/>
      <c r="D469"/>
      <c r="E469"/>
      <c r="F469"/>
      <c r="G469"/>
      <c r="H469"/>
      <c r="I469"/>
      <c r="J469"/>
      <c r="K469"/>
      <c r="L469"/>
    </row>
    <row r="470" spans="2:12">
      <c r="B470"/>
      <c r="C470"/>
      <c r="D470"/>
      <c r="E470"/>
      <c r="F470"/>
      <c r="G470"/>
      <c r="H470"/>
      <c r="I470"/>
      <c r="J470"/>
      <c r="K470"/>
      <c r="L470"/>
    </row>
    <row r="471" spans="2:12">
      <c r="B471"/>
      <c r="C471"/>
      <c r="D471"/>
      <c r="E471"/>
      <c r="F471"/>
      <c r="G471"/>
      <c r="H471"/>
      <c r="I471"/>
      <c r="J471"/>
      <c r="K471"/>
      <c r="L471"/>
    </row>
    <row r="472" spans="2:12">
      <c r="B472"/>
      <c r="C472"/>
      <c r="D472"/>
      <c r="E472"/>
      <c r="F472"/>
      <c r="G472"/>
      <c r="H472"/>
      <c r="I472"/>
      <c r="J472"/>
      <c r="K472"/>
      <c r="L472"/>
    </row>
    <row r="473" spans="2:12">
      <c r="B473"/>
      <c r="C473"/>
      <c r="D473"/>
      <c r="E473"/>
      <c r="F473"/>
      <c r="G473"/>
      <c r="H473"/>
      <c r="I473"/>
      <c r="J473"/>
      <c r="K473"/>
      <c r="L473"/>
    </row>
    <row r="474" spans="2:12">
      <c r="B474"/>
      <c r="C474"/>
      <c r="D474"/>
      <c r="E474"/>
      <c r="F474"/>
      <c r="G474"/>
      <c r="H474"/>
      <c r="I474"/>
      <c r="J474"/>
      <c r="K474"/>
      <c r="L474"/>
    </row>
    <row r="475" spans="2:12">
      <c r="B475"/>
      <c r="C475"/>
      <c r="D475"/>
      <c r="E475"/>
      <c r="F475"/>
      <c r="G475"/>
      <c r="H475"/>
      <c r="I475"/>
      <c r="J475"/>
      <c r="K475"/>
      <c r="L475"/>
    </row>
    <row r="476" spans="2:12">
      <c r="B476"/>
      <c r="C476"/>
      <c r="D476"/>
      <c r="E476"/>
      <c r="F476"/>
      <c r="G476"/>
      <c r="H476"/>
      <c r="I476"/>
      <c r="J476"/>
      <c r="K476"/>
      <c r="L476"/>
    </row>
    <row r="477" spans="2:12">
      <c r="B477"/>
      <c r="C477"/>
      <c r="D477"/>
      <c r="E477"/>
      <c r="F477"/>
      <c r="G477"/>
      <c r="H477"/>
      <c r="I477"/>
      <c r="J477"/>
      <c r="K477"/>
      <c r="L477"/>
    </row>
    <row r="478" spans="2:12">
      <c r="B478"/>
      <c r="C478"/>
      <c r="D478"/>
      <c r="E478"/>
      <c r="F478"/>
      <c r="G478"/>
      <c r="H478"/>
      <c r="I478"/>
      <c r="J478"/>
      <c r="K478"/>
      <c r="L478"/>
    </row>
    <row r="479" spans="2:12">
      <c r="B479"/>
      <c r="C479"/>
      <c r="D479"/>
      <c r="E479"/>
      <c r="F479"/>
      <c r="G479"/>
      <c r="H479"/>
      <c r="I479"/>
      <c r="J479"/>
      <c r="K479"/>
      <c r="L479"/>
    </row>
    <row r="480" spans="2:12">
      <c r="B480"/>
      <c r="C480"/>
      <c r="D480"/>
      <c r="E480"/>
      <c r="F480"/>
      <c r="G480"/>
      <c r="H480"/>
      <c r="I480"/>
      <c r="J480"/>
      <c r="K480"/>
      <c r="L480"/>
    </row>
    <row r="481" spans="2:12">
      <c r="B481"/>
      <c r="C481"/>
      <c r="D481"/>
      <c r="E481"/>
      <c r="F481"/>
      <c r="G481"/>
      <c r="H481"/>
      <c r="I481"/>
      <c r="J481"/>
      <c r="K481"/>
      <c r="L481"/>
    </row>
    <row r="482" spans="2:12">
      <c r="B482"/>
      <c r="C482"/>
      <c r="D482"/>
      <c r="E482"/>
      <c r="F482"/>
      <c r="G482"/>
      <c r="H482"/>
      <c r="I482"/>
      <c r="J482"/>
      <c r="K482"/>
      <c r="L482"/>
    </row>
    <row r="483" spans="2:12">
      <c r="B483"/>
      <c r="C483"/>
      <c r="D483"/>
      <c r="E483"/>
      <c r="F483"/>
      <c r="G483"/>
      <c r="H483"/>
      <c r="I483"/>
      <c r="J483"/>
      <c r="K483"/>
      <c r="L483"/>
    </row>
    <row r="484" spans="2:12">
      <c r="B484"/>
      <c r="C484"/>
      <c r="D484"/>
      <c r="E484"/>
      <c r="F484"/>
      <c r="G484"/>
      <c r="H484"/>
      <c r="I484"/>
      <c r="J484"/>
      <c r="K484"/>
      <c r="L484"/>
    </row>
    <row r="485" spans="2:12">
      <c r="B485"/>
      <c r="C485"/>
      <c r="D485"/>
      <c r="E485"/>
      <c r="F485"/>
      <c r="G485"/>
      <c r="H485"/>
      <c r="I485"/>
      <c r="J485"/>
      <c r="K485"/>
      <c r="L485"/>
    </row>
    <row r="486" spans="2:12">
      <c r="B486"/>
      <c r="C486"/>
      <c r="D486"/>
      <c r="E486"/>
      <c r="F486"/>
      <c r="G486"/>
      <c r="H486"/>
      <c r="I486"/>
      <c r="J486"/>
      <c r="K486"/>
      <c r="L486"/>
    </row>
    <row r="487" spans="2:12">
      <c r="B487"/>
      <c r="C487"/>
      <c r="D487"/>
      <c r="E487"/>
      <c r="F487"/>
      <c r="G487"/>
      <c r="H487"/>
      <c r="I487"/>
      <c r="J487"/>
      <c r="K487"/>
      <c r="L487"/>
    </row>
    <row r="488" spans="2:12">
      <c r="B488"/>
      <c r="C488"/>
      <c r="D488"/>
      <c r="E488"/>
      <c r="F488"/>
      <c r="G488"/>
      <c r="H488"/>
      <c r="I488"/>
      <c r="J488"/>
      <c r="K488"/>
      <c r="L488"/>
    </row>
    <row r="489" spans="2:12">
      <c r="B489"/>
      <c r="C489"/>
      <c r="D489"/>
      <c r="E489"/>
      <c r="F489"/>
      <c r="G489"/>
      <c r="H489"/>
      <c r="I489"/>
      <c r="J489"/>
      <c r="K489"/>
      <c r="L489"/>
    </row>
    <row r="490" spans="2:12">
      <c r="B490"/>
      <c r="C490"/>
      <c r="D490"/>
      <c r="E490"/>
      <c r="F490"/>
      <c r="G490"/>
      <c r="H490"/>
      <c r="I490"/>
      <c r="J490"/>
      <c r="K490"/>
      <c r="L490"/>
    </row>
    <row r="491" spans="2:12">
      <c r="B491"/>
      <c r="C491"/>
      <c r="D491"/>
      <c r="E491"/>
      <c r="F491"/>
      <c r="G491"/>
      <c r="H491"/>
      <c r="I491"/>
      <c r="J491"/>
      <c r="K491"/>
      <c r="L491"/>
    </row>
    <row r="492" spans="2:12">
      <c r="B492"/>
      <c r="C492"/>
      <c r="D492"/>
      <c r="E492"/>
      <c r="F492"/>
      <c r="G492"/>
      <c r="H492"/>
      <c r="I492"/>
      <c r="J492"/>
      <c r="K492"/>
      <c r="L492"/>
    </row>
    <row r="493" spans="2:12">
      <c r="B493"/>
      <c r="C493"/>
      <c r="D493"/>
      <c r="E493"/>
      <c r="F493"/>
      <c r="G493"/>
      <c r="H493"/>
      <c r="I493"/>
      <c r="J493"/>
      <c r="K493"/>
      <c r="L493"/>
    </row>
    <row r="494" spans="2:12">
      <c r="B494"/>
      <c r="C494"/>
      <c r="D494"/>
      <c r="E494"/>
      <c r="F494"/>
      <c r="G494"/>
      <c r="H494"/>
      <c r="I494"/>
      <c r="J494"/>
      <c r="K494"/>
      <c r="L494"/>
    </row>
    <row r="495" spans="2:12">
      <c r="B495"/>
      <c r="C495"/>
      <c r="D495"/>
      <c r="E495"/>
      <c r="F495"/>
      <c r="G495"/>
      <c r="H495"/>
      <c r="I495"/>
      <c r="J495"/>
      <c r="K495"/>
      <c r="L495"/>
    </row>
    <row r="496" spans="2:12">
      <c r="B496"/>
      <c r="C496"/>
      <c r="D496"/>
      <c r="E496"/>
      <c r="F496"/>
      <c r="G496"/>
      <c r="H496"/>
      <c r="I496"/>
      <c r="J496"/>
      <c r="K496"/>
      <c r="L496"/>
    </row>
    <row r="497" spans="2:12">
      <c r="B497"/>
      <c r="C497"/>
      <c r="D497"/>
      <c r="E497"/>
      <c r="F497"/>
      <c r="G497"/>
      <c r="H497"/>
      <c r="I497"/>
      <c r="J497"/>
      <c r="K497"/>
      <c r="L497"/>
    </row>
    <row r="498" spans="2:12">
      <c r="B498"/>
      <c r="C498"/>
      <c r="D498"/>
      <c r="E498"/>
      <c r="F498"/>
      <c r="G498"/>
      <c r="H498"/>
      <c r="I498"/>
      <c r="J498"/>
      <c r="K498"/>
      <c r="L498"/>
    </row>
    <row r="499" spans="2:12">
      <c r="B499"/>
      <c r="C499"/>
      <c r="D499"/>
      <c r="E499"/>
      <c r="F499"/>
      <c r="G499"/>
      <c r="H499"/>
      <c r="I499"/>
      <c r="J499"/>
      <c r="K499"/>
      <c r="L499"/>
    </row>
    <row r="500" spans="2:12">
      <c r="B500"/>
      <c r="C500"/>
      <c r="D500"/>
      <c r="E500"/>
      <c r="F500"/>
      <c r="G500"/>
      <c r="H500"/>
      <c r="I500"/>
      <c r="J500"/>
      <c r="K500"/>
      <c r="L500"/>
    </row>
    <row r="501" spans="2:12">
      <c r="B501"/>
      <c r="C501"/>
      <c r="D501"/>
      <c r="E501"/>
      <c r="F501"/>
      <c r="G501"/>
      <c r="H501"/>
      <c r="I501"/>
      <c r="J501"/>
      <c r="K501"/>
      <c r="L501"/>
    </row>
    <row r="502" spans="2:12">
      <c r="B502"/>
      <c r="C502"/>
      <c r="D502"/>
      <c r="E502"/>
      <c r="F502"/>
      <c r="G502"/>
      <c r="H502"/>
      <c r="I502"/>
      <c r="J502"/>
      <c r="K502"/>
      <c r="L502"/>
    </row>
    <row r="503" spans="2:12">
      <c r="B503"/>
      <c r="C503"/>
      <c r="D503"/>
      <c r="E503"/>
      <c r="F503"/>
      <c r="G503"/>
      <c r="H503"/>
      <c r="I503"/>
      <c r="J503"/>
      <c r="K503"/>
      <c r="L503"/>
    </row>
    <row r="504" spans="2:12">
      <c r="B504"/>
      <c r="C504"/>
      <c r="D504"/>
      <c r="E504"/>
      <c r="F504"/>
      <c r="G504"/>
      <c r="H504"/>
      <c r="I504"/>
      <c r="J504"/>
      <c r="K504"/>
      <c r="L504"/>
    </row>
    <row r="505" spans="2:12">
      <c r="B505"/>
      <c r="C505"/>
      <c r="D505"/>
      <c r="E505"/>
      <c r="F505"/>
      <c r="G505"/>
      <c r="H505"/>
      <c r="I505"/>
      <c r="J505"/>
      <c r="K505"/>
      <c r="L505"/>
    </row>
    <row r="506" spans="2:12">
      <c r="B506"/>
      <c r="C506"/>
      <c r="D506"/>
      <c r="E506"/>
      <c r="F506"/>
      <c r="G506"/>
      <c r="H506"/>
      <c r="I506"/>
      <c r="J506"/>
      <c r="K506"/>
      <c r="L506"/>
    </row>
  </sheetData>
  <sortState ref="B6:K505">
    <sortCondition ref="D6:D405"/>
  </sortState>
  <dataConsolidate/>
  <mergeCells count="24">
    <mergeCell ref="E2:F2"/>
    <mergeCell ref="G2:I2"/>
    <mergeCell ref="B4:K4"/>
    <mergeCell ref="R11:S11"/>
    <mergeCell ref="M25:AO25"/>
    <mergeCell ref="T11:U11"/>
    <mergeCell ref="L20:AP20"/>
    <mergeCell ref="L21:AP21"/>
    <mergeCell ref="M23:AO23"/>
    <mergeCell ref="M24:AO24"/>
    <mergeCell ref="P19:Q19"/>
    <mergeCell ref="R19:S19"/>
    <mergeCell ref="P17:P18"/>
    <mergeCell ref="R17:R18"/>
    <mergeCell ref="T17:T18"/>
    <mergeCell ref="V17:V18"/>
    <mergeCell ref="AH17:AH18"/>
    <mergeCell ref="AJ17:AJ18"/>
    <mergeCell ref="AL17:AL18"/>
    <mergeCell ref="X17:X18"/>
    <mergeCell ref="Z17:Z18"/>
    <mergeCell ref="AB17:AB18"/>
    <mergeCell ref="AD17:AD18"/>
    <mergeCell ref="AF17:AF18"/>
  </mergeCells>
  <conditionalFormatting sqref="E6:J55 E402:J405 F398:F399 E214:G215 E60:F63 F64 F255:F256 F269:F270 F275:F277 E257:F268 E271:F274 F244 F241:F242 E253:J254 E57:J59 F56:J56 E278:F282 F283 E295:J387 H60:J64 E231:J231 E224:F224 I223:J230 H255:J294 E292:F294 E285:F285 F286:F291 F209:F213 E220:J220 F216:F219 I65:J219 H132:H147 H124:H127 E400:F401 F223 E233:J233 F232 H232:J232 E388:F397 E222:J222 F221 H221:J221 F230 E226:F229 F225 F234 H234:J246 H388:J401 H247:I250 E251:I252">
    <cfRule type="expression" dxfId="3914" priority="457">
      <formula>MOD(ROW(),2)=0</formula>
    </cfRule>
  </conditionalFormatting>
  <conditionalFormatting sqref="B6:B405">
    <cfRule type="expression" dxfId="3913" priority="455">
      <formula>MOD(ROW(),2)=0</formula>
    </cfRule>
  </conditionalFormatting>
  <conditionalFormatting sqref="D6:D405">
    <cfRule type="expression" dxfId="3912" priority="454">
      <formula>MOD(ROW(),2)=0</formula>
    </cfRule>
  </conditionalFormatting>
  <conditionalFormatting sqref="E94:G95 F65:F71 E124:G127 E196:H197 F206:F208 E204:G205 F200:F203 F84:F89 E90:F93 E100:H103 E96:F99 E198:G199 H198:H219 F108:F111 E112:F117 F118:F121 E122:F123 E104:F107 H65:H123 F132:F135 E136:F141 F142:F145 E146:F147 E128:F131 F172:H173 F190:G191 F148:H151 F166:G166 F167:F171 H158:H162 F158:F165 F156:H157 F152:F155 H152:H155 F192:F195 F176:F189 F174:G175 H174:H195">
    <cfRule type="expression" dxfId="3911" priority="453">
      <formula>MOD(ROW(),2)=0</formula>
    </cfRule>
  </conditionalFormatting>
  <conditionalFormatting sqref="G394:G395">
    <cfRule type="expression" dxfId="3910" priority="449">
      <formula>MOD(ROW(),2)=0</formula>
    </cfRule>
  </conditionalFormatting>
  <conditionalFormatting sqref="G398:G399">
    <cfRule type="expression" dxfId="3909" priority="447">
      <formula>MOD(ROW(),2)=0</formula>
    </cfRule>
  </conditionalFormatting>
  <conditionalFormatting sqref="E398:E399">
    <cfRule type="expression" dxfId="3908" priority="446">
      <formula>MOD(ROW(),2)=0</formula>
    </cfRule>
  </conditionalFormatting>
  <conditionalFormatting sqref="C401:C405">
    <cfRule type="expression" dxfId="3907" priority="445">
      <formula>MOD(ROW(),2)=0</formula>
    </cfRule>
  </conditionalFormatting>
  <conditionalFormatting sqref="C6:C400">
    <cfRule type="expression" dxfId="3906" priority="444">
      <formula>MOD(ROW(),2)=0</formula>
    </cfRule>
  </conditionalFormatting>
  <conditionalFormatting sqref="G60">
    <cfRule type="expression" dxfId="3905" priority="441">
      <formula>MOD(ROW(),2)=0</formula>
    </cfRule>
  </conditionalFormatting>
  <conditionalFormatting sqref="G62:G63">
    <cfRule type="expression" dxfId="3904" priority="440">
      <formula>MOD(ROW(),2)=0</formula>
    </cfRule>
  </conditionalFormatting>
  <conditionalFormatting sqref="G64:G65">
    <cfRule type="expression" dxfId="3903" priority="439">
      <formula>MOD(ROW(),2)=0</formula>
    </cfRule>
  </conditionalFormatting>
  <conditionalFormatting sqref="E64:E65">
    <cfRule type="expression" dxfId="3902" priority="438">
      <formula>MOD(ROW(),2)=0</formula>
    </cfRule>
  </conditionalFormatting>
  <conditionalFormatting sqref="G68:G69">
    <cfRule type="expression" dxfId="3901" priority="435">
      <formula>MOD(ROW(),2)=0</formula>
    </cfRule>
  </conditionalFormatting>
  <conditionalFormatting sqref="E68:E69">
    <cfRule type="expression" dxfId="3900" priority="434">
      <formula>MOD(ROW(),2)=0</formula>
    </cfRule>
  </conditionalFormatting>
  <conditionalFormatting sqref="E72:F73 F74:F76">
    <cfRule type="expression" dxfId="3899" priority="432">
      <formula>MOD(ROW(),2)=0</formula>
    </cfRule>
  </conditionalFormatting>
  <conditionalFormatting sqref="F77:F83">
    <cfRule type="expression" dxfId="3898" priority="431">
      <formula>MOD(ROW(),2)=0</formula>
    </cfRule>
  </conditionalFormatting>
  <conditionalFormatting sqref="G72:G73">
    <cfRule type="expression" dxfId="3897" priority="430">
      <formula>MOD(ROW(),2)=0</formula>
    </cfRule>
  </conditionalFormatting>
  <conditionalFormatting sqref="G76:G77">
    <cfRule type="expression" dxfId="3896" priority="428">
      <formula>MOD(ROW(),2)=0</formula>
    </cfRule>
  </conditionalFormatting>
  <conditionalFormatting sqref="E76:E77">
    <cfRule type="expression" dxfId="3895" priority="427">
      <formula>MOD(ROW(),2)=0</formula>
    </cfRule>
  </conditionalFormatting>
  <conditionalFormatting sqref="G78:G79">
    <cfRule type="expression" dxfId="3894" priority="426">
      <formula>MOD(ROW(),2)=0</formula>
    </cfRule>
  </conditionalFormatting>
  <conditionalFormatting sqref="E78:E79">
    <cfRule type="expression" dxfId="3893" priority="425">
      <formula>MOD(ROW(),2)=0</formula>
    </cfRule>
  </conditionalFormatting>
  <conditionalFormatting sqref="G282">
    <cfRule type="expression" dxfId="3892" priority="391">
      <formula>MOD(ROW(),2)=0</formula>
    </cfRule>
  </conditionalFormatting>
  <conditionalFormatting sqref="E80:E81">
    <cfRule type="expression" dxfId="3891" priority="423">
      <formula>MOD(ROW(),2)=0</formula>
    </cfRule>
  </conditionalFormatting>
  <conditionalFormatting sqref="G272">
    <cfRule type="expression" dxfId="3890" priority="387">
      <formula>MOD(ROW(),2)=0</formula>
    </cfRule>
  </conditionalFormatting>
  <conditionalFormatting sqref="G84:G85">
    <cfRule type="expression" dxfId="3889" priority="421">
      <formula>MOD(ROW(),2)=0</formula>
    </cfRule>
  </conditionalFormatting>
  <conditionalFormatting sqref="E84:E85">
    <cfRule type="expression" dxfId="3888" priority="420">
      <formula>MOD(ROW(),2)=0</formula>
    </cfRule>
  </conditionalFormatting>
  <conditionalFormatting sqref="G255">
    <cfRule type="expression" dxfId="3887" priority="417">
      <formula>MOD(ROW(),2)=0</formula>
    </cfRule>
  </conditionalFormatting>
  <conditionalFormatting sqref="E255">
    <cfRule type="expression" dxfId="3886" priority="416">
      <formula>MOD(ROW(),2)=0</formula>
    </cfRule>
  </conditionalFormatting>
  <conditionalFormatting sqref="G269">
    <cfRule type="expression" dxfId="3885" priority="415">
      <formula>MOD(ROW(),2)=0</formula>
    </cfRule>
  </conditionalFormatting>
  <conditionalFormatting sqref="E269">
    <cfRule type="expression" dxfId="3884" priority="414">
      <formula>MOD(ROW(),2)=0</formula>
    </cfRule>
  </conditionalFormatting>
  <conditionalFormatting sqref="G256">
    <cfRule type="expression" dxfId="3883" priority="413">
      <formula>MOD(ROW(),2)=0</formula>
    </cfRule>
  </conditionalFormatting>
  <conditionalFormatting sqref="E256">
    <cfRule type="expression" dxfId="3882" priority="412">
      <formula>MOD(ROW(),2)=0</formula>
    </cfRule>
  </conditionalFormatting>
  <conditionalFormatting sqref="G270">
    <cfRule type="expression" dxfId="3881" priority="411">
      <formula>MOD(ROW(),2)=0</formula>
    </cfRule>
  </conditionalFormatting>
  <conditionalFormatting sqref="E270">
    <cfRule type="expression" dxfId="3880" priority="410">
      <formula>MOD(ROW(),2)=0</formula>
    </cfRule>
  </conditionalFormatting>
  <conditionalFormatting sqref="G261">
    <cfRule type="expression" dxfId="3879" priority="409">
      <formula>MOD(ROW(),2)=0</formula>
    </cfRule>
  </conditionalFormatting>
  <conditionalFormatting sqref="G275">
    <cfRule type="expression" dxfId="3878" priority="408">
      <formula>MOD(ROW(),2)=0</formula>
    </cfRule>
  </conditionalFormatting>
  <conditionalFormatting sqref="E275">
    <cfRule type="expression" dxfId="3877" priority="407">
      <formula>MOD(ROW(),2)=0</formula>
    </cfRule>
  </conditionalFormatting>
  <conditionalFormatting sqref="G262">
    <cfRule type="expression" dxfId="3876" priority="406">
      <formula>MOD(ROW(),2)=0</formula>
    </cfRule>
  </conditionalFormatting>
  <conditionalFormatting sqref="G276">
    <cfRule type="expression" dxfId="3875" priority="405">
      <formula>MOD(ROW(),2)=0</formula>
    </cfRule>
  </conditionalFormatting>
  <conditionalFormatting sqref="E276">
    <cfRule type="expression" dxfId="3874" priority="404">
      <formula>MOD(ROW(),2)=0</formula>
    </cfRule>
  </conditionalFormatting>
  <conditionalFormatting sqref="G263">
    <cfRule type="expression" dxfId="3873" priority="403">
      <formula>MOD(ROW(),2)=0</formula>
    </cfRule>
  </conditionalFormatting>
  <conditionalFormatting sqref="G277">
    <cfRule type="expression" dxfId="3872" priority="402">
      <formula>MOD(ROW(),2)=0</formula>
    </cfRule>
  </conditionalFormatting>
  <conditionalFormatting sqref="E277">
    <cfRule type="expression" dxfId="3871" priority="401">
      <formula>MOD(ROW(),2)=0</formula>
    </cfRule>
  </conditionalFormatting>
  <conditionalFormatting sqref="G264">
    <cfRule type="expression" dxfId="3870" priority="400">
      <formula>MOD(ROW(),2)=0</formula>
    </cfRule>
  </conditionalFormatting>
  <conditionalFormatting sqref="G278">
    <cfRule type="expression" dxfId="3869" priority="399">
      <formula>MOD(ROW(),2)=0</formula>
    </cfRule>
  </conditionalFormatting>
  <conditionalFormatting sqref="G265">
    <cfRule type="expression" dxfId="3868" priority="398">
      <formula>MOD(ROW(),2)=0</formula>
    </cfRule>
  </conditionalFormatting>
  <conditionalFormatting sqref="G279">
    <cfRule type="expression" dxfId="3867" priority="397">
      <formula>MOD(ROW(),2)=0</formula>
    </cfRule>
  </conditionalFormatting>
  <conditionalFormatting sqref="G266">
    <cfRule type="expression" dxfId="3866" priority="396">
      <formula>MOD(ROW(),2)=0</formula>
    </cfRule>
  </conditionalFormatting>
  <conditionalFormatting sqref="G280">
    <cfRule type="expression" dxfId="3865" priority="395">
      <formula>MOD(ROW(),2)=0</formula>
    </cfRule>
  </conditionalFormatting>
  <conditionalFormatting sqref="G267">
    <cfRule type="expression" dxfId="3864" priority="394">
      <formula>MOD(ROW(),2)=0</formula>
    </cfRule>
  </conditionalFormatting>
  <conditionalFormatting sqref="G281">
    <cfRule type="expression" dxfId="3863" priority="393">
      <formula>MOD(ROW(),2)=0</formula>
    </cfRule>
  </conditionalFormatting>
  <conditionalFormatting sqref="G268">
    <cfRule type="expression" dxfId="3862" priority="392">
      <formula>MOD(ROW(),2)=0</formula>
    </cfRule>
  </conditionalFormatting>
  <conditionalFormatting sqref="G257">
    <cfRule type="expression" dxfId="3861" priority="390">
      <formula>MOD(ROW(),2)=0</formula>
    </cfRule>
  </conditionalFormatting>
  <conditionalFormatting sqref="G271">
    <cfRule type="expression" dxfId="3860" priority="389">
      <formula>MOD(ROW(),2)=0</formula>
    </cfRule>
  </conditionalFormatting>
  <conditionalFormatting sqref="G258">
    <cfRule type="expression" dxfId="3859" priority="388">
      <formula>MOD(ROW(),2)=0</formula>
    </cfRule>
  </conditionalFormatting>
  <conditionalFormatting sqref="G259">
    <cfRule type="expression" dxfId="3858" priority="386">
      <formula>MOD(ROW(),2)=0</formula>
    </cfRule>
  </conditionalFormatting>
  <conditionalFormatting sqref="G273">
    <cfRule type="expression" dxfId="3857" priority="385">
      <formula>MOD(ROW(),2)=0</formula>
    </cfRule>
  </conditionalFormatting>
  <conditionalFormatting sqref="G260">
    <cfRule type="expression" dxfId="3856" priority="384">
      <formula>MOD(ROW(),2)=0</formula>
    </cfRule>
  </conditionalFormatting>
  <conditionalFormatting sqref="G274">
    <cfRule type="expression" dxfId="3855" priority="383">
      <formula>MOD(ROW(),2)=0</formula>
    </cfRule>
  </conditionalFormatting>
  <conditionalFormatting sqref="F243">
    <cfRule type="expression" dxfId="3852" priority="376">
      <formula>MOD(ROW(),2)=0</formula>
    </cfRule>
  </conditionalFormatting>
  <conditionalFormatting sqref="E243">
    <cfRule type="expression" dxfId="3851" priority="374">
      <formula>MOD(ROW(),2)=0</formula>
    </cfRule>
  </conditionalFormatting>
  <conditionalFormatting sqref="E244">
    <cfRule type="expression" dxfId="3850" priority="372">
      <formula>MOD(ROW(),2)=0</formula>
    </cfRule>
  </conditionalFormatting>
  <conditionalFormatting sqref="F245">
    <cfRule type="expression" dxfId="3849" priority="341">
      <formula>MOD(ROW(),2)=0</formula>
    </cfRule>
  </conditionalFormatting>
  <conditionalFormatting sqref="G245">
    <cfRule type="expression" dxfId="3848" priority="340">
      <formula>MOD(ROW(),2)=0</formula>
    </cfRule>
  </conditionalFormatting>
  <conditionalFormatting sqref="E245">
    <cfRule type="expression" dxfId="3847" priority="339">
      <formula>MOD(ROW(),2)=0</formula>
    </cfRule>
  </conditionalFormatting>
  <conditionalFormatting sqref="F246">
    <cfRule type="expression" dxfId="3846" priority="338">
      <formula>MOD(ROW(),2)=0</formula>
    </cfRule>
  </conditionalFormatting>
  <conditionalFormatting sqref="F247">
    <cfRule type="expression" dxfId="3845" priority="335">
      <formula>MOD(ROW(),2)=0</formula>
    </cfRule>
  </conditionalFormatting>
  <conditionalFormatting sqref="E247">
    <cfRule type="expression" dxfId="3844" priority="333">
      <formula>MOD(ROW(),2)=0</formula>
    </cfRule>
  </conditionalFormatting>
  <conditionalFormatting sqref="F248">
    <cfRule type="expression" dxfId="3843" priority="332">
      <formula>MOD(ROW(),2)=0</formula>
    </cfRule>
  </conditionalFormatting>
  <conditionalFormatting sqref="E248">
    <cfRule type="expression" dxfId="3842" priority="330">
      <formula>MOD(ROW(),2)=0</formula>
    </cfRule>
  </conditionalFormatting>
  <conditionalFormatting sqref="G247">
    <cfRule type="expression" dxfId="3839" priority="300">
      <formula>MOD(ROW(),2)=0</formula>
    </cfRule>
  </conditionalFormatting>
  <conditionalFormatting sqref="G248">
    <cfRule type="expression" dxfId="3838" priority="299">
      <formula>MOD(ROW(),2)=0</formula>
    </cfRule>
  </conditionalFormatting>
  <conditionalFormatting sqref="G241">
    <cfRule type="expression" dxfId="3837" priority="291">
      <formula>MOD(ROW(),2)=0</formula>
    </cfRule>
  </conditionalFormatting>
  <conditionalFormatting sqref="E241">
    <cfRule type="expression" dxfId="3836" priority="290">
      <formula>MOD(ROW(),2)=0</formula>
    </cfRule>
  </conditionalFormatting>
  <conditionalFormatting sqref="E56">
    <cfRule type="expression" dxfId="3835" priority="285">
      <formula>MOD(ROW(),2)=0</formula>
    </cfRule>
  </conditionalFormatting>
  <conditionalFormatting sqref="G283">
    <cfRule type="expression" dxfId="3834" priority="283">
      <formula>MOD(ROW(),2)=0</formula>
    </cfRule>
  </conditionalFormatting>
  <conditionalFormatting sqref="E283">
    <cfRule type="expression" dxfId="3833" priority="282">
      <formula>MOD(ROW(),2)=0</formula>
    </cfRule>
  </conditionalFormatting>
  <conditionalFormatting sqref="E288">
    <cfRule type="expression" dxfId="3832" priority="274">
      <formula>MOD(ROW(),2)=0</formula>
    </cfRule>
  </conditionalFormatting>
  <conditionalFormatting sqref="G289">
    <cfRule type="expression" dxfId="3831" priority="273">
      <formula>MOD(ROW(),2)=0</formula>
    </cfRule>
  </conditionalFormatting>
  <conditionalFormatting sqref="G290">
    <cfRule type="expression" dxfId="3830" priority="272">
      <formula>MOD(ROW(),2)=0</formula>
    </cfRule>
  </conditionalFormatting>
  <conditionalFormatting sqref="E289">
    <cfRule type="expression" dxfId="3829" priority="270">
      <formula>MOD(ROW(),2)=0</formula>
    </cfRule>
  </conditionalFormatting>
  <conditionalFormatting sqref="E290">
    <cfRule type="expression" dxfId="3828" priority="269">
      <formula>MOD(ROW(),2)=0</formula>
    </cfRule>
  </conditionalFormatting>
  <conditionalFormatting sqref="H227:H230">
    <cfRule type="expression" dxfId="3827" priority="238">
      <formula>MOD(ROW(),2)=0</formula>
    </cfRule>
  </conditionalFormatting>
  <conditionalFormatting sqref="G180">
    <cfRule type="expression" dxfId="3826" priority="244">
      <formula>MOD(ROW(),2)=0</formula>
    </cfRule>
  </conditionalFormatting>
  <conditionalFormatting sqref="G181">
    <cfRule type="expression" dxfId="3825" priority="243">
      <formula>MOD(ROW(),2)=0</formula>
    </cfRule>
  </conditionalFormatting>
  <conditionalFormatting sqref="G224:H224 H223 G226:H226 H225">
    <cfRule type="expression" dxfId="3824" priority="239">
      <formula>MOD(ROW(),2)=0</formula>
    </cfRule>
  </conditionalFormatting>
  <conditionalFormatting sqref="G227:G228">
    <cfRule type="expression" dxfId="3823" priority="237">
      <formula>MOD(ROW(),2)=0</formula>
    </cfRule>
  </conditionalFormatting>
  <conditionalFormatting sqref="G229">
    <cfRule type="expression" dxfId="3822" priority="236">
      <formula>MOD(ROW(),2)=0</formula>
    </cfRule>
  </conditionalFormatting>
  <conditionalFormatting sqref="G167">
    <cfRule type="expression" dxfId="3821" priority="234">
      <formula>MOD(ROW(),2)=0</formula>
    </cfRule>
  </conditionalFormatting>
  <conditionalFormatting sqref="F284">
    <cfRule type="expression" dxfId="3820" priority="221">
      <formula>MOD(ROW(),2)=0</formula>
    </cfRule>
  </conditionalFormatting>
  <conditionalFormatting sqref="G284">
    <cfRule type="expression" dxfId="3819" priority="220">
      <formula>MOD(ROW(),2)=0</formula>
    </cfRule>
  </conditionalFormatting>
  <conditionalFormatting sqref="E284">
    <cfRule type="expression" dxfId="3818" priority="219">
      <formula>MOD(ROW(),2)=0</formula>
    </cfRule>
  </conditionalFormatting>
  <conditionalFormatting sqref="G289">
    <cfRule type="expression" dxfId="3817" priority="216">
      <formula>MOD(ROW(),2)=0</formula>
    </cfRule>
  </conditionalFormatting>
  <conditionalFormatting sqref="G290">
    <cfRule type="expression" dxfId="3816" priority="215">
      <formula>MOD(ROW(),2)=0</formula>
    </cfRule>
  </conditionalFormatting>
  <conditionalFormatting sqref="G287">
    <cfRule type="expression" dxfId="3815" priority="214">
      <formula>MOD(ROW(),2)=0</formula>
    </cfRule>
  </conditionalFormatting>
  <conditionalFormatting sqref="E287">
    <cfRule type="expression" dxfId="3814" priority="213">
      <formula>MOD(ROW(),2)=0</formula>
    </cfRule>
  </conditionalFormatting>
  <conditionalFormatting sqref="G288">
    <cfRule type="expression" dxfId="3813" priority="212">
      <formula>MOD(ROW(),2)=0</formula>
    </cfRule>
  </conditionalFormatting>
  <conditionalFormatting sqref="E291">
    <cfRule type="expression" dxfId="3812" priority="211">
      <formula>MOD(ROW(),2)=0</formula>
    </cfRule>
  </conditionalFormatting>
  <conditionalFormatting sqref="G291">
    <cfRule type="expression" dxfId="3811" priority="210">
      <formula>MOD(ROW(),2)=0</formula>
    </cfRule>
  </conditionalFormatting>
  <conditionalFormatting sqref="G292">
    <cfRule type="expression" dxfId="3810" priority="209">
      <formula>MOD(ROW(),2)=0</formula>
    </cfRule>
  </conditionalFormatting>
  <conditionalFormatting sqref="G293">
    <cfRule type="expression" dxfId="3809" priority="208">
      <formula>MOD(ROW(),2)=0</formula>
    </cfRule>
  </conditionalFormatting>
  <conditionalFormatting sqref="G294">
    <cfRule type="expression" dxfId="3808" priority="207">
      <formula>MOD(ROW(),2)=0</formula>
    </cfRule>
  </conditionalFormatting>
  <conditionalFormatting sqref="G285">
    <cfRule type="expression" dxfId="3807" priority="206">
      <formula>MOD(ROW(),2)=0</formula>
    </cfRule>
  </conditionalFormatting>
  <conditionalFormatting sqref="G286">
    <cfRule type="expression" dxfId="3806" priority="205">
      <formula>MOD(ROW(),2)=0</formula>
    </cfRule>
  </conditionalFormatting>
  <conditionalFormatting sqref="E286">
    <cfRule type="expression" dxfId="3805" priority="204">
      <formula>MOD(ROW(),2)=0</formula>
    </cfRule>
  </conditionalFormatting>
  <conditionalFormatting sqref="G243">
    <cfRule type="expression" dxfId="3804" priority="203">
      <formula>MOD(ROW(),2)=0</formula>
    </cfRule>
  </conditionalFormatting>
  <conditionalFormatting sqref="F243">
    <cfRule type="expression" dxfId="3803" priority="201">
      <formula>MOD(ROW(),2)=0</formula>
    </cfRule>
  </conditionalFormatting>
  <conditionalFormatting sqref="G243">
    <cfRule type="expression" dxfId="3802" priority="200">
      <formula>MOD(ROW(),2)=0</formula>
    </cfRule>
  </conditionalFormatting>
  <conditionalFormatting sqref="E243">
    <cfRule type="expression" dxfId="3801" priority="199">
      <formula>MOD(ROW(),2)=0</formula>
    </cfRule>
  </conditionalFormatting>
  <conditionalFormatting sqref="F244">
    <cfRule type="expression" dxfId="3800" priority="198">
      <formula>MOD(ROW(),2)=0</formula>
    </cfRule>
  </conditionalFormatting>
  <conditionalFormatting sqref="E244">
    <cfRule type="expression" dxfId="3799" priority="196">
      <formula>MOD(ROW(),2)=0</formula>
    </cfRule>
  </conditionalFormatting>
  <conditionalFormatting sqref="F245">
    <cfRule type="expression" dxfId="3798" priority="195">
      <formula>MOD(ROW(),2)=0</formula>
    </cfRule>
  </conditionalFormatting>
  <conditionalFormatting sqref="E245">
    <cfRule type="expression" dxfId="3797" priority="194">
      <formula>MOD(ROW(),2)=0</formula>
    </cfRule>
  </conditionalFormatting>
  <conditionalFormatting sqref="F246">
    <cfRule type="expression" dxfId="3796" priority="193">
      <formula>MOD(ROW(),2)=0</formula>
    </cfRule>
  </conditionalFormatting>
  <conditionalFormatting sqref="F247">
    <cfRule type="expression" dxfId="3795" priority="191">
      <formula>MOD(ROW(),2)=0</formula>
    </cfRule>
  </conditionalFormatting>
  <conditionalFormatting sqref="F248">
    <cfRule type="expression" dxfId="3794" priority="190">
      <formula>MOD(ROW(),2)=0</formula>
    </cfRule>
  </conditionalFormatting>
  <conditionalFormatting sqref="E248">
    <cfRule type="expression" dxfId="3793" priority="189">
      <formula>MOD(ROW(),2)=0</formula>
    </cfRule>
  </conditionalFormatting>
  <conditionalFormatting sqref="G245">
    <cfRule type="expression" dxfId="3792" priority="188">
      <formula>MOD(ROW(),2)=0</formula>
    </cfRule>
  </conditionalFormatting>
  <conditionalFormatting sqref="G247">
    <cfRule type="expression" dxfId="3791" priority="186">
      <formula>MOD(ROW(),2)=0</formula>
    </cfRule>
  </conditionalFormatting>
  <conditionalFormatting sqref="G248">
    <cfRule type="expression" dxfId="3790" priority="185">
      <formula>MOD(ROW(),2)=0</formula>
    </cfRule>
  </conditionalFormatting>
  <conditionalFormatting sqref="E247">
    <cfRule type="expression" dxfId="3789" priority="184">
      <formula>MOD(ROW(),2)=0</formula>
    </cfRule>
  </conditionalFormatting>
  <conditionalFormatting sqref="F249">
    <cfRule type="expression" dxfId="3788" priority="183">
      <formula>MOD(ROW(),2)=0</formula>
    </cfRule>
  </conditionalFormatting>
  <conditionalFormatting sqref="E249">
    <cfRule type="expression" dxfId="3787" priority="182">
      <formula>MOD(ROW(),2)=0</formula>
    </cfRule>
  </conditionalFormatting>
  <conditionalFormatting sqref="F250">
    <cfRule type="expression" dxfId="3786" priority="181">
      <formula>MOD(ROW(),2)=0</formula>
    </cfRule>
  </conditionalFormatting>
  <conditionalFormatting sqref="E250">
    <cfRule type="expression" dxfId="3785" priority="180">
      <formula>MOD(ROW(),2)=0</formula>
    </cfRule>
  </conditionalFormatting>
  <conditionalFormatting sqref="G249">
    <cfRule type="expression" dxfId="3784" priority="179">
      <formula>MOD(ROW(),2)=0</formula>
    </cfRule>
  </conditionalFormatting>
  <conditionalFormatting sqref="G250">
    <cfRule type="expression" dxfId="3783" priority="178">
      <formula>MOD(ROW(),2)=0</formula>
    </cfRule>
  </conditionalFormatting>
  <conditionalFormatting sqref="K244:K250 K255:K282 K285:K294 K60:K87 K91:K234 K6:K55 K236:K242 K57 K301:K387 K394:K405">
    <cfRule type="expression" dxfId="3776" priority="169">
      <formula>MOD(ROW(),2)=0</formula>
    </cfRule>
  </conditionalFormatting>
  <conditionalFormatting sqref="K251">
    <cfRule type="expression" dxfId="3775" priority="168">
      <formula>MOD(ROW(),2)=0</formula>
    </cfRule>
  </conditionalFormatting>
  <conditionalFormatting sqref="K58">
    <cfRule type="expression" dxfId="3774" priority="167">
      <formula>MOD(ROW(),2)=0</formula>
    </cfRule>
  </conditionalFormatting>
  <conditionalFormatting sqref="K253">
    <cfRule type="expression" dxfId="3773" priority="166">
      <formula>MOD(ROW(),2)=0</formula>
    </cfRule>
  </conditionalFormatting>
  <conditionalFormatting sqref="K59">
    <cfRule type="expression" dxfId="3772" priority="165">
      <formula>MOD(ROW(),2)=0</formula>
    </cfRule>
  </conditionalFormatting>
  <conditionalFormatting sqref="K252">
    <cfRule type="expression" dxfId="3771" priority="164">
      <formula>MOD(ROW(),2)=0</formula>
    </cfRule>
  </conditionalFormatting>
  <conditionalFormatting sqref="K254">
    <cfRule type="expression" dxfId="3770" priority="163">
      <formula>MOD(ROW(),2)=0</formula>
    </cfRule>
  </conditionalFormatting>
  <conditionalFormatting sqref="K235">
    <cfRule type="expression" dxfId="3769" priority="162">
      <formula>MOD(ROW(),2)=0</formula>
    </cfRule>
  </conditionalFormatting>
  <conditionalFormatting sqref="K89">
    <cfRule type="expression" dxfId="3768" priority="161">
      <formula>MOD(ROW(),2)=0</formula>
    </cfRule>
  </conditionalFormatting>
  <conditionalFormatting sqref="K243">
    <cfRule type="expression" dxfId="3767" priority="160">
      <formula>MOD(ROW(),2)=0</formula>
    </cfRule>
  </conditionalFormatting>
  <conditionalFormatting sqref="K90">
    <cfRule type="expression" dxfId="3766" priority="159">
      <formula>MOD(ROW(),2)=0</formula>
    </cfRule>
  </conditionalFormatting>
  <conditionalFormatting sqref="K56">
    <cfRule type="expression" dxfId="3765" priority="157">
      <formula>MOD(ROW(),2)=0</formula>
    </cfRule>
  </conditionalFormatting>
  <conditionalFormatting sqref="K283">
    <cfRule type="expression" dxfId="3764" priority="156">
      <formula>MOD(ROW(),2)=0</formula>
    </cfRule>
  </conditionalFormatting>
  <conditionalFormatting sqref="K284">
    <cfRule type="expression" dxfId="3763" priority="155">
      <formula>MOD(ROW(),2)=0</formula>
    </cfRule>
  </conditionalFormatting>
  <conditionalFormatting sqref="K88">
    <cfRule type="expression" dxfId="3762" priority="154">
      <formula>MOD(ROW(),2)=0</formula>
    </cfRule>
  </conditionalFormatting>
  <conditionalFormatting sqref="K295:K300">
    <cfRule type="expression" dxfId="3761" priority="153">
      <formula>MOD(ROW(),2)=0</formula>
    </cfRule>
  </conditionalFormatting>
  <conditionalFormatting sqref="G130:G131">
    <cfRule type="expression" dxfId="3760" priority="88">
      <formula>MOD(ROW(),2)=0</formula>
    </cfRule>
  </conditionalFormatting>
  <conditionalFormatting sqref="G206:G207">
    <cfRule type="expression" dxfId="3759" priority="147">
      <formula>MOD(ROW(),2)=0</formula>
    </cfRule>
  </conditionalFormatting>
  <conditionalFormatting sqref="E206:E207">
    <cfRule type="expression" dxfId="3758" priority="146">
      <formula>MOD(ROW(),2)=0</formula>
    </cfRule>
  </conditionalFormatting>
  <conditionalFormatting sqref="G208:G209">
    <cfRule type="expression" dxfId="3757" priority="145">
      <formula>MOD(ROW(),2)=0</formula>
    </cfRule>
  </conditionalFormatting>
  <conditionalFormatting sqref="E208:E209">
    <cfRule type="expression" dxfId="3756" priority="144">
      <formula>MOD(ROW(),2)=0</formula>
    </cfRule>
  </conditionalFormatting>
  <conditionalFormatting sqref="G210:G211">
    <cfRule type="expression" dxfId="3755" priority="143">
      <formula>MOD(ROW(),2)=0</formula>
    </cfRule>
  </conditionalFormatting>
  <conditionalFormatting sqref="E210:E211">
    <cfRule type="expression" dxfId="3754" priority="142">
      <formula>MOD(ROW(),2)=0</formula>
    </cfRule>
  </conditionalFormatting>
  <conditionalFormatting sqref="G212:G213">
    <cfRule type="expression" dxfId="3753" priority="141">
      <formula>MOD(ROW(),2)=0</formula>
    </cfRule>
  </conditionalFormatting>
  <conditionalFormatting sqref="E212:E213">
    <cfRule type="expression" dxfId="3752" priority="140">
      <formula>MOD(ROW(),2)=0</formula>
    </cfRule>
  </conditionalFormatting>
  <conditionalFormatting sqref="G216:G217">
    <cfRule type="expression" dxfId="3751" priority="139">
      <formula>MOD(ROW(),2)=0</formula>
    </cfRule>
  </conditionalFormatting>
  <conditionalFormatting sqref="E216:E217">
    <cfRule type="expression" dxfId="3750" priority="138">
      <formula>MOD(ROW(),2)=0</formula>
    </cfRule>
  </conditionalFormatting>
  <conditionalFormatting sqref="G218:G219">
    <cfRule type="expression" dxfId="3749" priority="137">
      <formula>MOD(ROW(),2)=0</formula>
    </cfRule>
  </conditionalFormatting>
  <conditionalFormatting sqref="E218">
    <cfRule type="expression" dxfId="3748" priority="136">
      <formula>MOD(ROW(),2)=0</formula>
    </cfRule>
  </conditionalFormatting>
  <conditionalFormatting sqref="E219">
    <cfRule type="expression" dxfId="3747" priority="135">
      <formula>MOD(ROW(),2)=0</formula>
    </cfRule>
  </conditionalFormatting>
  <conditionalFormatting sqref="G200:G201">
    <cfRule type="expression" dxfId="3746" priority="134">
      <formula>MOD(ROW(),2)=0</formula>
    </cfRule>
  </conditionalFormatting>
  <conditionalFormatting sqref="E200">
    <cfRule type="expression" dxfId="3745" priority="133">
      <formula>MOD(ROW(),2)=0</formula>
    </cfRule>
  </conditionalFormatting>
  <conditionalFormatting sqref="E201">
    <cfRule type="expression" dxfId="3744" priority="132">
      <formula>MOD(ROW(),2)=0</formula>
    </cfRule>
  </conditionalFormatting>
  <conditionalFormatting sqref="E202">
    <cfRule type="expression" dxfId="3743" priority="131">
      <formula>MOD(ROW(),2)=0</formula>
    </cfRule>
  </conditionalFormatting>
  <conditionalFormatting sqref="E203">
    <cfRule type="expression" dxfId="3742" priority="130">
      <formula>MOD(ROW(),2)=0</formula>
    </cfRule>
  </conditionalFormatting>
  <conditionalFormatting sqref="G202:G203">
    <cfRule type="expression" dxfId="3741" priority="129">
      <formula>MOD(ROW(),2)=0</formula>
    </cfRule>
  </conditionalFormatting>
  <conditionalFormatting sqref="G86:G87">
    <cfRule type="expression" dxfId="3740" priority="128">
      <formula>MOD(ROW(),2)=0</formula>
    </cfRule>
  </conditionalFormatting>
  <conditionalFormatting sqref="E86:E87">
    <cfRule type="expression" dxfId="3739" priority="127">
      <formula>MOD(ROW(),2)=0</formula>
    </cfRule>
  </conditionalFormatting>
  <conditionalFormatting sqref="G88:G89">
    <cfRule type="expression" dxfId="3738" priority="126">
      <formula>MOD(ROW(),2)=0</formula>
    </cfRule>
  </conditionalFormatting>
  <conditionalFormatting sqref="E88:E89">
    <cfRule type="expression" dxfId="3737" priority="125">
      <formula>MOD(ROW(),2)=0</formula>
    </cfRule>
  </conditionalFormatting>
  <conditionalFormatting sqref="G90:G91">
    <cfRule type="expression" dxfId="3736" priority="124">
      <formula>MOD(ROW(),2)=0</formula>
    </cfRule>
  </conditionalFormatting>
  <conditionalFormatting sqref="G92:G93">
    <cfRule type="expression" dxfId="3735" priority="123">
      <formula>MOD(ROW(),2)=0</formula>
    </cfRule>
  </conditionalFormatting>
  <conditionalFormatting sqref="E142:E143">
    <cfRule type="expression" dxfId="3734" priority="93">
      <formula>MOD(ROW(),2)=0</formula>
    </cfRule>
  </conditionalFormatting>
  <conditionalFormatting sqref="G146:G147">
    <cfRule type="expression" dxfId="3733" priority="90">
      <formula>MOD(ROW(),2)=0</formula>
    </cfRule>
  </conditionalFormatting>
  <conditionalFormatting sqref="G96:G97">
    <cfRule type="expression" dxfId="3732" priority="119">
      <formula>MOD(ROW(),2)=0</formula>
    </cfRule>
  </conditionalFormatting>
  <conditionalFormatting sqref="G98:G99">
    <cfRule type="expression" dxfId="3731" priority="118">
      <formula>MOD(ROW(),2)=0</formula>
    </cfRule>
  </conditionalFormatting>
  <conditionalFormatting sqref="G80:G81">
    <cfRule type="expression" dxfId="3730" priority="117">
      <formula>MOD(ROW(),2)=0</formula>
    </cfRule>
  </conditionalFormatting>
  <conditionalFormatting sqref="G82:G83">
    <cfRule type="expression" dxfId="3729" priority="116">
      <formula>MOD(ROW(),2)=0</formula>
    </cfRule>
  </conditionalFormatting>
  <conditionalFormatting sqref="E82:E83">
    <cfRule type="expression" dxfId="3728" priority="115">
      <formula>MOD(ROW(),2)=0</formula>
    </cfRule>
  </conditionalFormatting>
  <conditionalFormatting sqref="G108:G109">
    <cfRule type="expression" dxfId="3727" priority="114">
      <formula>MOD(ROW(),2)=0</formula>
    </cfRule>
  </conditionalFormatting>
  <conditionalFormatting sqref="G110:G111">
    <cfRule type="expression" dxfId="3726" priority="113">
      <formula>MOD(ROW(),2)=0</formula>
    </cfRule>
  </conditionalFormatting>
  <conditionalFormatting sqref="E108:E111">
    <cfRule type="expression" dxfId="3725" priority="112">
      <formula>MOD(ROW(),2)=0</formula>
    </cfRule>
  </conditionalFormatting>
  <conditionalFormatting sqref="G112:G113">
    <cfRule type="expression" dxfId="3724" priority="111">
      <formula>MOD(ROW(),2)=0</formula>
    </cfRule>
  </conditionalFormatting>
  <conditionalFormatting sqref="G114:G115">
    <cfRule type="expression" dxfId="3723" priority="110">
      <formula>MOD(ROW(),2)=0</formula>
    </cfRule>
  </conditionalFormatting>
  <conditionalFormatting sqref="G116:G117">
    <cfRule type="expression" dxfId="3722" priority="109">
      <formula>MOD(ROW(),2)=0</formula>
    </cfRule>
  </conditionalFormatting>
  <conditionalFormatting sqref="G118:G119">
    <cfRule type="expression" dxfId="3721" priority="108">
      <formula>MOD(ROW(),2)=0</formula>
    </cfRule>
  </conditionalFormatting>
  <conditionalFormatting sqref="E118:E119">
    <cfRule type="expression" dxfId="3720" priority="107">
      <formula>MOD(ROW(),2)=0</formula>
    </cfRule>
  </conditionalFormatting>
  <conditionalFormatting sqref="G120:G121">
    <cfRule type="expression" dxfId="3719" priority="106">
      <formula>MOD(ROW(),2)=0</formula>
    </cfRule>
  </conditionalFormatting>
  <conditionalFormatting sqref="E120:E121">
    <cfRule type="expression" dxfId="3718" priority="105">
      <formula>MOD(ROW(),2)=0</formula>
    </cfRule>
  </conditionalFormatting>
  <conditionalFormatting sqref="G122:G123">
    <cfRule type="expression" dxfId="3717" priority="104">
      <formula>MOD(ROW(),2)=0</formula>
    </cfRule>
  </conditionalFormatting>
  <conditionalFormatting sqref="G104:G105">
    <cfRule type="expression" dxfId="3716" priority="103">
      <formula>MOD(ROW(),2)=0</formula>
    </cfRule>
  </conditionalFormatting>
  <conditionalFormatting sqref="G106:G107">
    <cfRule type="expression" dxfId="3715" priority="102">
      <formula>MOD(ROW(),2)=0</formula>
    </cfRule>
  </conditionalFormatting>
  <conditionalFormatting sqref="G132:G133">
    <cfRule type="expression" dxfId="3714" priority="101">
      <formula>MOD(ROW(),2)=0</formula>
    </cfRule>
  </conditionalFormatting>
  <conditionalFormatting sqref="E132:E133">
    <cfRule type="expression" dxfId="3713" priority="100">
      <formula>MOD(ROW(),2)=0</formula>
    </cfRule>
  </conditionalFormatting>
  <conditionalFormatting sqref="G134:G135">
    <cfRule type="expression" dxfId="3712" priority="99">
      <formula>MOD(ROW(),2)=0</formula>
    </cfRule>
  </conditionalFormatting>
  <conditionalFormatting sqref="E134:E135">
    <cfRule type="expression" dxfId="3711" priority="98">
      <formula>MOD(ROW(),2)=0</formula>
    </cfRule>
  </conditionalFormatting>
  <conditionalFormatting sqref="G136:G137">
    <cfRule type="expression" dxfId="3710" priority="97">
      <formula>MOD(ROW(),2)=0</formula>
    </cfRule>
  </conditionalFormatting>
  <conditionalFormatting sqref="G138:G139">
    <cfRule type="expression" dxfId="3709" priority="96">
      <formula>MOD(ROW(),2)=0</formula>
    </cfRule>
  </conditionalFormatting>
  <conditionalFormatting sqref="G140:G141">
    <cfRule type="expression" dxfId="3708" priority="95">
      <formula>MOD(ROW(),2)=0</formula>
    </cfRule>
  </conditionalFormatting>
  <conditionalFormatting sqref="G142:G143">
    <cfRule type="expression" dxfId="3707" priority="94">
      <formula>MOD(ROW(),2)=0</formula>
    </cfRule>
  </conditionalFormatting>
  <conditionalFormatting sqref="E144:E145">
    <cfRule type="expression" dxfId="3706" priority="92">
      <formula>MOD(ROW(),2)=0</formula>
    </cfRule>
  </conditionalFormatting>
  <conditionalFormatting sqref="G144:G145">
    <cfRule type="expression" dxfId="3705" priority="91">
      <formula>MOD(ROW(),2)=0</formula>
    </cfRule>
  </conditionalFormatting>
  <conditionalFormatting sqref="G128:G129">
    <cfRule type="expression" dxfId="3704" priority="89">
      <formula>MOD(ROW(),2)=0</formula>
    </cfRule>
  </conditionalFormatting>
  <conditionalFormatting sqref="H128:H131">
    <cfRule type="expression" dxfId="3703" priority="87">
      <formula>MOD(ROW(),2)=0</formula>
    </cfRule>
  </conditionalFormatting>
  <conditionalFormatting sqref="E160:E165 E170:E171 E148:E155">
    <cfRule type="expression" dxfId="3702" priority="86">
      <formula>MOD(ROW(),2)=0</formula>
    </cfRule>
  </conditionalFormatting>
  <conditionalFormatting sqref="E166:E167">
    <cfRule type="expression" dxfId="3701" priority="83">
      <formula>MOD(ROW(),2)=0</formula>
    </cfRule>
  </conditionalFormatting>
  <conditionalFormatting sqref="E156:E157">
    <cfRule type="expression" dxfId="3700" priority="85">
      <formula>MOD(ROW(),2)=0</formula>
    </cfRule>
  </conditionalFormatting>
  <conditionalFormatting sqref="E158:E159">
    <cfRule type="expression" dxfId="3699" priority="84">
      <formula>MOD(ROW(),2)=0</formula>
    </cfRule>
  </conditionalFormatting>
  <conditionalFormatting sqref="E168:E169">
    <cfRule type="expression" dxfId="3698" priority="82">
      <formula>MOD(ROW(),2)=0</formula>
    </cfRule>
  </conditionalFormatting>
  <conditionalFormatting sqref="H163:H164">
    <cfRule type="expression" dxfId="3697" priority="76">
      <formula>MOD(ROW(),2)=0</formula>
    </cfRule>
  </conditionalFormatting>
  <conditionalFormatting sqref="H165:H171">
    <cfRule type="expression" dxfId="3696" priority="75">
      <formula>MOD(ROW(),2)=0</formula>
    </cfRule>
  </conditionalFormatting>
  <conditionalFormatting sqref="G158:G159">
    <cfRule type="expression" dxfId="3695" priority="74">
      <formula>MOD(ROW(),2)=0</formula>
    </cfRule>
  </conditionalFormatting>
  <conditionalFormatting sqref="G160:G161">
    <cfRule type="expression" dxfId="3694" priority="73">
      <formula>MOD(ROW(),2)=0</formula>
    </cfRule>
  </conditionalFormatting>
  <conditionalFormatting sqref="G162:G163">
    <cfRule type="expression" dxfId="3693" priority="72">
      <formula>MOD(ROW(),2)=0</formula>
    </cfRule>
  </conditionalFormatting>
  <conditionalFormatting sqref="G164:G165">
    <cfRule type="expression" dxfId="3692" priority="71">
      <formula>MOD(ROW(),2)=0</formula>
    </cfRule>
  </conditionalFormatting>
  <conditionalFormatting sqref="G168:G169">
    <cfRule type="expression" dxfId="3691" priority="70">
      <formula>MOD(ROW(),2)=0</formula>
    </cfRule>
  </conditionalFormatting>
  <conditionalFormatting sqref="G170:G171">
    <cfRule type="expression" dxfId="3690" priority="69">
      <formula>MOD(ROW(),2)=0</formula>
    </cfRule>
  </conditionalFormatting>
  <conditionalFormatting sqref="G152:G153">
    <cfRule type="expression" dxfId="3689" priority="68">
      <formula>MOD(ROW(),2)=0</formula>
    </cfRule>
  </conditionalFormatting>
  <conditionalFormatting sqref="G154:G155">
    <cfRule type="expression" dxfId="3688" priority="67">
      <formula>MOD(ROW(),2)=0</formula>
    </cfRule>
  </conditionalFormatting>
  <conditionalFormatting sqref="E184:E189 E194:E195 E172:E179">
    <cfRule type="expression" dxfId="3687" priority="66">
      <formula>MOD(ROW(),2)=0</formula>
    </cfRule>
  </conditionalFormatting>
  <conditionalFormatting sqref="E190:E191">
    <cfRule type="expression" dxfId="3686" priority="63">
      <formula>MOD(ROW(),2)=0</formula>
    </cfRule>
  </conditionalFormatting>
  <conditionalFormatting sqref="E180:E181">
    <cfRule type="expression" dxfId="3685" priority="65">
      <formula>MOD(ROW(),2)=0</formula>
    </cfRule>
  </conditionalFormatting>
  <conditionalFormatting sqref="E182:E183">
    <cfRule type="expression" dxfId="3684" priority="64">
      <formula>MOD(ROW(),2)=0</formula>
    </cfRule>
  </conditionalFormatting>
  <conditionalFormatting sqref="E192:E193">
    <cfRule type="expression" dxfId="3683" priority="62">
      <formula>MOD(ROW(),2)=0</formula>
    </cfRule>
  </conditionalFormatting>
  <conditionalFormatting sqref="G182:G183">
    <cfRule type="expression" dxfId="3682" priority="61">
      <formula>MOD(ROW(),2)=0</formula>
    </cfRule>
  </conditionalFormatting>
  <conditionalFormatting sqref="G184:G185">
    <cfRule type="expression" dxfId="3681" priority="60">
      <formula>MOD(ROW(),2)=0</formula>
    </cfRule>
  </conditionalFormatting>
  <conditionalFormatting sqref="G186:G187">
    <cfRule type="expression" dxfId="3680" priority="59">
      <formula>MOD(ROW(),2)=0</formula>
    </cfRule>
  </conditionalFormatting>
  <conditionalFormatting sqref="G188:G189">
    <cfRule type="expression" dxfId="3679" priority="58">
      <formula>MOD(ROW(),2)=0</formula>
    </cfRule>
  </conditionalFormatting>
  <conditionalFormatting sqref="G192:G193">
    <cfRule type="expression" dxfId="3678" priority="57">
      <formula>MOD(ROW(),2)=0</formula>
    </cfRule>
  </conditionalFormatting>
  <conditionalFormatting sqref="G194:G195">
    <cfRule type="expression" dxfId="3677" priority="56">
      <formula>MOD(ROW(),2)=0</formula>
    </cfRule>
  </conditionalFormatting>
  <conditionalFormatting sqref="G176:G177">
    <cfRule type="expression" dxfId="3676" priority="55">
      <formula>MOD(ROW(),2)=0</formula>
    </cfRule>
  </conditionalFormatting>
  <conditionalFormatting sqref="G178:G179">
    <cfRule type="expression" dxfId="3675" priority="54">
      <formula>MOD(ROW(),2)=0</formula>
    </cfRule>
  </conditionalFormatting>
  <conditionalFormatting sqref="G400:G401">
    <cfRule type="expression" dxfId="3674" priority="53">
      <formula>MOD(ROW(),2)=0</formula>
    </cfRule>
  </conditionalFormatting>
  <conditionalFormatting sqref="G244">
    <cfRule type="expression" dxfId="3673" priority="52">
      <formula>MOD(ROW(),2)=0</formula>
    </cfRule>
  </conditionalFormatting>
  <conditionalFormatting sqref="G223">
    <cfRule type="expression" dxfId="3672" priority="51">
      <formula>MOD(ROW(),2)=0</formula>
    </cfRule>
  </conditionalFormatting>
  <conditionalFormatting sqref="E223">
    <cfRule type="expression" dxfId="3671" priority="50">
      <formula>MOD(ROW(),2)=0</formula>
    </cfRule>
  </conditionalFormatting>
  <conditionalFormatting sqref="E223">
    <cfRule type="expression" dxfId="3670" priority="49">
      <formula>MOD(ROW(),2)=0</formula>
    </cfRule>
  </conditionalFormatting>
  <conditionalFormatting sqref="G232">
    <cfRule type="expression" dxfId="3669" priority="48">
      <formula>MOD(ROW(),2)=0</formula>
    </cfRule>
  </conditionalFormatting>
  <conditionalFormatting sqref="E232">
    <cfRule type="expression" dxfId="3667" priority="46">
      <formula>MOD(ROW(),2)=0</formula>
    </cfRule>
  </conditionalFormatting>
  <conditionalFormatting sqref="E232">
    <cfRule type="expression" dxfId="3666" priority="45">
      <formula>MOD(ROW(),2)=0</formula>
    </cfRule>
  </conditionalFormatting>
  <conditionalFormatting sqref="G70:G71">
    <cfRule type="expression" dxfId="3663" priority="42">
      <formula>MOD(ROW(),2)=0</formula>
    </cfRule>
  </conditionalFormatting>
  <conditionalFormatting sqref="E70:E71">
    <cfRule type="expression" dxfId="3662" priority="41">
      <formula>MOD(ROW(),2)=0</formula>
    </cfRule>
  </conditionalFormatting>
  <conditionalFormatting sqref="G396:G397">
    <cfRule type="expression" dxfId="3661" priority="40">
      <formula>MOD(ROW(),2)=0</formula>
    </cfRule>
  </conditionalFormatting>
  <conditionalFormatting sqref="G221">
    <cfRule type="expression" dxfId="3660" priority="39">
      <formula>MOD(ROW(),2)=0</formula>
    </cfRule>
  </conditionalFormatting>
  <conditionalFormatting sqref="E221">
    <cfRule type="expression" dxfId="3659" priority="38">
      <formula>MOD(ROW(),2)=0</formula>
    </cfRule>
  </conditionalFormatting>
  <conditionalFormatting sqref="E221">
    <cfRule type="expression" dxfId="3658" priority="37">
      <formula>MOD(ROW(),2)=0</formula>
    </cfRule>
  </conditionalFormatting>
  <conditionalFormatting sqref="G242">
    <cfRule type="expression" dxfId="3657" priority="36">
      <formula>MOD(ROW(),2)=0</formula>
    </cfRule>
  </conditionalFormatting>
  <conditionalFormatting sqref="E242">
    <cfRule type="expression" dxfId="3656" priority="35">
      <formula>MOD(ROW(),2)=0</formula>
    </cfRule>
  </conditionalFormatting>
  <conditionalFormatting sqref="E242">
    <cfRule type="expression" dxfId="3655" priority="34">
      <formula>MOD(ROW(),2)=0</formula>
    </cfRule>
  </conditionalFormatting>
  <conditionalFormatting sqref="G230">
    <cfRule type="expression" dxfId="3654" priority="33">
      <formula>MOD(ROW(),2)=0</formula>
    </cfRule>
  </conditionalFormatting>
  <conditionalFormatting sqref="E230">
    <cfRule type="expression" dxfId="3653" priority="32">
      <formula>MOD(ROW(),2)=0</formula>
    </cfRule>
  </conditionalFormatting>
  <conditionalFormatting sqref="E230">
    <cfRule type="expression" dxfId="3652" priority="31">
      <formula>MOD(ROW(),2)=0</formula>
    </cfRule>
  </conditionalFormatting>
  <conditionalFormatting sqref="G66:G67">
    <cfRule type="expression" dxfId="3648" priority="27">
      <formula>MOD(ROW(),2)=0</formula>
    </cfRule>
  </conditionalFormatting>
  <conditionalFormatting sqref="E66:E67">
    <cfRule type="expression" dxfId="3647" priority="26">
      <formula>MOD(ROW(),2)=0</formula>
    </cfRule>
  </conditionalFormatting>
  <conditionalFormatting sqref="G225">
    <cfRule type="expression" dxfId="3646" priority="25">
      <formula>MOD(ROW(),2)=0</formula>
    </cfRule>
  </conditionalFormatting>
  <conditionalFormatting sqref="E225">
    <cfRule type="expression" dxfId="3645" priority="24">
      <formula>MOD(ROW(),2)=0</formula>
    </cfRule>
  </conditionalFormatting>
  <conditionalFormatting sqref="G246">
    <cfRule type="expression" dxfId="3644" priority="23">
      <formula>MOD(ROW(),2)=0</formula>
    </cfRule>
  </conditionalFormatting>
  <conditionalFormatting sqref="E246">
    <cfRule type="expression" dxfId="3643" priority="22">
      <formula>MOD(ROW(),2)=0</formula>
    </cfRule>
  </conditionalFormatting>
  <conditionalFormatting sqref="G234">
    <cfRule type="expression" dxfId="3642" priority="21">
      <formula>MOD(ROW(),2)=0</formula>
    </cfRule>
  </conditionalFormatting>
  <conditionalFormatting sqref="E234">
    <cfRule type="expression" dxfId="3640" priority="19">
      <formula>MOD(ROW(),2)=0</formula>
    </cfRule>
  </conditionalFormatting>
  <conditionalFormatting sqref="G74:G75">
    <cfRule type="expression" dxfId="3638" priority="17">
      <formula>MOD(ROW(),2)=0</formula>
    </cfRule>
  </conditionalFormatting>
  <conditionalFormatting sqref="E74:E75">
    <cfRule type="expression" dxfId="3637" priority="16">
      <formula>MOD(ROW(),2)=0</formula>
    </cfRule>
  </conditionalFormatting>
  <conditionalFormatting sqref="G388:G393">
    <cfRule type="expression" dxfId="3636" priority="15">
      <formula>MOD(ROW(),2)=0</formula>
    </cfRule>
  </conditionalFormatting>
  <conditionalFormatting sqref="K388:K393">
    <cfRule type="expression" dxfId="3635" priority="14">
      <formula>MOD(ROW(),2)=0</formula>
    </cfRule>
  </conditionalFormatting>
  <conditionalFormatting sqref="J247:J252">
    <cfRule type="expression" dxfId="3634" priority="13">
      <formula>MOD(ROW(),2)=0</formula>
    </cfRule>
  </conditionalFormatting>
  <conditionalFormatting sqref="G61">
    <cfRule type="expression" dxfId="3633" priority="12">
      <formula>MOD(ROW(),2)=0</formula>
    </cfRule>
  </conditionalFormatting>
  <conditionalFormatting sqref="E237:G237 E239:G239 F238 F236 E235:F235 F240">
    <cfRule type="expression" dxfId="3632" priority="11">
      <formula>MOD(ROW(),2)=0</formula>
    </cfRule>
  </conditionalFormatting>
  <conditionalFormatting sqref="D235:D240">
    <cfRule type="expression" dxfId="3631" priority="10">
      <formula>MOD(ROW(),2)=0</formula>
    </cfRule>
  </conditionalFormatting>
  <conditionalFormatting sqref="G235">
    <cfRule type="expression" dxfId="3630" priority="9">
      <formula>MOD(ROW(),2)=0</formula>
    </cfRule>
  </conditionalFormatting>
  <conditionalFormatting sqref="G238">
    <cfRule type="expression" dxfId="3629" priority="8">
      <formula>MOD(ROW(),2)=0</formula>
    </cfRule>
  </conditionalFormatting>
  <conditionalFormatting sqref="E238">
    <cfRule type="expression" dxfId="3628" priority="7">
      <formula>MOD(ROW(),2)=0</formula>
    </cfRule>
  </conditionalFormatting>
  <conditionalFormatting sqref="E238">
    <cfRule type="expression" dxfId="3627" priority="6">
      <formula>MOD(ROW(),2)=0</formula>
    </cfRule>
  </conditionalFormatting>
  <conditionalFormatting sqref="G236">
    <cfRule type="expression" dxfId="3626" priority="5">
      <formula>MOD(ROW(),2)=0</formula>
    </cfRule>
  </conditionalFormatting>
  <conditionalFormatting sqref="E236">
    <cfRule type="expression" dxfId="3625" priority="4">
      <formula>MOD(ROW(),2)=0</formula>
    </cfRule>
  </conditionalFormatting>
  <conditionalFormatting sqref="E236">
    <cfRule type="expression" dxfId="3624" priority="3">
      <formula>MOD(ROW(),2)=0</formula>
    </cfRule>
  </conditionalFormatting>
  <conditionalFormatting sqref="G240">
    <cfRule type="expression" dxfId="3623" priority="2">
      <formula>MOD(ROW(),2)=0</formula>
    </cfRule>
  </conditionalFormatting>
  <conditionalFormatting sqref="E240">
    <cfRule type="expression" dxfId="3622" priority="1">
      <formula>MOD(ROW(),2)=0</formula>
    </cfRule>
  </conditionalFormatting>
  <hyperlinks>
    <hyperlink ref="AN6" location="'0'!A1" tooltip="X stave 0, Front" display="'0'!A1" xr:uid="{00000000-0004-0000-0300-000000000000}"/>
    <hyperlink ref="AN7:AN10" location="'0'!A1" tooltip="X stave 0, Front" display="'0'!A1" xr:uid="{00000000-0004-0000-0300-000001000000}"/>
    <hyperlink ref="AJ6" location="'0'!A1" tooltip="X stave 0, Front" display="'0'!A1" xr:uid="{00000000-0004-0000-0300-000002000000}"/>
    <hyperlink ref="AJ7:AJ10" location="'0'!A1" tooltip="X stave 0, Front" display="'0'!A1" xr:uid="{00000000-0004-0000-0300-000003000000}"/>
    <hyperlink ref="AH6" location="'0'!A1" tooltip="X stave 0, Front" display="'0'!A1" xr:uid="{00000000-0004-0000-0300-000004000000}"/>
    <hyperlink ref="AH7:AH10" location="'0'!A1" tooltip="X stave 0, Front" display="'0'!A1" xr:uid="{00000000-0004-0000-0300-000005000000}"/>
    <hyperlink ref="AJ6:AJ10" location="'2'!A1" tooltip="DCB 2" display="'2'!A1" xr:uid="{00000000-0004-0000-0300-000006000000}"/>
    <hyperlink ref="AN6:AN10" location="'0'!A1" tooltip="DCB 0" display="'0'!A1" xr:uid="{00000000-0004-0000-0300-000007000000}"/>
    <hyperlink ref="AL6" location="'0'!A1" tooltip="X stave 0, Front" display="'0'!A1" xr:uid="{00000000-0004-0000-0300-000008000000}"/>
    <hyperlink ref="AL7:AL10" location="'0'!A1" tooltip="X stave 0, Front" display="'0'!A1" xr:uid="{00000000-0004-0000-0300-000009000000}"/>
    <hyperlink ref="AL6:AL10" location="'1'!A1" tooltip="DCB 1" display="'1'!A1" xr:uid="{00000000-0004-0000-0300-00000A000000}"/>
    <hyperlink ref="AH6:AH10" location="'3'!A1" display="'3'!A1" xr:uid="{00000000-0004-0000-0300-00000B000000}"/>
    <hyperlink ref="AF6" location="'0'!A1" tooltip="X stave 0, Front" display="'0'!A1" xr:uid="{00000000-0004-0000-0300-00000C000000}"/>
    <hyperlink ref="AF7:AF10" location="'0'!A1" tooltip="X stave 0, Front" display="'0'!A1" xr:uid="{00000000-0004-0000-0300-00000D000000}"/>
    <hyperlink ref="AF6:AF10" location="'4'!A1" display="'4'!A1" xr:uid="{00000000-0004-0000-0300-00000E000000}"/>
    <hyperlink ref="AD6" location="'0'!A1" tooltip="X stave 0, Front" display="'0'!A1" xr:uid="{00000000-0004-0000-0300-00000F000000}"/>
    <hyperlink ref="AD7:AD10" location="'0'!A1" tooltip="X stave 0, Front" display="'0'!A1" xr:uid="{00000000-0004-0000-0300-000010000000}"/>
    <hyperlink ref="AD6:AD10" location="'5'!A1" display="'5'!A1" xr:uid="{00000000-0004-0000-0300-000011000000}"/>
    <hyperlink ref="AB6" location="'0'!A1" tooltip="X stave 0, Front" display="'0'!A1" xr:uid="{00000000-0004-0000-0300-000012000000}"/>
    <hyperlink ref="AB7:AB10" location="'0'!A1" tooltip="X stave 0, Front" display="'0'!A1" xr:uid="{00000000-0004-0000-0300-000013000000}"/>
    <hyperlink ref="AB6:AB10" location="'6'!A1" display="'6'!A1" xr:uid="{00000000-0004-0000-0300-000014000000}"/>
    <hyperlink ref="Z6" location="'0'!A1" tooltip="X stave 0, Front" display="'0'!A1" xr:uid="{00000000-0004-0000-0300-000015000000}"/>
    <hyperlink ref="Z7:Z10" location="'0'!A1" tooltip="X stave 0, Front" display="'0'!A1" xr:uid="{00000000-0004-0000-0300-000016000000}"/>
    <hyperlink ref="Z6:Z10" location="'7'!A1" display="'7'!A1" xr:uid="{00000000-0004-0000-0300-000017000000}"/>
    <hyperlink ref="X6" location="'0'!A1" tooltip="X stave 0, Front" display="'0'!A1" xr:uid="{00000000-0004-0000-0300-000018000000}"/>
    <hyperlink ref="X7:X10" location="'0'!A1" tooltip="X stave 0, Front" display="'0'!A1" xr:uid="{00000000-0004-0000-0300-000019000000}"/>
    <hyperlink ref="X6:X10" location="'8'!A1" display="'8'!A1" xr:uid="{00000000-0004-0000-0300-00001A000000}"/>
    <hyperlink ref="V6" location="'0'!A1" tooltip="X stave 0, Front" display="'0'!A1" xr:uid="{00000000-0004-0000-0300-00001B000000}"/>
    <hyperlink ref="V7:V10" location="'0'!A1" tooltip="X stave 0, Front" display="'0'!A1" xr:uid="{00000000-0004-0000-0300-00001C000000}"/>
    <hyperlink ref="V6:V10" location="'9'!A1" display="'9'!A1" xr:uid="{00000000-0004-0000-0300-00001D000000}"/>
    <hyperlink ref="T6" location="'0'!A1" tooltip="X stave 0, Front" display="'0'!A1" xr:uid="{00000000-0004-0000-0300-00001E000000}"/>
    <hyperlink ref="T7:T10" location="'0'!A1" tooltip="X stave 0, Front" display="'0'!A1" xr:uid="{00000000-0004-0000-0300-00001F000000}"/>
    <hyperlink ref="T6:T10" location="'10'!A1" display="'10'!A1" xr:uid="{00000000-0004-0000-0300-000020000000}"/>
    <hyperlink ref="R6" location="'0'!A1" tooltip="X stave 0, Front" display="'0'!A1" xr:uid="{00000000-0004-0000-0300-000021000000}"/>
    <hyperlink ref="R7:R10" location="'0'!A1" tooltip="X stave 0, Front" display="'0'!A1" xr:uid="{00000000-0004-0000-0300-000022000000}"/>
    <hyperlink ref="R6:R10" location="'11'!A1" display="'11'!A1" xr:uid="{00000000-0004-0000-0300-000023000000}"/>
  </hyperlinks>
  <pageMargins left="0.75" right="0.75" top="1" bottom="1" header="0.5" footer="0.5"/>
  <pageSetup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R506"/>
  <sheetViews>
    <sheetView zoomScale="85" zoomScaleNormal="85" workbookViewId="0">
      <selection activeCell="AJ7" sqref="AJ7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1:44" ht="16.2" thickBot="1">
      <c r="A1" s="218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1:44" s="4" customFormat="1">
      <c r="D2" s="27" t="s">
        <v>472</v>
      </c>
      <c r="E2" s="511"/>
      <c r="F2" s="511"/>
      <c r="G2" s="512" t="s">
        <v>685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1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1:44" s="6" customFormat="1" ht="18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348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1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349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1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345">
        <v>0</v>
      </c>
      <c r="AC6" s="166"/>
      <c r="AD6" s="238">
        <v>0</v>
      </c>
      <c r="AE6" s="166"/>
      <c r="AF6" s="241">
        <v>0</v>
      </c>
      <c r="AG6" s="166"/>
      <c r="AH6" s="238">
        <v>0</v>
      </c>
      <c r="AI6" s="166"/>
      <c r="AJ6" s="238">
        <v>0</v>
      </c>
      <c r="AK6" s="166"/>
      <c r="AL6" s="241">
        <v>0</v>
      </c>
      <c r="AM6" s="166"/>
      <c r="AN6" s="241">
        <v>0</v>
      </c>
      <c r="AO6" s="167"/>
      <c r="AP6" s="159"/>
      <c r="AQ6" s="168"/>
      <c r="AR6"/>
    </row>
    <row r="7" spans="1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346">
        <v>0</v>
      </c>
      <c r="AC7" s="166"/>
      <c r="AD7" s="239">
        <v>0</v>
      </c>
      <c r="AE7" s="166"/>
      <c r="AF7" s="242">
        <v>0</v>
      </c>
      <c r="AG7" s="166"/>
      <c r="AH7" s="239">
        <v>0</v>
      </c>
      <c r="AI7" s="166"/>
      <c r="AJ7" s="239">
        <v>0</v>
      </c>
      <c r="AK7" s="166"/>
      <c r="AL7" s="242">
        <v>0</v>
      </c>
      <c r="AM7" s="166"/>
      <c r="AN7" s="242">
        <v>0</v>
      </c>
      <c r="AO7" s="167"/>
      <c r="AP7" s="159"/>
      <c r="AQ7" s="168"/>
      <c r="AR7"/>
    </row>
    <row r="8" spans="1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346">
        <v>0</v>
      </c>
      <c r="AC8" s="166"/>
      <c r="AD8" s="239">
        <v>0</v>
      </c>
      <c r="AE8" s="166"/>
      <c r="AF8" s="242">
        <v>0</v>
      </c>
      <c r="AG8" s="166"/>
      <c r="AH8" s="239">
        <v>0</v>
      </c>
      <c r="AI8" s="166"/>
      <c r="AJ8" s="239">
        <v>0</v>
      </c>
      <c r="AK8" s="166"/>
      <c r="AL8" s="242">
        <v>0</v>
      </c>
      <c r="AM8" s="166"/>
      <c r="AN8" s="242">
        <v>0</v>
      </c>
      <c r="AO8" s="167"/>
      <c r="AP8" s="159"/>
      <c r="AQ8" s="168"/>
      <c r="AR8"/>
    </row>
    <row r="9" spans="1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346">
        <v>0</v>
      </c>
      <c r="AC9" s="166"/>
      <c r="AD9" s="239">
        <v>0</v>
      </c>
      <c r="AE9" s="166"/>
      <c r="AF9" s="242">
        <v>0</v>
      </c>
      <c r="AG9" s="166"/>
      <c r="AH9" s="239">
        <v>0</v>
      </c>
      <c r="AI9" s="166"/>
      <c r="AJ9" s="239">
        <v>0</v>
      </c>
      <c r="AK9" s="166"/>
      <c r="AL9" s="242">
        <v>0</v>
      </c>
      <c r="AM9" s="166"/>
      <c r="AN9" s="242">
        <v>0</v>
      </c>
      <c r="AO9" s="167"/>
      <c r="AP9" s="159"/>
      <c r="AQ9" s="168"/>
      <c r="AR9"/>
    </row>
    <row r="10" spans="1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347">
        <v>0</v>
      </c>
      <c r="AC10" s="166"/>
      <c r="AD10" s="240">
        <v>0</v>
      </c>
      <c r="AE10" s="166"/>
      <c r="AF10" s="243">
        <v>0</v>
      </c>
      <c r="AG10" s="166"/>
      <c r="AH10" s="240">
        <v>0</v>
      </c>
      <c r="AI10" s="166"/>
      <c r="AJ10" s="240">
        <v>0</v>
      </c>
      <c r="AK10" s="166"/>
      <c r="AL10" s="243">
        <v>0</v>
      </c>
      <c r="AM10" s="166"/>
      <c r="AN10" s="243">
        <v>0</v>
      </c>
      <c r="AO10" s="171"/>
      <c r="AP10" s="159"/>
      <c r="AQ10" s="168"/>
      <c r="AR10"/>
    </row>
    <row r="11" spans="1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69">
        <v>1</v>
      </c>
      <c r="AM11" s="212"/>
      <c r="AN11" s="212">
        <v>0</v>
      </c>
      <c r="AO11" s="171"/>
      <c r="AP11" s="159"/>
      <c r="AQ11" s="168"/>
      <c r="AR11"/>
    </row>
    <row r="12" spans="1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1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1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1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1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8"/>
      <c r="AA17" s="19"/>
      <c r="AB17" s="508"/>
      <c r="AC17" s="19"/>
      <c r="AD17" s="508"/>
      <c r="AE17" s="19"/>
      <c r="AF17" s="509"/>
      <c r="AG17" s="15"/>
      <c r="AH17" s="509"/>
      <c r="AI17" s="19"/>
      <c r="AJ17" s="508"/>
      <c r="AK17" s="19"/>
      <c r="AL17" s="508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6"/>
      <c r="Q18" s="19"/>
      <c r="R18" s="356"/>
      <c r="S18" s="19"/>
      <c r="T18" s="356"/>
      <c r="U18" s="19"/>
      <c r="V18" s="356"/>
      <c r="W18" s="19"/>
      <c r="X18" s="356"/>
      <c r="Y18" s="19"/>
      <c r="Z18" s="356"/>
      <c r="AA18" s="19"/>
      <c r="AB18" s="356"/>
      <c r="AC18" s="19"/>
      <c r="AD18" s="356"/>
      <c r="AE18" s="19"/>
      <c r="AF18" s="510"/>
      <c r="AG18" s="19"/>
      <c r="AH18" s="510"/>
      <c r="AI18" s="19"/>
      <c r="AJ18" s="356"/>
      <c r="AK18" s="19"/>
      <c r="AL18" s="356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7">
        <v>11</v>
      </c>
      <c r="Q19" s="357"/>
      <c r="R19" s="357">
        <v>10</v>
      </c>
      <c r="S19" s="357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977</v>
      </c>
      <c r="F61" s="5"/>
      <c r="G61" s="343" t="s">
        <v>990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995</v>
      </c>
      <c r="F66" s="271"/>
      <c r="G66" s="270" t="s">
        <v>168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995</v>
      </c>
      <c r="F67" s="271"/>
      <c r="G67" s="270" t="s">
        <v>169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994</v>
      </c>
      <c r="F70" s="271"/>
      <c r="G70" s="272" t="s">
        <v>961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994</v>
      </c>
      <c r="F71" s="271"/>
      <c r="G71" s="272" t="s">
        <v>962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994</v>
      </c>
      <c r="F74" s="13"/>
      <c r="G74" s="270" t="s">
        <v>168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994</v>
      </c>
      <c r="F75" s="13"/>
      <c r="G75" s="270" t="s">
        <v>169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891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891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891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891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994</v>
      </c>
      <c r="F80" s="13"/>
      <c r="G80" s="270" t="s">
        <v>188</v>
      </c>
      <c r="H80" s="235" t="s">
        <v>891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994</v>
      </c>
      <c r="F81" s="13"/>
      <c r="G81" s="270" t="s">
        <v>189</v>
      </c>
      <c r="H81" s="235" t="s">
        <v>891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994</v>
      </c>
      <c r="F82" s="13"/>
      <c r="G82" s="270" t="s">
        <v>178</v>
      </c>
      <c r="H82" s="235" t="s">
        <v>891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994</v>
      </c>
      <c r="F83" s="13"/>
      <c r="G83" s="270" t="s">
        <v>179</v>
      </c>
      <c r="H83" s="235" t="s">
        <v>891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4" t="s">
        <v>994</v>
      </c>
      <c r="F84" s="13"/>
      <c r="G84" s="276" t="s">
        <v>216</v>
      </c>
      <c r="H84" s="235" t="s">
        <v>891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4" t="s">
        <v>994</v>
      </c>
      <c r="F85" s="13"/>
      <c r="G85" s="276" t="s">
        <v>217</v>
      </c>
      <c r="H85" s="235" t="s">
        <v>891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994</v>
      </c>
      <c r="F86" s="13"/>
      <c r="G86" s="276" t="s">
        <v>206</v>
      </c>
      <c r="H86" s="235" t="s">
        <v>891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994</v>
      </c>
      <c r="F87" s="13"/>
      <c r="G87" s="276" t="s">
        <v>207</v>
      </c>
      <c r="H87" s="235" t="s">
        <v>891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994</v>
      </c>
      <c r="F88" s="184"/>
      <c r="G88" s="270" t="s">
        <v>196</v>
      </c>
      <c r="H88" s="235" t="s">
        <v>891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994</v>
      </c>
      <c r="F89" s="184"/>
      <c r="G89" s="270" t="s">
        <v>197</v>
      </c>
      <c r="H89" s="235" t="s">
        <v>891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994</v>
      </c>
      <c r="F90" s="13"/>
      <c r="G90" s="270" t="s">
        <v>186</v>
      </c>
      <c r="H90" s="235" t="s">
        <v>891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994</v>
      </c>
      <c r="F91" s="13"/>
      <c r="G91" s="270" t="s">
        <v>187</v>
      </c>
      <c r="H91" s="235" t="s">
        <v>891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994</v>
      </c>
      <c r="F92" s="185"/>
      <c r="G92" s="270" t="s">
        <v>176</v>
      </c>
      <c r="H92" s="235" t="s">
        <v>891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994</v>
      </c>
      <c r="F93" s="13"/>
      <c r="G93" s="270" t="s">
        <v>177</v>
      </c>
      <c r="H93" s="235" t="s">
        <v>891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4" t="s">
        <v>994</v>
      </c>
      <c r="F94" s="13"/>
      <c r="G94" s="276" t="s">
        <v>218</v>
      </c>
      <c r="H94" s="235" t="s">
        <v>891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4" t="s">
        <v>994</v>
      </c>
      <c r="F95" s="13"/>
      <c r="G95" s="276" t="s">
        <v>219</v>
      </c>
      <c r="H95" s="235" t="s">
        <v>891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994</v>
      </c>
      <c r="F96" s="184"/>
      <c r="G96" s="276" t="s">
        <v>208</v>
      </c>
      <c r="H96" s="235" t="s">
        <v>891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994</v>
      </c>
      <c r="F97" s="184"/>
      <c r="G97" s="276" t="s">
        <v>209</v>
      </c>
      <c r="H97" s="235" t="s">
        <v>891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994</v>
      </c>
      <c r="F98" s="13"/>
      <c r="G98" s="270" t="s">
        <v>198</v>
      </c>
      <c r="H98" s="235" t="s">
        <v>891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994</v>
      </c>
      <c r="F99" s="13"/>
      <c r="G99" s="270" t="s">
        <v>199</v>
      </c>
      <c r="H99" s="235" t="s">
        <v>891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184"/>
      <c r="F100" s="184"/>
      <c r="G100" s="244"/>
      <c r="H100" s="340" t="s">
        <v>892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184"/>
      <c r="F101" s="184"/>
      <c r="G101" s="244"/>
      <c r="H101" s="235" t="s">
        <v>892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184"/>
      <c r="F102" s="184"/>
      <c r="G102" s="244"/>
      <c r="H102" s="235" t="s">
        <v>892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184"/>
      <c r="F103" s="184"/>
      <c r="G103" s="244"/>
      <c r="H103" s="235" t="s">
        <v>892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994</v>
      </c>
      <c r="F104" s="13"/>
      <c r="G104" s="272" t="s">
        <v>331</v>
      </c>
      <c r="H104" s="235" t="s">
        <v>892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994</v>
      </c>
      <c r="F105" s="13"/>
      <c r="G105" s="272" t="s">
        <v>330</v>
      </c>
      <c r="H105" s="235" t="s">
        <v>892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994</v>
      </c>
      <c r="F106" s="13"/>
      <c r="G106" s="272" t="s">
        <v>335</v>
      </c>
      <c r="H106" s="235" t="s">
        <v>892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994</v>
      </c>
      <c r="F107" s="13"/>
      <c r="G107" s="272" t="s">
        <v>334</v>
      </c>
      <c r="H107" s="235" t="s">
        <v>892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13"/>
      <c r="F108" s="13"/>
      <c r="G108" s="271"/>
      <c r="H108" s="235" t="s">
        <v>892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13"/>
      <c r="F109" s="13"/>
      <c r="G109" s="271"/>
      <c r="H109" s="235" t="s">
        <v>892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994</v>
      </c>
      <c r="F110" s="13"/>
      <c r="G110" s="276" t="s">
        <v>6</v>
      </c>
      <c r="H110" s="235" t="s">
        <v>892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994</v>
      </c>
      <c r="F111" s="13"/>
      <c r="G111" s="276" t="s">
        <v>7</v>
      </c>
      <c r="H111" s="235" t="s">
        <v>892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994</v>
      </c>
      <c r="F112" s="13"/>
      <c r="G112" s="272" t="s">
        <v>16</v>
      </c>
      <c r="H112" s="235" t="s">
        <v>892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994</v>
      </c>
      <c r="F113" s="13"/>
      <c r="G113" s="272" t="s">
        <v>17</v>
      </c>
      <c r="H113" s="235" t="s">
        <v>892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994</v>
      </c>
      <c r="F114" s="184"/>
      <c r="G114" s="272" t="s">
        <v>18</v>
      </c>
      <c r="H114" s="235" t="s">
        <v>892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994</v>
      </c>
      <c r="F115" s="184"/>
      <c r="G115" s="272" t="s">
        <v>19</v>
      </c>
      <c r="H115" s="235" t="s">
        <v>892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994</v>
      </c>
      <c r="F116" s="184"/>
      <c r="G116" s="272" t="s">
        <v>4</v>
      </c>
      <c r="H116" s="235" t="s">
        <v>892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994</v>
      </c>
      <c r="F117" s="184"/>
      <c r="G117" s="272" t="s">
        <v>5</v>
      </c>
      <c r="H117" s="235" t="s">
        <v>892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13"/>
      <c r="F118" s="13"/>
      <c r="G118" s="271"/>
      <c r="H118" s="235" t="s">
        <v>892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13"/>
      <c r="F119" s="13"/>
      <c r="G119" s="271"/>
      <c r="H119" s="235" t="s">
        <v>892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4" t="s">
        <v>994</v>
      </c>
      <c r="F120" s="13"/>
      <c r="G120" s="276" t="s">
        <v>332</v>
      </c>
      <c r="H120" s="235" t="s">
        <v>892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4" t="s">
        <v>994</v>
      </c>
      <c r="F121" s="13"/>
      <c r="G121" s="276" t="s">
        <v>333</v>
      </c>
      <c r="H121" s="235" t="s">
        <v>892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994</v>
      </c>
      <c r="F122" s="13"/>
      <c r="G122" s="272" t="s">
        <v>329</v>
      </c>
      <c r="H122" s="235" t="s">
        <v>892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994</v>
      </c>
      <c r="F123" s="13"/>
      <c r="G123" s="272" t="s">
        <v>328</v>
      </c>
      <c r="H123" s="235" t="s">
        <v>892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184"/>
      <c r="F124" s="184"/>
      <c r="G124" s="244"/>
      <c r="H124" s="340" t="s">
        <v>893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184"/>
      <c r="F125" s="184"/>
      <c r="G125" s="244"/>
      <c r="H125" s="235" t="s">
        <v>893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184"/>
      <c r="F126" s="184"/>
      <c r="G126" s="184"/>
      <c r="H126" s="235" t="s">
        <v>893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184"/>
      <c r="F127" s="184"/>
      <c r="G127" s="184"/>
      <c r="H127" s="235" t="s">
        <v>893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994</v>
      </c>
      <c r="F128" s="13"/>
      <c r="G128" s="272" t="s">
        <v>310</v>
      </c>
      <c r="H128" s="235" t="s">
        <v>893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994</v>
      </c>
      <c r="F129" s="13"/>
      <c r="G129" s="272" t="s">
        <v>311</v>
      </c>
      <c r="H129" s="235" t="s">
        <v>893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994</v>
      </c>
      <c r="F130" s="13"/>
      <c r="G130" s="272" t="s">
        <v>317</v>
      </c>
      <c r="H130" s="235" t="s">
        <v>893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994</v>
      </c>
      <c r="F131" s="13"/>
      <c r="G131" s="272" t="s">
        <v>318</v>
      </c>
      <c r="H131" s="235" t="s">
        <v>893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13"/>
      <c r="F132" s="13"/>
      <c r="G132" s="271"/>
      <c r="H132" s="235" t="s">
        <v>893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13"/>
      <c r="F133" s="13"/>
      <c r="G133" s="271"/>
      <c r="H133" s="235" t="s">
        <v>893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4" t="s">
        <v>994</v>
      </c>
      <c r="F134" s="13"/>
      <c r="G134" s="276" t="s">
        <v>319</v>
      </c>
      <c r="H134" s="235" t="s">
        <v>893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4" t="s">
        <v>994</v>
      </c>
      <c r="F135" s="13"/>
      <c r="G135" s="276" t="s">
        <v>312</v>
      </c>
      <c r="H135" s="235" t="s">
        <v>893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994</v>
      </c>
      <c r="F136" s="13"/>
      <c r="G136" s="272" t="s">
        <v>303</v>
      </c>
      <c r="H136" s="235" t="s">
        <v>893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994</v>
      </c>
      <c r="F137" s="13"/>
      <c r="G137" s="272" t="s">
        <v>294</v>
      </c>
      <c r="H137" s="235" t="s">
        <v>893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994</v>
      </c>
      <c r="F138" s="184"/>
      <c r="G138" s="272" t="s">
        <v>304</v>
      </c>
      <c r="H138" s="235" t="s">
        <v>893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994</v>
      </c>
      <c r="F139" s="184"/>
      <c r="G139" s="272" t="s">
        <v>295</v>
      </c>
      <c r="H139" s="235" t="s">
        <v>893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994</v>
      </c>
      <c r="F140" s="184"/>
      <c r="G140" s="272" t="s">
        <v>313</v>
      </c>
      <c r="H140" s="235" t="s">
        <v>893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994</v>
      </c>
      <c r="F141" s="184"/>
      <c r="G141" s="272" t="s">
        <v>320</v>
      </c>
      <c r="H141" s="235" t="s">
        <v>893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13"/>
      <c r="F142" s="13"/>
      <c r="G142" s="271"/>
      <c r="H142" s="235" t="s">
        <v>893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13"/>
      <c r="F143" s="13"/>
      <c r="G143" s="271"/>
      <c r="H143" s="235" t="s">
        <v>893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4" t="s">
        <v>994</v>
      </c>
      <c r="F144" s="13"/>
      <c r="G144" s="276" t="s">
        <v>292</v>
      </c>
      <c r="H144" s="235" t="s">
        <v>893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994</v>
      </c>
      <c r="F145" s="13"/>
      <c r="G145" s="276" t="s">
        <v>293</v>
      </c>
      <c r="H145" s="235" t="s">
        <v>893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994</v>
      </c>
      <c r="F146" s="13"/>
      <c r="G146" s="272" t="s">
        <v>301</v>
      </c>
      <c r="H146" s="235" t="s">
        <v>893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994</v>
      </c>
      <c r="F147" s="13"/>
      <c r="G147" s="272" t="s">
        <v>302</v>
      </c>
      <c r="H147" s="235" t="s">
        <v>893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3"/>
      <c r="F148" s="184"/>
      <c r="G148" s="184"/>
      <c r="H148" s="339" t="s">
        <v>894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3"/>
      <c r="F149" s="184"/>
      <c r="G149" s="184"/>
      <c r="H149" s="235" t="s">
        <v>894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235" t="s">
        <v>894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235" t="s">
        <v>894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995</v>
      </c>
      <c r="F152" s="13"/>
      <c r="G152" s="270" t="s">
        <v>121</v>
      </c>
      <c r="H152" s="235" t="s">
        <v>894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995</v>
      </c>
      <c r="F153" s="13"/>
      <c r="G153" s="270" t="s">
        <v>120</v>
      </c>
      <c r="H153" s="235" t="s">
        <v>894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995</v>
      </c>
      <c r="F154" s="13"/>
      <c r="G154" s="270" t="s">
        <v>108</v>
      </c>
      <c r="H154" s="235" t="s">
        <v>894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995</v>
      </c>
      <c r="F155" s="13"/>
      <c r="G155" s="270" t="s">
        <v>109</v>
      </c>
      <c r="H155" s="235" t="s">
        <v>894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/>
      <c r="F156" s="13"/>
      <c r="G156" s="271"/>
      <c r="H156" s="235" t="s">
        <v>894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/>
      <c r="F157" s="13"/>
      <c r="G157" s="271"/>
      <c r="H157" s="235" t="s">
        <v>894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995</v>
      </c>
      <c r="F158" s="13"/>
      <c r="G158" s="276" t="s">
        <v>100</v>
      </c>
      <c r="H158" s="235" t="s">
        <v>894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995</v>
      </c>
      <c r="F159" s="13"/>
      <c r="G159" s="276" t="s">
        <v>101</v>
      </c>
      <c r="H159" s="235" t="s">
        <v>894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995</v>
      </c>
      <c r="F160" s="184"/>
      <c r="G160" s="270" t="s">
        <v>137</v>
      </c>
      <c r="H160" s="235" t="s">
        <v>894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995</v>
      </c>
      <c r="F161" s="184"/>
      <c r="G161" s="270" t="s">
        <v>136</v>
      </c>
      <c r="H161" s="235" t="s">
        <v>894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995</v>
      </c>
      <c r="F162" s="184"/>
      <c r="G162" s="270" t="s">
        <v>118</v>
      </c>
      <c r="H162" s="235" t="s">
        <v>894</v>
      </c>
      <c r="I162" s="13"/>
      <c r="J162" s="13"/>
      <c r="K162" s="16"/>
    </row>
    <row r="163" spans="2:11" ht="16.2" thickBot="1">
      <c r="B163" s="26">
        <v>158</v>
      </c>
      <c r="C163" s="228" t="s">
        <v>140</v>
      </c>
      <c r="D163" s="230" t="s">
        <v>542</v>
      </c>
      <c r="E163" s="271" t="s">
        <v>995</v>
      </c>
      <c r="F163" s="184"/>
      <c r="G163" s="270" t="s">
        <v>119</v>
      </c>
      <c r="H163" s="235" t="s">
        <v>894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995</v>
      </c>
      <c r="F164" s="184"/>
      <c r="G164" s="337" t="s">
        <v>110</v>
      </c>
      <c r="H164" s="235" t="s">
        <v>894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995</v>
      </c>
      <c r="F165" s="184"/>
      <c r="G165" s="270" t="s">
        <v>111</v>
      </c>
      <c r="H165" s="235" t="s">
        <v>894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/>
      <c r="F166" s="184"/>
      <c r="G166" s="338"/>
      <c r="H166" s="235" t="s">
        <v>894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/>
      <c r="F167" s="184"/>
      <c r="G167" s="338"/>
      <c r="H167" s="235" t="s">
        <v>894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995</v>
      </c>
      <c r="F168" s="13"/>
      <c r="G168" s="276" t="s">
        <v>88</v>
      </c>
      <c r="H168" s="235" t="s">
        <v>894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995</v>
      </c>
      <c r="F169" s="13"/>
      <c r="G169" s="276" t="s">
        <v>98</v>
      </c>
      <c r="H169" s="235" t="s">
        <v>894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995</v>
      </c>
      <c r="F170" s="13"/>
      <c r="G170" s="270" t="s">
        <v>128</v>
      </c>
      <c r="H170" s="235" t="s">
        <v>894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995</v>
      </c>
      <c r="F171" s="13"/>
      <c r="G171" s="270" t="s">
        <v>129</v>
      </c>
      <c r="H171" s="235" t="s">
        <v>894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3"/>
      <c r="F172" s="184"/>
      <c r="G172" s="244"/>
      <c r="H172" s="339" t="s">
        <v>895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3"/>
      <c r="F173" s="184"/>
      <c r="G173" s="244"/>
      <c r="H173" s="235" t="s">
        <v>895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895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895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995</v>
      </c>
      <c r="F176" s="13"/>
      <c r="G176" s="270" t="s">
        <v>188</v>
      </c>
      <c r="H176" s="235" t="s">
        <v>895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995</v>
      </c>
      <c r="F177" s="13"/>
      <c r="G177" s="270" t="s">
        <v>189</v>
      </c>
      <c r="H177" s="235" t="s">
        <v>895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995</v>
      </c>
      <c r="F178" s="13"/>
      <c r="G178" s="270" t="s">
        <v>178</v>
      </c>
      <c r="H178" s="235" t="s">
        <v>895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995</v>
      </c>
      <c r="F179" s="13"/>
      <c r="G179" s="270" t="s">
        <v>179</v>
      </c>
      <c r="H179" s="235" t="s">
        <v>895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/>
      <c r="F180" s="13"/>
      <c r="G180" s="271"/>
      <c r="H180" s="235" t="s">
        <v>895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/>
      <c r="F181" s="13"/>
      <c r="G181" s="271"/>
      <c r="H181" s="235" t="s">
        <v>895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995</v>
      </c>
      <c r="F182" s="13"/>
      <c r="G182" s="276" t="s">
        <v>206</v>
      </c>
      <c r="H182" s="235" t="s">
        <v>895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995</v>
      </c>
      <c r="F183" s="13"/>
      <c r="G183" s="276" t="s">
        <v>207</v>
      </c>
      <c r="H183" s="235" t="s">
        <v>895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995</v>
      </c>
      <c r="F184" s="184"/>
      <c r="G184" s="270" t="s">
        <v>196</v>
      </c>
      <c r="H184" s="235" t="s">
        <v>895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995</v>
      </c>
      <c r="F185" s="184"/>
      <c r="G185" s="270" t="s">
        <v>197</v>
      </c>
      <c r="H185" s="235" t="s">
        <v>895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995</v>
      </c>
      <c r="F186" s="13"/>
      <c r="G186" s="270" t="s">
        <v>186</v>
      </c>
      <c r="H186" s="235" t="s">
        <v>895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995</v>
      </c>
      <c r="F187" s="13"/>
      <c r="G187" s="270" t="s">
        <v>187</v>
      </c>
      <c r="H187" s="235" t="s">
        <v>895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995</v>
      </c>
      <c r="F188" s="13"/>
      <c r="G188" s="270" t="s">
        <v>176</v>
      </c>
      <c r="H188" s="235" t="s">
        <v>895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995</v>
      </c>
      <c r="F189" s="13"/>
      <c r="G189" s="270" t="s">
        <v>177</v>
      </c>
      <c r="H189" s="235" t="s">
        <v>895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/>
      <c r="F190" s="13"/>
      <c r="G190" s="271"/>
      <c r="H190" s="235" t="s">
        <v>895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/>
      <c r="F191" s="13"/>
      <c r="G191" s="271"/>
      <c r="H191" s="235" t="s">
        <v>895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995</v>
      </c>
      <c r="F192" s="184"/>
      <c r="G192" s="276" t="s">
        <v>208</v>
      </c>
      <c r="H192" s="235" t="s">
        <v>895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995</v>
      </c>
      <c r="F193" s="184"/>
      <c r="G193" s="276" t="s">
        <v>209</v>
      </c>
      <c r="H193" s="235" t="s">
        <v>895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995</v>
      </c>
      <c r="F194" s="13"/>
      <c r="G194" s="270" t="s">
        <v>198</v>
      </c>
      <c r="H194" s="235" t="s">
        <v>895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995</v>
      </c>
      <c r="F195" s="13"/>
      <c r="G195" s="270" t="s">
        <v>199</v>
      </c>
      <c r="H195" s="235" t="s">
        <v>895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39" t="s">
        <v>896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896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896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896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994</v>
      </c>
      <c r="F200" s="13"/>
      <c r="G200" s="270" t="s">
        <v>121</v>
      </c>
      <c r="H200" s="235" t="s">
        <v>896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994</v>
      </c>
      <c r="F201" s="13"/>
      <c r="G201" s="270" t="s">
        <v>120</v>
      </c>
      <c r="H201" s="235" t="s">
        <v>896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994</v>
      </c>
      <c r="F202" s="13"/>
      <c r="G202" s="270" t="s">
        <v>108</v>
      </c>
      <c r="H202" s="235" t="s">
        <v>896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994</v>
      </c>
      <c r="F203" s="13"/>
      <c r="G203" s="270" t="s">
        <v>109</v>
      </c>
      <c r="H203" s="235" t="s">
        <v>896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4" t="s">
        <v>994</v>
      </c>
      <c r="F204" s="13"/>
      <c r="G204" s="276" t="s">
        <v>90</v>
      </c>
      <c r="H204" s="235" t="s">
        <v>896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4" t="s">
        <v>994</v>
      </c>
      <c r="F205" s="13"/>
      <c r="G205" s="276" t="s">
        <v>91</v>
      </c>
      <c r="H205" s="235" t="s">
        <v>896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4" t="s">
        <v>994</v>
      </c>
      <c r="F206" s="13"/>
      <c r="G206" s="276" t="s">
        <v>100</v>
      </c>
      <c r="H206" s="235" t="s">
        <v>896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4" t="s">
        <v>994</v>
      </c>
      <c r="F207" s="13"/>
      <c r="G207" s="276" t="s">
        <v>101</v>
      </c>
      <c r="H207" s="235" t="s">
        <v>896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994</v>
      </c>
      <c r="F208" s="184"/>
      <c r="G208" s="270" t="s">
        <v>137</v>
      </c>
      <c r="H208" s="235" t="s">
        <v>896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994</v>
      </c>
      <c r="F209" s="184"/>
      <c r="G209" s="270" t="s">
        <v>136</v>
      </c>
      <c r="H209" s="235" t="s">
        <v>896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994</v>
      </c>
      <c r="F210" s="184"/>
      <c r="G210" s="270" t="s">
        <v>118</v>
      </c>
      <c r="H210" s="235" t="s">
        <v>896</v>
      </c>
      <c r="I210" s="13"/>
      <c r="J210" s="13"/>
      <c r="K210" s="16"/>
    </row>
    <row r="211" spans="2:11" ht="16.2" thickBot="1">
      <c r="B211" s="26">
        <v>206</v>
      </c>
      <c r="C211" s="228" t="s">
        <v>829</v>
      </c>
      <c r="D211" s="230" t="s">
        <v>534</v>
      </c>
      <c r="E211" s="271" t="s">
        <v>994</v>
      </c>
      <c r="F211" s="184"/>
      <c r="G211" s="270" t="s">
        <v>119</v>
      </c>
      <c r="H211" s="235" t="s">
        <v>896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994</v>
      </c>
      <c r="F212" s="184"/>
      <c r="G212" s="337" t="s">
        <v>110</v>
      </c>
      <c r="H212" s="235" t="s">
        <v>896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994</v>
      </c>
      <c r="F213" s="184"/>
      <c r="G213" s="270" t="s">
        <v>111</v>
      </c>
      <c r="H213" s="235" t="s">
        <v>896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4" t="s">
        <v>994</v>
      </c>
      <c r="F214" s="184"/>
      <c r="G214" s="276" t="s">
        <v>89</v>
      </c>
      <c r="H214" s="235" t="s">
        <v>896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4" t="s">
        <v>994</v>
      </c>
      <c r="F215" s="184"/>
      <c r="G215" s="276" t="s">
        <v>99</v>
      </c>
      <c r="H215" s="235" t="s">
        <v>896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4" t="s">
        <v>994</v>
      </c>
      <c r="F216" s="13"/>
      <c r="G216" s="276" t="s">
        <v>88</v>
      </c>
      <c r="H216" s="235" t="s">
        <v>896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4" t="s">
        <v>994</v>
      </c>
      <c r="F217" s="13"/>
      <c r="G217" s="276" t="s">
        <v>98</v>
      </c>
      <c r="H217" s="235" t="s">
        <v>896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994</v>
      </c>
      <c r="F218" s="13"/>
      <c r="G218" s="270" t="s">
        <v>128</v>
      </c>
      <c r="H218" s="235" t="s">
        <v>896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994</v>
      </c>
      <c r="F219" s="13"/>
      <c r="G219" s="270" t="s">
        <v>129</v>
      </c>
      <c r="H219" s="235" t="s">
        <v>896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995</v>
      </c>
      <c r="F221" s="271"/>
      <c r="G221" s="270" t="s">
        <v>948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994</v>
      </c>
      <c r="F223" s="275"/>
      <c r="G223" s="272" t="s">
        <v>958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994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1" t="s">
        <v>995</v>
      </c>
      <c r="F230" s="5"/>
      <c r="G230" s="270" t="s">
        <v>949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5"/>
      <c r="F231" s="5"/>
      <c r="G231" s="5"/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994</v>
      </c>
      <c r="F232" s="5"/>
      <c r="G232" s="272" t="s">
        <v>960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13"/>
      <c r="F233" s="13"/>
      <c r="G233" s="256"/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994</v>
      </c>
      <c r="F234" s="271"/>
      <c r="G234" s="270" t="s">
        <v>949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1" t="s">
        <v>995</v>
      </c>
      <c r="F236" s="5"/>
      <c r="G236" s="270" t="s">
        <v>160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5"/>
      <c r="F237" s="5"/>
      <c r="G237" s="5"/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994</v>
      </c>
      <c r="F238" s="5"/>
      <c r="G238" s="272" t="s">
        <v>959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5"/>
      <c r="F239" s="5"/>
      <c r="G239" s="5"/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994</v>
      </c>
      <c r="F240" s="271"/>
      <c r="G240" s="270" t="s">
        <v>160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995</v>
      </c>
      <c r="F242" s="275"/>
      <c r="G242" s="343" t="s">
        <v>947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994</v>
      </c>
      <c r="F244" s="13"/>
      <c r="G244" s="272" t="s">
        <v>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994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971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971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971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971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971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971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965</v>
      </c>
      <c r="K388" s="272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965</v>
      </c>
      <c r="K389" s="272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965</v>
      </c>
      <c r="K390" s="272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965</v>
      </c>
      <c r="K391" s="272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965</v>
      </c>
      <c r="K392" s="272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965</v>
      </c>
      <c r="K393" s="272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995</v>
      </c>
      <c r="F396" s="13"/>
      <c r="G396" s="270" t="s">
        <v>945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995</v>
      </c>
      <c r="F397" s="13"/>
      <c r="G397" s="270" t="s">
        <v>946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994</v>
      </c>
      <c r="F400" s="5"/>
      <c r="G400" s="272" t="s">
        <v>956</v>
      </c>
      <c r="H400" s="5"/>
      <c r="I400" s="5"/>
      <c r="J400" s="5"/>
      <c r="K400" s="14"/>
    </row>
    <row r="401" spans="2:11" ht="16.2" thickBot="1">
      <c r="B401" s="26">
        <v>396</v>
      </c>
      <c r="C401" s="259" t="s">
        <v>872</v>
      </c>
      <c r="D401" s="302" t="s">
        <v>648</v>
      </c>
      <c r="E401" s="292" t="s">
        <v>994</v>
      </c>
      <c r="F401" s="5"/>
      <c r="G401" s="272" t="s">
        <v>957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994</v>
      </c>
      <c r="F404" s="263"/>
      <c r="G404" s="282" t="s">
        <v>945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92" t="s">
        <v>994</v>
      </c>
      <c r="F405" s="297"/>
      <c r="G405" s="298" t="s">
        <v>946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B6:B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AL17:AL18"/>
    <mergeCell ref="AJ17:AJ18"/>
    <mergeCell ref="AH17:AH18"/>
    <mergeCell ref="AF17:AF18"/>
    <mergeCell ref="T17:T18"/>
    <mergeCell ref="R17:R18"/>
    <mergeCell ref="P17:P18"/>
    <mergeCell ref="AD17:AD18"/>
    <mergeCell ref="AB17:AB18"/>
    <mergeCell ref="Z17:Z18"/>
    <mergeCell ref="X17:X18"/>
    <mergeCell ref="V17:V18"/>
  </mergeCells>
  <conditionalFormatting sqref="D6:D228 D241:D405">
    <cfRule type="expression" dxfId="3601" priority="346">
      <formula>MOD(ROW(),2)=0</formula>
    </cfRule>
  </conditionalFormatting>
  <conditionalFormatting sqref="E100:G103 F65:F71 H65:H75 E119:G119 F133:G133 E196:G199 F172:G175 E200:F207 F208 F84:F99 E118:F118 F124:G127 E108:G109 F104:F107 F110:F117 F120:F123 F142:G143 F134:F141 F144:F147 F128:F132 E148:G151 F166:G166 F167:F171 E158:F163 F164:F165 E156:G157 E152:F155 F190:G191 F192:F195 F176:F189">
    <cfRule type="expression" dxfId="3600" priority="345">
      <formula>MOD(ROW(),2)=0</formula>
    </cfRule>
  </conditionalFormatting>
  <conditionalFormatting sqref="G394:G395">
    <cfRule type="expression" dxfId="3599" priority="341">
      <formula>MOD(ROW(),2)=0</formula>
    </cfRule>
  </conditionalFormatting>
  <conditionalFormatting sqref="C6:C400">
    <cfRule type="expression" dxfId="3598" priority="336">
      <formula>MOD(ROW(),2)=0</formula>
    </cfRule>
  </conditionalFormatting>
  <conditionalFormatting sqref="G60">
    <cfRule type="expression" dxfId="3597" priority="335">
      <formula>MOD(ROW(),2)=0</formula>
    </cfRule>
  </conditionalFormatting>
  <conditionalFormatting sqref="G62:G63">
    <cfRule type="expression" dxfId="3596" priority="334">
      <formula>MOD(ROW(),2)=0</formula>
    </cfRule>
  </conditionalFormatting>
  <conditionalFormatting sqref="G64:G65">
    <cfRule type="expression" dxfId="3595" priority="333">
      <formula>MOD(ROW(),2)=0</formula>
    </cfRule>
  </conditionalFormatting>
  <conditionalFormatting sqref="E72:F73 F74:F76">
    <cfRule type="expression" dxfId="3594" priority="326">
      <formula>MOD(ROW(),2)=0</formula>
    </cfRule>
  </conditionalFormatting>
  <conditionalFormatting sqref="G275">
    <cfRule type="expression" dxfId="3593" priority="302">
      <formula>MOD(ROW(),2)=0</formula>
    </cfRule>
  </conditionalFormatting>
  <conditionalFormatting sqref="E275">
    <cfRule type="expression" dxfId="3592" priority="301">
      <formula>MOD(ROW(),2)=0</formula>
    </cfRule>
  </conditionalFormatting>
  <conditionalFormatting sqref="G277">
    <cfRule type="expression" dxfId="3591" priority="296">
      <formula>MOD(ROW(),2)=0</formula>
    </cfRule>
  </conditionalFormatting>
  <conditionalFormatting sqref="G279">
    <cfRule type="expression" dxfId="3590" priority="291">
      <formula>MOD(ROW(),2)=0</formula>
    </cfRule>
  </conditionalFormatting>
  <conditionalFormatting sqref="G282">
    <cfRule type="expression" dxfId="3589" priority="285">
      <formula>MOD(ROW(),2)=0</formula>
    </cfRule>
  </conditionalFormatting>
  <conditionalFormatting sqref="G257">
    <cfRule type="expression" dxfId="3588" priority="284">
      <formula>MOD(ROW(),2)=0</formula>
    </cfRule>
  </conditionalFormatting>
  <conditionalFormatting sqref="G271">
    <cfRule type="expression" dxfId="3587" priority="283">
      <formula>MOD(ROW(),2)=0</formula>
    </cfRule>
  </conditionalFormatting>
  <conditionalFormatting sqref="G258">
    <cfRule type="expression" dxfId="3586" priority="282">
      <formula>MOD(ROW(),2)=0</formula>
    </cfRule>
  </conditionalFormatting>
  <conditionalFormatting sqref="G272">
    <cfRule type="expression" dxfId="3585" priority="281">
      <formula>MOD(ROW(),2)=0</formula>
    </cfRule>
  </conditionalFormatting>
  <conditionalFormatting sqref="G259">
    <cfRule type="expression" dxfId="3584" priority="280">
      <formula>MOD(ROW(),2)=0</formula>
    </cfRule>
  </conditionalFormatting>
  <conditionalFormatting sqref="G273">
    <cfRule type="expression" dxfId="3583" priority="279">
      <formula>MOD(ROW(),2)=0</formula>
    </cfRule>
  </conditionalFormatting>
  <conditionalFormatting sqref="G245">
    <cfRule type="expression" dxfId="3582" priority="268">
      <formula>MOD(ROW(),2)=0</formula>
    </cfRule>
  </conditionalFormatting>
  <conditionalFormatting sqref="E245">
    <cfRule type="expression" dxfId="3581" priority="267">
      <formula>MOD(ROW(),2)=0</formula>
    </cfRule>
  </conditionalFormatting>
  <conditionalFormatting sqref="F243">
    <cfRule type="expression" dxfId="3580" priority="272">
      <formula>MOD(ROW(),2)=0</formula>
    </cfRule>
  </conditionalFormatting>
  <conditionalFormatting sqref="E243">
    <cfRule type="expression" dxfId="3579" priority="271">
      <formula>MOD(ROW(),2)=0</formula>
    </cfRule>
  </conditionalFormatting>
  <conditionalFormatting sqref="F245">
    <cfRule type="expression" dxfId="3578" priority="269">
      <formula>MOD(ROW(),2)=0</formula>
    </cfRule>
  </conditionalFormatting>
  <conditionalFormatting sqref="F246">
    <cfRule type="expression" dxfId="3575" priority="266">
      <formula>MOD(ROW(),2)=0</formula>
    </cfRule>
  </conditionalFormatting>
  <conditionalFormatting sqref="F247">
    <cfRule type="expression" dxfId="3574" priority="263">
      <formula>MOD(ROW(),2)=0</formula>
    </cfRule>
  </conditionalFormatting>
  <conditionalFormatting sqref="F248">
    <cfRule type="expression" dxfId="3573" priority="261">
      <formula>MOD(ROW(),2)=0</formula>
    </cfRule>
  </conditionalFormatting>
  <conditionalFormatting sqref="E248">
    <cfRule type="expression" dxfId="3572" priority="260">
      <formula>MOD(ROW(),2)=0</formula>
    </cfRule>
  </conditionalFormatting>
  <conditionalFormatting sqref="E56">
    <cfRule type="expression" dxfId="3571" priority="251">
      <formula>MOD(ROW(),2)=0</formula>
    </cfRule>
  </conditionalFormatting>
  <conditionalFormatting sqref="G241">
    <cfRule type="expression" dxfId="3569" priority="253">
      <formula>MOD(ROW(),2)=0</formula>
    </cfRule>
  </conditionalFormatting>
  <conditionalFormatting sqref="E241">
    <cfRule type="expression" dxfId="3568" priority="252">
      <formula>MOD(ROW(),2)=0</formula>
    </cfRule>
  </conditionalFormatting>
  <conditionalFormatting sqref="G283">
    <cfRule type="expression" dxfId="3566" priority="249">
      <formula>MOD(ROW(),2)=0</formula>
    </cfRule>
  </conditionalFormatting>
  <conditionalFormatting sqref="E283">
    <cfRule type="expression" dxfId="3565" priority="248">
      <formula>MOD(ROW(),2)=0</formula>
    </cfRule>
  </conditionalFormatting>
  <conditionalFormatting sqref="E288">
    <cfRule type="expression" dxfId="3564" priority="247">
      <formula>MOD(ROW(),2)=0</formula>
    </cfRule>
  </conditionalFormatting>
  <conditionalFormatting sqref="G289">
    <cfRule type="expression" dxfId="3563" priority="246">
      <formula>MOD(ROW(),2)=0</formula>
    </cfRule>
  </conditionalFormatting>
  <conditionalFormatting sqref="G290">
    <cfRule type="expression" dxfId="3562" priority="245">
      <formula>MOD(ROW(),2)=0</formula>
    </cfRule>
  </conditionalFormatting>
  <conditionalFormatting sqref="E289">
    <cfRule type="expression" dxfId="3561" priority="244">
      <formula>MOD(ROW(),2)=0</formula>
    </cfRule>
  </conditionalFormatting>
  <conditionalFormatting sqref="E290">
    <cfRule type="expression" dxfId="3560" priority="243">
      <formula>MOD(ROW(),2)=0</formula>
    </cfRule>
  </conditionalFormatting>
  <conditionalFormatting sqref="G118">
    <cfRule type="expression" dxfId="3559" priority="241">
      <formula>MOD(ROW(),2)=0</formula>
    </cfRule>
  </conditionalFormatting>
  <conditionalFormatting sqref="G132">
    <cfRule type="expression" dxfId="3558" priority="239">
      <formula>MOD(ROW(),2)=0</formula>
    </cfRule>
  </conditionalFormatting>
  <conditionalFormatting sqref="G180">
    <cfRule type="expression" dxfId="3557" priority="236">
      <formula>MOD(ROW(),2)=0</formula>
    </cfRule>
  </conditionalFormatting>
  <conditionalFormatting sqref="G224:H224 G226:H226 H225 H223">
    <cfRule type="expression" dxfId="3556" priority="233">
      <formula>MOD(ROW(),2)=0</formula>
    </cfRule>
  </conditionalFormatting>
  <conditionalFormatting sqref="G284">
    <cfRule type="expression" dxfId="3555" priority="226">
      <formula>MOD(ROW(),2)=0</formula>
    </cfRule>
  </conditionalFormatting>
  <conditionalFormatting sqref="E284">
    <cfRule type="expression" dxfId="3554" priority="225">
      <formula>MOD(ROW(),2)=0</formula>
    </cfRule>
  </conditionalFormatting>
  <conditionalFormatting sqref="G289">
    <cfRule type="expression" dxfId="3553" priority="224">
      <formula>MOD(ROW(),2)=0</formula>
    </cfRule>
  </conditionalFormatting>
  <conditionalFormatting sqref="G290">
    <cfRule type="expression" dxfId="3552" priority="223">
      <formula>MOD(ROW(),2)=0</formula>
    </cfRule>
  </conditionalFormatting>
  <conditionalFormatting sqref="G287">
    <cfRule type="expression" dxfId="3551" priority="222">
      <formula>MOD(ROW(),2)=0</formula>
    </cfRule>
  </conditionalFormatting>
  <conditionalFormatting sqref="E287">
    <cfRule type="expression" dxfId="3550" priority="221">
      <formula>MOD(ROW(),2)=0</formula>
    </cfRule>
  </conditionalFormatting>
  <conditionalFormatting sqref="G288">
    <cfRule type="expression" dxfId="3549" priority="220">
      <formula>MOD(ROW(),2)=0</formula>
    </cfRule>
  </conditionalFormatting>
  <conditionalFormatting sqref="E291">
    <cfRule type="expression" dxfId="3548" priority="219">
      <formula>MOD(ROW(),2)=0</formula>
    </cfRule>
  </conditionalFormatting>
  <conditionalFormatting sqref="G291">
    <cfRule type="expression" dxfId="3547" priority="218">
      <formula>MOD(ROW(),2)=0</formula>
    </cfRule>
  </conditionalFormatting>
  <conditionalFormatting sqref="G292">
    <cfRule type="expression" dxfId="3546" priority="217">
      <formula>MOD(ROW(),2)=0</formula>
    </cfRule>
  </conditionalFormatting>
  <conditionalFormatting sqref="G293">
    <cfRule type="expression" dxfId="3545" priority="216">
      <formula>MOD(ROW(),2)=0</formula>
    </cfRule>
  </conditionalFormatting>
  <conditionalFormatting sqref="G294">
    <cfRule type="expression" dxfId="3544" priority="215">
      <formula>MOD(ROW(),2)=0</formula>
    </cfRule>
  </conditionalFormatting>
  <conditionalFormatting sqref="G285">
    <cfRule type="expression" dxfId="3543" priority="214">
      <formula>MOD(ROW(),2)=0</formula>
    </cfRule>
  </conditionalFormatting>
  <conditionalFormatting sqref="G286">
    <cfRule type="expression" dxfId="3542" priority="213">
      <formula>MOD(ROW(),2)=0</formula>
    </cfRule>
  </conditionalFormatting>
  <conditionalFormatting sqref="E286">
    <cfRule type="expression" dxfId="3541" priority="212">
      <formula>MOD(ROW(),2)=0</formula>
    </cfRule>
  </conditionalFormatting>
  <conditionalFormatting sqref="G243">
    <cfRule type="expression" dxfId="3540" priority="211">
      <formula>MOD(ROW(),2)=0</formula>
    </cfRule>
  </conditionalFormatting>
  <conditionalFormatting sqref="F243">
    <cfRule type="expression" dxfId="3539" priority="209">
      <formula>MOD(ROW(),2)=0</formula>
    </cfRule>
  </conditionalFormatting>
  <conditionalFormatting sqref="G243">
    <cfRule type="expression" dxfId="3538" priority="208">
      <formula>MOD(ROW(),2)=0</formula>
    </cfRule>
  </conditionalFormatting>
  <conditionalFormatting sqref="E243">
    <cfRule type="expression" dxfId="3537" priority="207">
      <formula>MOD(ROW(),2)=0</formula>
    </cfRule>
  </conditionalFormatting>
  <conditionalFormatting sqref="F244">
    <cfRule type="expression" dxfId="3536" priority="206">
      <formula>MOD(ROW(),2)=0</formula>
    </cfRule>
  </conditionalFormatting>
  <conditionalFormatting sqref="F245">
    <cfRule type="expression" dxfId="3535" priority="203">
      <formula>MOD(ROW(),2)=0</formula>
    </cfRule>
  </conditionalFormatting>
  <conditionalFormatting sqref="E245">
    <cfRule type="expression" dxfId="3534" priority="202">
      <formula>MOD(ROW(),2)=0</formula>
    </cfRule>
  </conditionalFormatting>
  <conditionalFormatting sqref="F246">
    <cfRule type="expression" dxfId="3533" priority="201">
      <formula>MOD(ROW(),2)=0</formula>
    </cfRule>
  </conditionalFormatting>
  <conditionalFormatting sqref="F247">
    <cfRule type="expression" dxfId="3532" priority="199">
      <formula>MOD(ROW(),2)=0</formula>
    </cfRule>
  </conditionalFormatting>
  <conditionalFormatting sqref="F248">
    <cfRule type="expression" dxfId="3531" priority="198">
      <formula>MOD(ROW(),2)=0</formula>
    </cfRule>
  </conditionalFormatting>
  <conditionalFormatting sqref="E248">
    <cfRule type="expression" dxfId="3530" priority="197">
      <formula>MOD(ROW(),2)=0</formula>
    </cfRule>
  </conditionalFormatting>
  <conditionalFormatting sqref="G245">
    <cfRule type="expression" dxfId="3529" priority="196">
      <formula>MOD(ROW(),2)=0</formula>
    </cfRule>
  </conditionalFormatting>
  <conditionalFormatting sqref="G247">
    <cfRule type="expression" dxfId="3528" priority="194">
      <formula>MOD(ROW(),2)=0</formula>
    </cfRule>
  </conditionalFormatting>
  <conditionalFormatting sqref="G248">
    <cfRule type="expression" dxfId="3527" priority="193">
      <formula>MOD(ROW(),2)=0</formula>
    </cfRule>
  </conditionalFormatting>
  <conditionalFormatting sqref="E247">
    <cfRule type="expression" dxfId="3526" priority="192">
      <formula>MOD(ROW(),2)=0</formula>
    </cfRule>
  </conditionalFormatting>
  <conditionalFormatting sqref="F249">
    <cfRule type="expression" dxfId="3525" priority="191">
      <formula>MOD(ROW(),2)=0</formula>
    </cfRule>
  </conditionalFormatting>
  <conditionalFormatting sqref="E249">
    <cfRule type="expression" dxfId="3524" priority="190">
      <formula>MOD(ROW(),2)=0</formula>
    </cfRule>
  </conditionalFormatting>
  <conditionalFormatting sqref="F250">
    <cfRule type="expression" dxfId="3523" priority="189">
      <formula>MOD(ROW(),2)=0</formula>
    </cfRule>
  </conditionalFormatting>
  <conditionalFormatting sqref="E250">
    <cfRule type="expression" dxfId="3522" priority="188">
      <formula>MOD(ROW(),2)=0</formula>
    </cfRule>
  </conditionalFormatting>
  <conditionalFormatting sqref="G249">
    <cfRule type="expression" dxfId="3521" priority="187">
      <formula>MOD(ROW(),2)=0</formula>
    </cfRule>
  </conditionalFormatting>
  <conditionalFormatting sqref="G250">
    <cfRule type="expression" dxfId="3520" priority="186">
      <formula>MOD(ROW(),2)=0</formula>
    </cfRule>
  </conditionalFormatting>
  <conditionalFormatting sqref="K244:K246 K255:K282 K285:K294 K60:K87 K91:K234 K6:K55 K236:K242 K57 K301:K387 K394:K405">
    <cfRule type="expression" dxfId="3519" priority="177">
      <formula>MOD(ROW(),2)=0</formula>
    </cfRule>
  </conditionalFormatting>
  <conditionalFormatting sqref="K58">
    <cfRule type="expression" dxfId="3517" priority="175">
      <formula>MOD(ROW(),2)=0</formula>
    </cfRule>
  </conditionalFormatting>
  <conditionalFormatting sqref="K59">
    <cfRule type="expression" dxfId="3516" priority="173">
      <formula>MOD(ROW(),2)=0</formula>
    </cfRule>
  </conditionalFormatting>
  <conditionalFormatting sqref="K254">
    <cfRule type="expression" dxfId="3515" priority="171">
      <formula>MOD(ROW(),2)=0</formula>
    </cfRule>
  </conditionalFormatting>
  <conditionalFormatting sqref="K235">
    <cfRule type="expression" dxfId="3514" priority="170">
      <formula>MOD(ROW(),2)=0</formula>
    </cfRule>
  </conditionalFormatting>
  <conditionalFormatting sqref="K253">
    <cfRule type="expression" dxfId="3511" priority="174">
      <formula>MOD(ROW(),2)=0</formula>
    </cfRule>
  </conditionalFormatting>
  <conditionalFormatting sqref="K89">
    <cfRule type="expression" dxfId="3507" priority="169">
      <formula>MOD(ROW(),2)=0</formula>
    </cfRule>
  </conditionalFormatting>
  <conditionalFormatting sqref="K243">
    <cfRule type="expression" dxfId="3506" priority="168">
      <formula>MOD(ROW(),2)=0</formula>
    </cfRule>
  </conditionalFormatting>
  <conditionalFormatting sqref="K90">
    <cfRule type="expression" dxfId="3505" priority="167">
      <formula>MOD(ROW(),2)=0</formula>
    </cfRule>
  </conditionalFormatting>
  <conditionalFormatting sqref="K56">
    <cfRule type="expression" dxfId="3504" priority="166">
      <formula>MOD(ROW(),2)=0</formula>
    </cfRule>
  </conditionalFormatting>
  <conditionalFormatting sqref="K283">
    <cfRule type="expression" dxfId="3503" priority="165">
      <formula>MOD(ROW(),2)=0</formula>
    </cfRule>
  </conditionalFormatting>
  <conditionalFormatting sqref="K284">
    <cfRule type="expression" dxfId="3502" priority="164">
      <formula>MOD(ROW(),2)=0</formula>
    </cfRule>
  </conditionalFormatting>
  <conditionalFormatting sqref="K88">
    <cfRule type="expression" dxfId="3501" priority="163">
      <formula>MOD(ROW(),2)=0</formula>
    </cfRule>
  </conditionalFormatting>
  <conditionalFormatting sqref="K295:K300">
    <cfRule type="expression" dxfId="3500" priority="162">
      <formula>MOD(ROW(),2)=0</formula>
    </cfRule>
  </conditionalFormatting>
  <conditionalFormatting sqref="E6:J55 E402:J405 E388:F397 F398:F399 E220:J220 E60:F63 F64 F255:F256 F269:F270 F275:F277 E257:F268 E271:F274 F244 F241 E253:J254 E57:J59 F56:J56 E278:F282 F283 E295:J387 H60:J64 E224:F224 I223:J230 H255:J294 E292:F294 E285:F285 F286:F291 I65:J219 F209:F219 F225 E400:F401 F223 E222:J222 E221:F221 H221:J221 H231:J246 E242:F242 E226:F228 H388:J401 H247:I250 E251:I252">
    <cfRule type="expression" dxfId="3499" priority="348">
      <formula>MOD(ROW(),2)=0</formula>
    </cfRule>
  </conditionalFormatting>
  <conditionalFormatting sqref="B6:B405">
    <cfRule type="expression" dxfId="3498" priority="347">
      <formula>MOD(ROW(),2)=0</formula>
    </cfRule>
  </conditionalFormatting>
  <conditionalFormatting sqref="G398:G399">
    <cfRule type="expression" dxfId="3497" priority="339">
      <formula>MOD(ROW(),2)=0</formula>
    </cfRule>
  </conditionalFormatting>
  <conditionalFormatting sqref="E398:E399">
    <cfRule type="expression" dxfId="3496" priority="338">
      <formula>MOD(ROW(),2)=0</formula>
    </cfRule>
  </conditionalFormatting>
  <conditionalFormatting sqref="C401:C405">
    <cfRule type="expression" dxfId="3495" priority="337">
      <formula>MOD(ROW(),2)=0</formula>
    </cfRule>
  </conditionalFormatting>
  <conditionalFormatting sqref="E64:E65">
    <cfRule type="expression" dxfId="3494" priority="332">
      <formula>MOD(ROW(),2)=0</formula>
    </cfRule>
  </conditionalFormatting>
  <conditionalFormatting sqref="G68:G69">
    <cfRule type="expression" dxfId="3493" priority="329">
      <formula>MOD(ROW(),2)=0</formula>
    </cfRule>
  </conditionalFormatting>
  <conditionalFormatting sqref="E68:E69">
    <cfRule type="expression" dxfId="3492" priority="328">
      <formula>MOD(ROW(),2)=0</formula>
    </cfRule>
  </conditionalFormatting>
  <conditionalFormatting sqref="F77:F83">
    <cfRule type="expression" dxfId="3491" priority="325">
      <formula>MOD(ROW(),2)=0</formula>
    </cfRule>
  </conditionalFormatting>
  <conditionalFormatting sqref="G72:G73">
    <cfRule type="expression" dxfId="3490" priority="324">
      <formula>MOD(ROW(),2)=0</formula>
    </cfRule>
  </conditionalFormatting>
  <conditionalFormatting sqref="G76:G77">
    <cfRule type="expression" dxfId="3489" priority="322">
      <formula>MOD(ROW(),2)=0</formula>
    </cfRule>
  </conditionalFormatting>
  <conditionalFormatting sqref="G78:G79">
    <cfRule type="expression" dxfId="3488" priority="320">
      <formula>MOD(ROW(),2)=0</formula>
    </cfRule>
  </conditionalFormatting>
  <conditionalFormatting sqref="G255">
    <cfRule type="expression" dxfId="3487" priority="311">
      <formula>MOD(ROW(),2)=0</formula>
    </cfRule>
  </conditionalFormatting>
  <conditionalFormatting sqref="E255">
    <cfRule type="expression" dxfId="3486" priority="310">
      <formula>MOD(ROW(),2)=0</formula>
    </cfRule>
  </conditionalFormatting>
  <conditionalFormatting sqref="G269">
    <cfRule type="expression" dxfId="3485" priority="309">
      <formula>MOD(ROW(),2)=0</formula>
    </cfRule>
  </conditionalFormatting>
  <conditionalFormatting sqref="E269">
    <cfRule type="expression" dxfId="3484" priority="308">
      <formula>MOD(ROW(),2)=0</formula>
    </cfRule>
  </conditionalFormatting>
  <conditionalFormatting sqref="G256">
    <cfRule type="expression" dxfId="3483" priority="307">
      <formula>MOD(ROW(),2)=0</formula>
    </cfRule>
  </conditionalFormatting>
  <conditionalFormatting sqref="E256">
    <cfRule type="expression" dxfId="3482" priority="306">
      <formula>MOD(ROW(),2)=0</formula>
    </cfRule>
  </conditionalFormatting>
  <conditionalFormatting sqref="G270">
    <cfRule type="expression" dxfId="3481" priority="305">
      <formula>MOD(ROW(),2)=0</formula>
    </cfRule>
  </conditionalFormatting>
  <conditionalFormatting sqref="E270">
    <cfRule type="expression" dxfId="3480" priority="304">
      <formula>MOD(ROW(),2)=0</formula>
    </cfRule>
  </conditionalFormatting>
  <conditionalFormatting sqref="G261">
    <cfRule type="expression" dxfId="3479" priority="303">
      <formula>MOD(ROW(),2)=0</formula>
    </cfRule>
  </conditionalFormatting>
  <conditionalFormatting sqref="G262">
    <cfRule type="expression" dxfId="3478" priority="300">
      <formula>MOD(ROW(),2)=0</formula>
    </cfRule>
  </conditionalFormatting>
  <conditionalFormatting sqref="G276">
    <cfRule type="expression" dxfId="3477" priority="299">
      <formula>MOD(ROW(),2)=0</formula>
    </cfRule>
  </conditionalFormatting>
  <conditionalFormatting sqref="E276">
    <cfRule type="expression" dxfId="3476" priority="298">
      <formula>MOD(ROW(),2)=0</formula>
    </cfRule>
  </conditionalFormatting>
  <conditionalFormatting sqref="G263">
    <cfRule type="expression" dxfId="3475" priority="297">
      <formula>MOD(ROW(),2)=0</formula>
    </cfRule>
  </conditionalFormatting>
  <conditionalFormatting sqref="E277">
    <cfRule type="expression" dxfId="3474" priority="295">
      <formula>MOD(ROW(),2)=0</formula>
    </cfRule>
  </conditionalFormatting>
  <conditionalFormatting sqref="G264">
    <cfRule type="expression" dxfId="3473" priority="294">
      <formula>MOD(ROW(),2)=0</formula>
    </cfRule>
  </conditionalFormatting>
  <conditionalFormatting sqref="G278">
    <cfRule type="expression" dxfId="3472" priority="293">
      <formula>MOD(ROW(),2)=0</formula>
    </cfRule>
  </conditionalFormatting>
  <conditionalFormatting sqref="G265">
    <cfRule type="expression" dxfId="3471" priority="292">
      <formula>MOD(ROW(),2)=0</formula>
    </cfRule>
  </conditionalFormatting>
  <conditionalFormatting sqref="G266">
    <cfRule type="expression" dxfId="3470" priority="290">
      <formula>MOD(ROW(),2)=0</formula>
    </cfRule>
  </conditionalFormatting>
  <conditionalFormatting sqref="G280">
    <cfRule type="expression" dxfId="3469" priority="289">
      <formula>MOD(ROW(),2)=0</formula>
    </cfRule>
  </conditionalFormatting>
  <conditionalFormatting sqref="G267">
    <cfRule type="expression" dxfId="3468" priority="288">
      <formula>MOD(ROW(),2)=0</formula>
    </cfRule>
  </conditionalFormatting>
  <conditionalFormatting sqref="G281">
    <cfRule type="expression" dxfId="3467" priority="287">
      <formula>MOD(ROW(),2)=0</formula>
    </cfRule>
  </conditionalFormatting>
  <conditionalFormatting sqref="G268">
    <cfRule type="expression" dxfId="3466" priority="286">
      <formula>MOD(ROW(),2)=0</formula>
    </cfRule>
  </conditionalFormatting>
  <conditionalFormatting sqref="G260">
    <cfRule type="expression" dxfId="3465" priority="278">
      <formula>MOD(ROW(),2)=0</formula>
    </cfRule>
  </conditionalFormatting>
  <conditionalFormatting sqref="G274">
    <cfRule type="expression" dxfId="3464" priority="277">
      <formula>MOD(ROW(),2)=0</formula>
    </cfRule>
  </conditionalFormatting>
  <conditionalFormatting sqref="E247">
    <cfRule type="expression" dxfId="3463" priority="262">
      <formula>MOD(ROW(),2)=0</formula>
    </cfRule>
  </conditionalFormatting>
  <conditionalFormatting sqref="G247">
    <cfRule type="expression" dxfId="3462" priority="256">
      <formula>MOD(ROW(),2)=0</formula>
    </cfRule>
  </conditionalFormatting>
  <conditionalFormatting sqref="G248">
    <cfRule type="expression" dxfId="3461" priority="255">
      <formula>MOD(ROW(),2)=0</formula>
    </cfRule>
  </conditionalFormatting>
  <conditionalFormatting sqref="G181">
    <cfRule type="expression" dxfId="3460" priority="235">
      <formula>MOD(ROW(),2)=0</formula>
    </cfRule>
  </conditionalFormatting>
  <conditionalFormatting sqref="H227:H230">
    <cfRule type="expression" dxfId="3459" priority="232">
      <formula>MOD(ROW(),2)=0</formula>
    </cfRule>
  </conditionalFormatting>
  <conditionalFormatting sqref="G227:G228">
    <cfRule type="expression" dxfId="3458" priority="231">
      <formula>MOD(ROW(),2)=0</formula>
    </cfRule>
  </conditionalFormatting>
  <conditionalFormatting sqref="G167">
    <cfRule type="expression" dxfId="3456" priority="228">
      <formula>MOD(ROW(),2)=0</formula>
    </cfRule>
  </conditionalFormatting>
  <conditionalFormatting sqref="F284">
    <cfRule type="expression" dxfId="3455" priority="227">
      <formula>MOD(ROW(),2)=0</formula>
    </cfRule>
  </conditionalFormatting>
  <conditionalFormatting sqref="H132:H147 H124:H127">
    <cfRule type="expression" dxfId="3454" priority="156">
      <formula>MOD(ROW(),2)=0</formula>
    </cfRule>
  </conditionalFormatting>
  <conditionalFormatting sqref="H76:H123 H148:H162 H172:H219">
    <cfRule type="expression" dxfId="3453" priority="155">
      <formula>MOD(ROW(),2)=0</formula>
    </cfRule>
  </conditionalFormatting>
  <conditionalFormatting sqref="H128:H131">
    <cfRule type="expression" dxfId="3452" priority="154">
      <formula>MOD(ROW(),2)=0</formula>
    </cfRule>
  </conditionalFormatting>
  <conditionalFormatting sqref="H163:H164">
    <cfRule type="expression" dxfId="3451" priority="153">
      <formula>MOD(ROW(),2)=0</formula>
    </cfRule>
  </conditionalFormatting>
  <conditionalFormatting sqref="H165:H171">
    <cfRule type="expression" dxfId="3450" priority="152">
      <formula>MOD(ROW(),2)=0</formula>
    </cfRule>
  </conditionalFormatting>
  <conditionalFormatting sqref="G204:G205">
    <cfRule type="expression" dxfId="3449" priority="151">
      <formula>MOD(ROW(),2)=0</formula>
    </cfRule>
  </conditionalFormatting>
  <conditionalFormatting sqref="G206:G207">
    <cfRule type="expression" dxfId="3448" priority="150">
      <formula>MOD(ROW(),2)=0</formula>
    </cfRule>
  </conditionalFormatting>
  <conditionalFormatting sqref="G208:G209">
    <cfRule type="expression" dxfId="3447" priority="149">
      <formula>MOD(ROW(),2)=0</formula>
    </cfRule>
  </conditionalFormatting>
  <conditionalFormatting sqref="G210:G211">
    <cfRule type="expression" dxfId="3446" priority="148">
      <formula>MOD(ROW(),2)=0</formula>
    </cfRule>
  </conditionalFormatting>
  <conditionalFormatting sqref="G212:G213">
    <cfRule type="expression" dxfId="3445" priority="147">
      <formula>MOD(ROW(),2)=0</formula>
    </cfRule>
  </conditionalFormatting>
  <conditionalFormatting sqref="G214:G215">
    <cfRule type="expression" dxfId="3444" priority="146">
      <formula>MOD(ROW(),2)=0</formula>
    </cfRule>
  </conditionalFormatting>
  <conditionalFormatting sqref="G216:G217">
    <cfRule type="expression" dxfId="3443" priority="145">
      <formula>MOD(ROW(),2)=0</formula>
    </cfRule>
  </conditionalFormatting>
  <conditionalFormatting sqref="G218:G219">
    <cfRule type="expression" dxfId="3442" priority="144">
      <formula>MOD(ROW(),2)=0</formula>
    </cfRule>
  </conditionalFormatting>
  <conditionalFormatting sqref="G200:G201">
    <cfRule type="expression" dxfId="3441" priority="143">
      <formula>MOD(ROW(),2)=0</formula>
    </cfRule>
  </conditionalFormatting>
  <conditionalFormatting sqref="G202:G203">
    <cfRule type="expression" dxfId="3440" priority="142">
      <formula>MOD(ROW(),2)=0</formula>
    </cfRule>
  </conditionalFormatting>
  <conditionalFormatting sqref="E208:E211">
    <cfRule type="expression" dxfId="3439" priority="141">
      <formula>MOD(ROW(),2)=0</formula>
    </cfRule>
  </conditionalFormatting>
  <conditionalFormatting sqref="E212:E219">
    <cfRule type="expression" dxfId="3438" priority="140">
      <formula>MOD(ROW(),2)=0</formula>
    </cfRule>
  </conditionalFormatting>
  <conditionalFormatting sqref="G84:G85">
    <cfRule type="expression" dxfId="3437" priority="139">
      <formula>MOD(ROW(),2)=0</formula>
    </cfRule>
  </conditionalFormatting>
  <conditionalFormatting sqref="G86:G87">
    <cfRule type="expression" dxfId="3436" priority="138">
      <formula>MOD(ROW(),2)=0</formula>
    </cfRule>
  </conditionalFormatting>
  <conditionalFormatting sqref="E76:E87">
    <cfRule type="expression" dxfId="3435" priority="137">
      <formula>MOD(ROW(),2)=0</formula>
    </cfRule>
  </conditionalFormatting>
  <conditionalFormatting sqref="E88:E91">
    <cfRule type="expression" dxfId="3434" priority="136">
      <formula>MOD(ROW(),2)=0</formula>
    </cfRule>
  </conditionalFormatting>
  <conditionalFormatting sqref="E92:E99">
    <cfRule type="expression" dxfId="3433" priority="135">
      <formula>MOD(ROW(),2)=0</formula>
    </cfRule>
  </conditionalFormatting>
  <conditionalFormatting sqref="G88:G89">
    <cfRule type="expression" dxfId="3432" priority="134">
      <formula>MOD(ROW(),2)=0</formula>
    </cfRule>
  </conditionalFormatting>
  <conditionalFormatting sqref="G90:G91">
    <cfRule type="expression" dxfId="3431" priority="133">
      <formula>MOD(ROW(),2)=0</formula>
    </cfRule>
  </conditionalFormatting>
  <conditionalFormatting sqref="G92:G93">
    <cfRule type="expression" dxfId="3430" priority="132">
      <formula>MOD(ROW(),2)=0</formula>
    </cfRule>
  </conditionalFormatting>
  <conditionalFormatting sqref="G94:G95">
    <cfRule type="expression" dxfId="3429" priority="131">
      <formula>MOD(ROW(),2)=0</formula>
    </cfRule>
  </conditionalFormatting>
  <conditionalFormatting sqref="G96:G97">
    <cfRule type="expression" dxfId="3428" priority="130">
      <formula>MOD(ROW(),2)=0</formula>
    </cfRule>
  </conditionalFormatting>
  <conditionalFormatting sqref="G98:G99">
    <cfRule type="expression" dxfId="3427" priority="129">
      <formula>MOD(ROW(),2)=0</formula>
    </cfRule>
  </conditionalFormatting>
  <conditionalFormatting sqref="G80:G81">
    <cfRule type="expression" dxfId="3426" priority="128">
      <formula>MOD(ROW(),2)=0</formula>
    </cfRule>
  </conditionalFormatting>
  <conditionalFormatting sqref="G82:G83">
    <cfRule type="expression" dxfId="3425" priority="127">
      <formula>MOD(ROW(),2)=0</formula>
    </cfRule>
  </conditionalFormatting>
  <conditionalFormatting sqref="G110:G111">
    <cfRule type="expression" dxfId="3424" priority="126">
      <formula>MOD(ROW(),2)=0</formula>
    </cfRule>
  </conditionalFormatting>
  <conditionalFormatting sqref="G112:G113">
    <cfRule type="expression" dxfId="3423" priority="125">
      <formula>MOD(ROW(),2)=0</formula>
    </cfRule>
  </conditionalFormatting>
  <conditionalFormatting sqref="G114:G115">
    <cfRule type="expression" dxfId="3422" priority="124">
      <formula>MOD(ROW(),2)=0</formula>
    </cfRule>
  </conditionalFormatting>
  <conditionalFormatting sqref="G116:G117">
    <cfRule type="expression" dxfId="3421" priority="123">
      <formula>MOD(ROW(),2)=0</formula>
    </cfRule>
  </conditionalFormatting>
  <conditionalFormatting sqref="G120:G121">
    <cfRule type="expression" dxfId="3420" priority="122">
      <formula>MOD(ROW(),2)=0</formula>
    </cfRule>
  </conditionalFormatting>
  <conditionalFormatting sqref="G122:G123">
    <cfRule type="expression" dxfId="3419" priority="121">
      <formula>MOD(ROW(),2)=0</formula>
    </cfRule>
  </conditionalFormatting>
  <conditionalFormatting sqref="E104:E105">
    <cfRule type="expression" dxfId="3418" priority="118">
      <formula>MOD(ROW(),2)=0</formula>
    </cfRule>
  </conditionalFormatting>
  <conditionalFormatting sqref="E106:E107">
    <cfRule type="expression" dxfId="3417" priority="117">
      <formula>MOD(ROW(),2)=0</formula>
    </cfRule>
  </conditionalFormatting>
  <conditionalFormatting sqref="E110:E111">
    <cfRule type="expression" dxfId="3416" priority="116">
      <formula>MOD(ROW(),2)=0</formula>
    </cfRule>
  </conditionalFormatting>
  <conditionalFormatting sqref="E112:E113">
    <cfRule type="expression" dxfId="3415" priority="115">
      <formula>MOD(ROW(),2)=0</formula>
    </cfRule>
  </conditionalFormatting>
  <conditionalFormatting sqref="E114:E115">
    <cfRule type="expression" dxfId="3414" priority="114">
      <formula>MOD(ROW(),2)=0</formula>
    </cfRule>
  </conditionalFormatting>
  <conditionalFormatting sqref="E116:E117">
    <cfRule type="expression" dxfId="3413" priority="113">
      <formula>MOD(ROW(),2)=0</formula>
    </cfRule>
  </conditionalFormatting>
  <conditionalFormatting sqref="E120:E121">
    <cfRule type="expression" dxfId="3412" priority="112">
      <formula>MOD(ROW(),2)=0</formula>
    </cfRule>
  </conditionalFormatting>
  <conditionalFormatting sqref="E122:E123">
    <cfRule type="expression" dxfId="3411" priority="111">
      <formula>MOD(ROW(),2)=0</formula>
    </cfRule>
  </conditionalFormatting>
  <conditionalFormatting sqref="E124:E127 E142:E143 E132:E133">
    <cfRule type="expression" dxfId="3410" priority="110">
      <formula>MOD(ROW(),2)=0</formula>
    </cfRule>
  </conditionalFormatting>
  <conditionalFormatting sqref="E128:E129">
    <cfRule type="expression" dxfId="3409" priority="109">
      <formula>MOD(ROW(),2)=0</formula>
    </cfRule>
  </conditionalFormatting>
  <conditionalFormatting sqref="E130:E131">
    <cfRule type="expression" dxfId="3408" priority="108">
      <formula>MOD(ROW(),2)=0</formula>
    </cfRule>
  </conditionalFormatting>
  <conditionalFormatting sqref="E134:E135">
    <cfRule type="expression" dxfId="3407" priority="107">
      <formula>MOD(ROW(),2)=0</formula>
    </cfRule>
  </conditionalFormatting>
  <conditionalFormatting sqref="E136:E137">
    <cfRule type="expression" dxfId="3406" priority="106">
      <formula>MOD(ROW(),2)=0</formula>
    </cfRule>
  </conditionalFormatting>
  <conditionalFormatting sqref="E138:E139">
    <cfRule type="expression" dxfId="3405" priority="105">
      <formula>MOD(ROW(),2)=0</formula>
    </cfRule>
  </conditionalFormatting>
  <conditionalFormatting sqref="E140:E141">
    <cfRule type="expression" dxfId="3404" priority="104">
      <formula>MOD(ROW(),2)=0</formula>
    </cfRule>
  </conditionalFormatting>
  <conditionalFormatting sqref="E144:E145">
    <cfRule type="expression" dxfId="3403" priority="103">
      <formula>MOD(ROW(),2)=0</formula>
    </cfRule>
  </conditionalFormatting>
  <conditionalFormatting sqref="E146:E147">
    <cfRule type="expression" dxfId="3402" priority="102">
      <formula>MOD(ROW(),2)=0</formula>
    </cfRule>
  </conditionalFormatting>
  <conditionalFormatting sqref="G134:G135">
    <cfRule type="expression" dxfId="3401" priority="101">
      <formula>MOD(ROW(),2)=0</formula>
    </cfRule>
  </conditionalFormatting>
  <conditionalFormatting sqref="G136:G137">
    <cfRule type="expression" dxfId="3400" priority="100">
      <formula>MOD(ROW(),2)=0</formula>
    </cfRule>
  </conditionalFormatting>
  <conditionalFormatting sqref="G138:G139">
    <cfRule type="expression" dxfId="3399" priority="99">
      <formula>MOD(ROW(),2)=0</formula>
    </cfRule>
  </conditionalFormatting>
  <conditionalFormatting sqref="G140:G141">
    <cfRule type="expression" dxfId="3398" priority="98">
      <formula>MOD(ROW(),2)=0</formula>
    </cfRule>
  </conditionalFormatting>
  <conditionalFormatting sqref="G144:G145">
    <cfRule type="expression" dxfId="3397" priority="97">
      <formula>MOD(ROW(),2)=0</formula>
    </cfRule>
  </conditionalFormatting>
  <conditionalFormatting sqref="G146:G147">
    <cfRule type="expression" dxfId="3396" priority="96">
      <formula>MOD(ROW(),2)=0</formula>
    </cfRule>
  </conditionalFormatting>
  <conditionalFormatting sqref="G128:G129">
    <cfRule type="expression" dxfId="3395" priority="95">
      <formula>MOD(ROW(),2)=0</formula>
    </cfRule>
  </conditionalFormatting>
  <conditionalFormatting sqref="G130:G131">
    <cfRule type="expression" dxfId="3394" priority="94">
      <formula>MOD(ROW(),2)=0</formula>
    </cfRule>
  </conditionalFormatting>
  <conditionalFormatting sqref="E164:E167">
    <cfRule type="expression" dxfId="3393" priority="93">
      <formula>MOD(ROW(),2)=0</formula>
    </cfRule>
  </conditionalFormatting>
  <conditionalFormatting sqref="E168:E171">
    <cfRule type="expression" dxfId="3392" priority="92">
      <formula>MOD(ROW(),2)=0</formula>
    </cfRule>
  </conditionalFormatting>
  <conditionalFormatting sqref="G158:G159">
    <cfRule type="expression" dxfId="3391" priority="91">
      <formula>MOD(ROW(),2)=0</formula>
    </cfRule>
  </conditionalFormatting>
  <conditionalFormatting sqref="G160:G161">
    <cfRule type="expression" dxfId="3390" priority="90">
      <formula>MOD(ROW(),2)=0</formula>
    </cfRule>
  </conditionalFormatting>
  <conditionalFormatting sqref="G162:G163">
    <cfRule type="expression" dxfId="3389" priority="89">
      <formula>MOD(ROW(),2)=0</formula>
    </cfRule>
  </conditionalFormatting>
  <conditionalFormatting sqref="G164:G165">
    <cfRule type="expression" dxfId="3388" priority="88">
      <formula>MOD(ROW(),2)=0</formula>
    </cfRule>
  </conditionalFormatting>
  <conditionalFormatting sqref="G168:G169">
    <cfRule type="expression" dxfId="3387" priority="87">
      <formula>MOD(ROW(),2)=0</formula>
    </cfRule>
  </conditionalFormatting>
  <conditionalFormatting sqref="G170:G171">
    <cfRule type="expression" dxfId="3386" priority="86">
      <formula>MOD(ROW(),2)=0</formula>
    </cfRule>
  </conditionalFormatting>
  <conditionalFormatting sqref="G152:G153">
    <cfRule type="expression" dxfId="3385" priority="85">
      <formula>MOD(ROW(),2)=0</formula>
    </cfRule>
  </conditionalFormatting>
  <conditionalFormatting sqref="G154:G155">
    <cfRule type="expression" dxfId="3384" priority="84">
      <formula>MOD(ROW(),2)=0</formula>
    </cfRule>
  </conditionalFormatting>
  <conditionalFormatting sqref="E172:E187">
    <cfRule type="expression" dxfId="3383" priority="83">
      <formula>MOD(ROW(),2)=0</formula>
    </cfRule>
  </conditionalFormatting>
  <conditionalFormatting sqref="E188:E191">
    <cfRule type="expression" dxfId="3382" priority="82">
      <formula>MOD(ROW(),2)=0</formula>
    </cfRule>
  </conditionalFormatting>
  <conditionalFormatting sqref="E192:E195">
    <cfRule type="expression" dxfId="3381" priority="81">
      <formula>MOD(ROW(),2)=0</formula>
    </cfRule>
  </conditionalFormatting>
  <conditionalFormatting sqref="G182:G183">
    <cfRule type="expression" dxfId="3380" priority="80">
      <formula>MOD(ROW(),2)=0</formula>
    </cfRule>
  </conditionalFormatting>
  <conditionalFormatting sqref="G184:G185">
    <cfRule type="expression" dxfId="3379" priority="79">
      <formula>MOD(ROW(),2)=0</formula>
    </cfRule>
  </conditionalFormatting>
  <conditionalFormatting sqref="G186:G187">
    <cfRule type="expression" dxfId="3378" priority="78">
      <formula>MOD(ROW(),2)=0</formula>
    </cfRule>
  </conditionalFormatting>
  <conditionalFormatting sqref="G188:G189">
    <cfRule type="expression" dxfId="3377" priority="77">
      <formula>MOD(ROW(),2)=0</formula>
    </cfRule>
  </conditionalFormatting>
  <conditionalFormatting sqref="G192:G193">
    <cfRule type="expression" dxfId="3376" priority="76">
      <formula>MOD(ROW(),2)=0</formula>
    </cfRule>
  </conditionalFormatting>
  <conditionalFormatting sqref="G194:G195">
    <cfRule type="expression" dxfId="3375" priority="75">
      <formula>MOD(ROW(),2)=0</formula>
    </cfRule>
  </conditionalFormatting>
  <conditionalFormatting sqref="G176:G177">
    <cfRule type="expression" dxfId="3374" priority="74">
      <formula>MOD(ROW(),2)=0</formula>
    </cfRule>
  </conditionalFormatting>
  <conditionalFormatting sqref="G178:G179">
    <cfRule type="expression" dxfId="3373" priority="73">
      <formula>MOD(ROW(),2)=0</formula>
    </cfRule>
  </conditionalFormatting>
  <conditionalFormatting sqref="G225">
    <cfRule type="expression" dxfId="3372" priority="72">
      <formula>MOD(ROW(),2)=0</formula>
    </cfRule>
  </conditionalFormatting>
  <conditionalFormatting sqref="E225">
    <cfRule type="expression" dxfId="3371" priority="71">
      <formula>MOD(ROW(),2)=0</formula>
    </cfRule>
  </conditionalFormatting>
  <conditionalFormatting sqref="G246">
    <cfRule type="expression" dxfId="3370" priority="70">
      <formula>MOD(ROW(),2)=0</formula>
    </cfRule>
  </conditionalFormatting>
  <conditionalFormatting sqref="E246">
    <cfRule type="expression" dxfId="3369" priority="69">
      <formula>MOD(ROW(),2)=0</formula>
    </cfRule>
  </conditionalFormatting>
  <conditionalFormatting sqref="K388:K393">
    <cfRule type="expression" dxfId="3368" priority="42">
      <formula>MOD(ROW(),2)=0</formula>
    </cfRule>
  </conditionalFormatting>
  <conditionalFormatting sqref="G244">
    <cfRule type="expression" dxfId="3367" priority="59">
      <formula>MOD(ROW(),2)=0</formula>
    </cfRule>
  </conditionalFormatting>
  <conditionalFormatting sqref="K251">
    <cfRule type="expression" dxfId="3366" priority="40">
      <formula>MOD(ROW(),2)=0</formula>
    </cfRule>
  </conditionalFormatting>
  <conditionalFormatting sqref="G74:G75">
    <cfRule type="expression" dxfId="3364" priority="64">
      <formula>MOD(ROW(),2)=0</formula>
    </cfRule>
  </conditionalFormatting>
  <conditionalFormatting sqref="E74:E75">
    <cfRule type="expression" dxfId="3363" priority="63">
      <formula>MOD(ROW(),2)=0</formula>
    </cfRule>
  </conditionalFormatting>
  <conditionalFormatting sqref="G400:G401">
    <cfRule type="expression" dxfId="3362" priority="62">
      <formula>MOD(ROW(),2)=0</formula>
    </cfRule>
  </conditionalFormatting>
  <conditionalFormatting sqref="G223">
    <cfRule type="expression" dxfId="3361" priority="61">
      <formula>MOD(ROW(),2)=0</formula>
    </cfRule>
  </conditionalFormatting>
  <conditionalFormatting sqref="E223">
    <cfRule type="expression" dxfId="3360" priority="60">
      <formula>MOD(ROW(),2)=0</formula>
    </cfRule>
  </conditionalFormatting>
  <conditionalFormatting sqref="E244">
    <cfRule type="expression" dxfId="3358" priority="58">
      <formula>MOD(ROW(),2)=0</formula>
    </cfRule>
  </conditionalFormatting>
  <conditionalFormatting sqref="G240">
    <cfRule type="expression" dxfId="3357" priority="31">
      <formula>MOD(ROW(),2)=0</formula>
    </cfRule>
  </conditionalFormatting>
  <conditionalFormatting sqref="G238">
    <cfRule type="expression" dxfId="3355" priority="29">
      <formula>MOD(ROW(),2)=0</formula>
    </cfRule>
  </conditionalFormatting>
  <conditionalFormatting sqref="G70:G71">
    <cfRule type="expression" dxfId="3353" priority="53">
      <formula>MOD(ROW(),2)=0</formula>
    </cfRule>
  </conditionalFormatting>
  <conditionalFormatting sqref="E70:E71">
    <cfRule type="expression" dxfId="3352" priority="52">
      <formula>MOD(ROW(),2)=0</formula>
    </cfRule>
  </conditionalFormatting>
  <conditionalFormatting sqref="G396:G397">
    <cfRule type="expression" dxfId="3351" priority="51">
      <formula>MOD(ROW(),2)=0</formula>
    </cfRule>
  </conditionalFormatting>
  <conditionalFormatting sqref="G221">
    <cfRule type="expression" dxfId="3350" priority="50">
      <formula>MOD(ROW(),2)=0</formula>
    </cfRule>
  </conditionalFormatting>
  <conditionalFormatting sqref="G242">
    <cfRule type="expression" dxfId="3349" priority="49">
      <formula>MOD(ROW(),2)=0</formula>
    </cfRule>
  </conditionalFormatting>
  <conditionalFormatting sqref="F233">
    <cfRule type="expression" dxfId="3348" priority="22">
      <formula>MOD(ROW(),2)=0</formula>
    </cfRule>
  </conditionalFormatting>
  <conditionalFormatting sqref="K252">
    <cfRule type="expression" dxfId="3347" priority="39">
      <formula>MOD(ROW(),2)=0</formula>
    </cfRule>
  </conditionalFormatting>
  <conditionalFormatting sqref="J247:J252">
    <cfRule type="expression" dxfId="3346" priority="38">
      <formula>MOD(ROW(),2)=0</formula>
    </cfRule>
  </conditionalFormatting>
  <conditionalFormatting sqref="G66:G67">
    <cfRule type="expression" dxfId="3345" priority="45">
      <formula>MOD(ROW(),2)=0</formula>
    </cfRule>
  </conditionalFormatting>
  <conditionalFormatting sqref="E66:E67">
    <cfRule type="expression" dxfId="3344" priority="44">
      <formula>MOD(ROW(),2)=0</formula>
    </cfRule>
  </conditionalFormatting>
  <conditionalFormatting sqref="G388:G393">
    <cfRule type="expression" dxfId="3343" priority="43">
      <formula>MOD(ROW(),2)=0</formula>
    </cfRule>
  </conditionalFormatting>
  <conditionalFormatting sqref="K247:K250">
    <cfRule type="expression" dxfId="3341" priority="41">
      <formula>MOD(ROW(),2)=0</formula>
    </cfRule>
  </conditionalFormatting>
  <conditionalFormatting sqref="G104:G105">
    <cfRule type="expression" dxfId="3337" priority="37">
      <formula>MOD(ROW(),2)=0</formula>
    </cfRule>
  </conditionalFormatting>
  <conditionalFormatting sqref="G106:G107">
    <cfRule type="expression" dxfId="3336" priority="36">
      <formula>MOD(ROW(),2)=0</formula>
    </cfRule>
  </conditionalFormatting>
  <conditionalFormatting sqref="G61">
    <cfRule type="expression" dxfId="3335" priority="35">
      <formula>MOD(ROW(),2)=0</formula>
    </cfRule>
  </conditionalFormatting>
  <conditionalFormatting sqref="D235:D240">
    <cfRule type="expression" dxfId="3334" priority="33">
      <formula>MOD(ROW(),2)=0</formula>
    </cfRule>
  </conditionalFormatting>
  <conditionalFormatting sqref="E237:G237 F240 E239:G239 F238 E235:F236">
    <cfRule type="expression" dxfId="3333" priority="34">
      <formula>MOD(ROW(),2)=0</formula>
    </cfRule>
  </conditionalFormatting>
  <conditionalFormatting sqref="G235">
    <cfRule type="expression" dxfId="3332" priority="32">
      <formula>MOD(ROW(),2)=0</formula>
    </cfRule>
  </conditionalFormatting>
  <conditionalFormatting sqref="E240">
    <cfRule type="expression" dxfId="3330" priority="30">
      <formula>MOD(ROW(),2)=0</formula>
    </cfRule>
  </conditionalFormatting>
  <conditionalFormatting sqref="E238">
    <cfRule type="expression" dxfId="3328" priority="28">
      <formula>MOD(ROW(),2)=0</formula>
    </cfRule>
  </conditionalFormatting>
  <conditionalFormatting sqref="G236">
    <cfRule type="expression" dxfId="3327" priority="27">
      <formula>MOD(ROW(),2)=0</formula>
    </cfRule>
  </conditionalFormatting>
  <conditionalFormatting sqref="D229:D234">
    <cfRule type="expression" dxfId="3326" priority="25">
      <formula>MOD(ROW(),2)=0</formula>
    </cfRule>
  </conditionalFormatting>
  <conditionalFormatting sqref="G229">
    <cfRule type="expression" dxfId="3325" priority="24">
      <formula>MOD(ROW(),2)=0</formula>
    </cfRule>
  </conditionalFormatting>
  <conditionalFormatting sqref="E229">
    <cfRule type="expression" dxfId="3324" priority="23">
      <formula>MOD(ROW(),2)=0</formula>
    </cfRule>
  </conditionalFormatting>
  <conditionalFormatting sqref="F234">
    <cfRule type="expression" dxfId="3322" priority="21">
      <formula>MOD(ROW(),2)=0</formula>
    </cfRule>
  </conditionalFormatting>
  <conditionalFormatting sqref="F231">
    <cfRule type="expression" dxfId="3321" priority="20">
      <formula>MOD(ROW(),2)=0</formula>
    </cfRule>
  </conditionalFormatting>
  <conditionalFormatting sqref="E231">
    <cfRule type="expression" dxfId="3320" priority="19">
      <formula>MOD(ROW(),2)=0</formula>
    </cfRule>
  </conditionalFormatting>
  <conditionalFormatting sqref="F232">
    <cfRule type="expression" dxfId="3319" priority="18">
      <formula>MOD(ROW(),2)=0</formula>
    </cfRule>
  </conditionalFormatting>
  <conditionalFormatting sqref="G231">
    <cfRule type="expression" dxfId="3318" priority="17">
      <formula>MOD(ROW(),2)=0</formula>
    </cfRule>
  </conditionalFormatting>
  <conditionalFormatting sqref="G233">
    <cfRule type="expression" dxfId="3317" priority="16">
      <formula>MOD(ROW(),2)=0</formula>
    </cfRule>
  </conditionalFormatting>
  <conditionalFormatting sqref="E233">
    <cfRule type="expression" dxfId="3316" priority="15">
      <formula>MOD(ROW(),2)=0</formula>
    </cfRule>
  </conditionalFormatting>
  <conditionalFormatting sqref="F229:F230">
    <cfRule type="expression" dxfId="3315" priority="26">
      <formula>MOD(ROW(),2)=0</formula>
    </cfRule>
  </conditionalFormatting>
  <conditionalFormatting sqref="G234">
    <cfRule type="expression" dxfId="3314" priority="14">
      <formula>MOD(ROW(),2)=0</formula>
    </cfRule>
  </conditionalFormatting>
  <conditionalFormatting sqref="E234">
    <cfRule type="expression" dxfId="3313" priority="13">
      <formula>MOD(ROW(),2)=0</formula>
    </cfRule>
  </conditionalFormatting>
  <conditionalFormatting sqref="G232">
    <cfRule type="expression" dxfId="3312" priority="12">
      <formula>MOD(ROW(),2)=0</formula>
    </cfRule>
  </conditionalFormatting>
  <conditionalFormatting sqref="E232">
    <cfRule type="expression" dxfId="3311" priority="11">
      <formula>MOD(ROW(),2)=0</formula>
    </cfRule>
  </conditionalFormatting>
  <conditionalFormatting sqref="G230">
    <cfRule type="expression" dxfId="3310" priority="10">
      <formula>MOD(ROW(),2)=0</formula>
    </cfRule>
  </conditionalFormatting>
  <conditionalFormatting sqref="E230">
    <cfRule type="expression" dxfId="3309" priority="9">
      <formula>MOD(ROW(),2)=0</formula>
    </cfRule>
  </conditionalFormatting>
  <hyperlinks>
    <hyperlink ref="AN6" location="'0'!A1" tooltip="X stave 0, Front" display="'0'!A1" xr:uid="{00000000-0004-0000-0400-000000000000}"/>
    <hyperlink ref="AN7:AN10" location="'0'!A1" tooltip="X stave 0, Front" display="'0'!A1" xr:uid="{00000000-0004-0000-0400-000001000000}"/>
    <hyperlink ref="AJ6" location="'0'!A1" tooltip="X stave 0, Front" display="'0'!A1" xr:uid="{00000000-0004-0000-0400-000002000000}"/>
    <hyperlink ref="AJ7:AJ10" location="'0'!A1" tooltip="X stave 0, Front" display="'0'!A1" xr:uid="{00000000-0004-0000-0400-000003000000}"/>
    <hyperlink ref="AH6" location="'0'!A1" tooltip="X stave 0, Front" display="'0'!A1" xr:uid="{00000000-0004-0000-0400-000004000000}"/>
    <hyperlink ref="AH7:AH10" location="'0'!A1" tooltip="X stave 0, Front" display="'0'!A1" xr:uid="{00000000-0004-0000-0400-000005000000}"/>
    <hyperlink ref="AJ6:AJ10" location="'2'!A1" tooltip="DCB 2" display="'2'!A1" xr:uid="{00000000-0004-0000-0400-000006000000}"/>
    <hyperlink ref="AN6:AN10" location="'0'!A1" tooltip="DCB 0" display="'0'!A1" xr:uid="{00000000-0004-0000-0400-000007000000}"/>
    <hyperlink ref="AL6" location="'0'!A1" tooltip="X stave 0, Front" display="'0'!A1" xr:uid="{00000000-0004-0000-0400-000008000000}"/>
    <hyperlink ref="AL7:AL10" location="'0'!A1" tooltip="X stave 0, Front" display="'0'!A1" xr:uid="{00000000-0004-0000-0400-000009000000}"/>
    <hyperlink ref="AL6:AL10" location="'1'!A1" tooltip="DCB 1" display="'1'!A1" xr:uid="{00000000-0004-0000-0400-00000A000000}"/>
    <hyperlink ref="AH6:AH10" location="'3'!A1" display="'3'!A1" xr:uid="{00000000-0004-0000-0400-00000B000000}"/>
    <hyperlink ref="AF6" location="'0'!A1" tooltip="X stave 0, Front" display="'0'!A1" xr:uid="{00000000-0004-0000-0400-00000C000000}"/>
    <hyperlink ref="AF7:AF10" location="'0'!A1" tooltip="X stave 0, Front" display="'0'!A1" xr:uid="{00000000-0004-0000-0400-00000D000000}"/>
    <hyperlink ref="AF6:AF10" location="'4'!A1" display="'4'!A1" xr:uid="{00000000-0004-0000-0400-00000E000000}"/>
    <hyperlink ref="AD6" location="'0'!A1" tooltip="X stave 0, Front" display="'0'!A1" xr:uid="{00000000-0004-0000-0400-00000F000000}"/>
    <hyperlink ref="AD7:AD10" location="'0'!A1" tooltip="X stave 0, Front" display="'0'!A1" xr:uid="{00000000-0004-0000-0400-000010000000}"/>
    <hyperlink ref="AD6:AD10" location="'5'!A1" display="'5'!A1" xr:uid="{00000000-0004-0000-0400-000011000000}"/>
    <hyperlink ref="AB6" location="'0'!A1" tooltip="X stave 0, Front" display="'0'!A1" xr:uid="{00000000-0004-0000-0400-000012000000}"/>
    <hyperlink ref="AB7:AB10" location="'0'!A1" tooltip="X stave 0, Front" display="'0'!A1" xr:uid="{00000000-0004-0000-0400-000013000000}"/>
    <hyperlink ref="AB6:AB10" location="'6'!A1" display="'6'!A1" xr:uid="{00000000-0004-0000-0400-000014000000}"/>
    <hyperlink ref="Z6" location="'0'!A1" tooltip="X stave 0, Front" display="'0'!A1" xr:uid="{00000000-0004-0000-0400-000015000000}"/>
    <hyperlink ref="Z7:Z10" location="'0'!A1" tooltip="X stave 0, Front" display="'0'!A1" xr:uid="{00000000-0004-0000-0400-000016000000}"/>
    <hyperlink ref="Z6:Z10" location="'7'!A1" display="'7'!A1" xr:uid="{00000000-0004-0000-0400-000017000000}"/>
    <hyperlink ref="X6" location="'0'!A1" tooltip="X stave 0, Front" display="'0'!A1" xr:uid="{00000000-0004-0000-0400-000018000000}"/>
    <hyperlink ref="X7:X10" location="'0'!A1" tooltip="X stave 0, Front" display="'0'!A1" xr:uid="{00000000-0004-0000-0400-000019000000}"/>
    <hyperlink ref="X6:X10" location="'8'!A1" display="'8'!A1" xr:uid="{00000000-0004-0000-0400-00001A000000}"/>
    <hyperlink ref="V6" location="'0'!A1" tooltip="X stave 0, Front" display="'0'!A1" xr:uid="{00000000-0004-0000-0400-00001B000000}"/>
    <hyperlink ref="V7:V10" location="'0'!A1" tooltip="X stave 0, Front" display="'0'!A1" xr:uid="{00000000-0004-0000-0400-00001C000000}"/>
    <hyperlink ref="V6:V10" location="'9'!A1" display="'9'!A1" xr:uid="{00000000-0004-0000-0400-00001D000000}"/>
    <hyperlink ref="T6" location="'0'!A1" tooltip="X stave 0, Front" display="'0'!A1" xr:uid="{00000000-0004-0000-0400-00001E000000}"/>
    <hyperlink ref="T7:T10" location="'0'!A1" tooltip="X stave 0, Front" display="'0'!A1" xr:uid="{00000000-0004-0000-0400-00001F000000}"/>
    <hyperlink ref="T6:T10" location="'10'!A1" display="'10'!A1" xr:uid="{00000000-0004-0000-0400-000020000000}"/>
    <hyperlink ref="R6" location="'0'!A1" tooltip="X stave 0, Front" display="'0'!A1" xr:uid="{00000000-0004-0000-0400-000021000000}"/>
    <hyperlink ref="R7:R10" location="'0'!A1" tooltip="X stave 0, Front" display="'0'!A1" xr:uid="{00000000-0004-0000-0400-000022000000}"/>
    <hyperlink ref="R6:R10" location="'11'!A1" display="'11'!A1" xr:uid="{00000000-0004-0000-0400-000023000000}"/>
  </hyperlinks>
  <pageMargins left="0.75" right="0.75" top="1" bottom="1" header="0.5" footer="0.5"/>
  <pageSetup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1:AV506"/>
  <sheetViews>
    <sheetView zoomScale="85" zoomScaleNormal="85" workbookViewId="0">
      <selection activeCell="AH7" sqref="AH7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344</v>
      </c>
      <c r="E2" s="511"/>
      <c r="F2" s="511"/>
      <c r="G2" s="512" t="s">
        <v>695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348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349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345">
        <v>0</v>
      </c>
      <c r="AG6" s="166"/>
      <c r="AH6" s="241">
        <v>0</v>
      </c>
      <c r="AI6" s="166"/>
      <c r="AJ6" s="241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346">
        <v>0</v>
      </c>
      <c r="AG7" s="166"/>
      <c r="AH7" s="242">
        <v>0</v>
      </c>
      <c r="AI7" s="166"/>
      <c r="AJ7" s="242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346">
        <v>0</v>
      </c>
      <c r="AG8" s="166"/>
      <c r="AH8" s="242">
        <v>0</v>
      </c>
      <c r="AI8" s="166"/>
      <c r="AJ8" s="242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346">
        <v>0</v>
      </c>
      <c r="AG9" s="166"/>
      <c r="AH9" s="242">
        <v>0</v>
      </c>
      <c r="AI9" s="166"/>
      <c r="AJ9" s="242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347">
        <v>0</v>
      </c>
      <c r="AG10" s="166"/>
      <c r="AH10" s="243">
        <v>0</v>
      </c>
      <c r="AI10" s="166"/>
      <c r="AJ10" s="243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68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8"/>
      <c r="AA17" s="19"/>
      <c r="AB17" s="508"/>
      <c r="AC17" s="19"/>
      <c r="AD17" s="508"/>
      <c r="AE17" s="19"/>
      <c r="AF17" s="508"/>
      <c r="AG17" s="19"/>
      <c r="AH17" s="508"/>
      <c r="AI17" s="19"/>
      <c r="AJ17" s="509"/>
      <c r="AK17" s="15"/>
      <c r="AL17" s="509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6"/>
      <c r="Q18" s="19"/>
      <c r="R18" s="356"/>
      <c r="S18" s="19"/>
      <c r="T18" s="356"/>
      <c r="U18" s="19"/>
      <c r="V18" s="356"/>
      <c r="W18" s="19"/>
      <c r="X18" s="356"/>
      <c r="Y18" s="19"/>
      <c r="Z18" s="356"/>
      <c r="AA18" s="19"/>
      <c r="AB18" s="356"/>
      <c r="AC18" s="19"/>
      <c r="AD18" s="356"/>
      <c r="AE18" s="19"/>
      <c r="AF18" s="356"/>
      <c r="AG18" s="19"/>
      <c r="AH18" s="356"/>
      <c r="AI18" s="19"/>
      <c r="AJ18" s="510"/>
      <c r="AK18" s="19"/>
      <c r="AL18" s="510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7">
        <v>11</v>
      </c>
      <c r="Q19" s="357"/>
      <c r="R19" s="357">
        <v>10</v>
      </c>
      <c r="S19" s="357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5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5" t="s">
        <v>993</v>
      </c>
      <c r="F66" s="271"/>
      <c r="G66" s="276" t="s">
        <v>284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5" t="s">
        <v>993</v>
      </c>
      <c r="F67" s="271"/>
      <c r="G67" s="276" t="s">
        <v>274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5" t="s">
        <v>993</v>
      </c>
      <c r="F70" s="271"/>
      <c r="G70" s="276" t="s">
        <v>39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5" t="s">
        <v>993</v>
      </c>
      <c r="F71" s="271"/>
      <c r="G71" s="276" t="s">
        <v>38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4" t="s">
        <v>992</v>
      </c>
      <c r="F74" s="13"/>
      <c r="G74" s="276" t="s">
        <v>39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4" t="s">
        <v>992</v>
      </c>
      <c r="F75" s="13"/>
      <c r="G75" s="276" t="s">
        <v>38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686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686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686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686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4" t="s">
        <v>992</v>
      </c>
      <c r="F80" s="13"/>
      <c r="G80" s="276" t="s">
        <v>50</v>
      </c>
      <c r="H80" s="235" t="s">
        <v>686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4" t="s">
        <v>992</v>
      </c>
      <c r="F81" s="13"/>
      <c r="G81" s="276" t="s">
        <v>51</v>
      </c>
      <c r="H81" s="235" t="s">
        <v>686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4" t="s">
        <v>992</v>
      </c>
      <c r="F82" s="13"/>
      <c r="G82" s="276" t="s">
        <v>40</v>
      </c>
      <c r="H82" s="235" t="s">
        <v>686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4" t="s">
        <v>992</v>
      </c>
      <c r="F83" s="13"/>
      <c r="G83" s="276" t="s">
        <v>41</v>
      </c>
      <c r="H83" s="235" t="s">
        <v>686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13"/>
      <c r="F84" s="13"/>
      <c r="G84" s="271"/>
      <c r="H84" s="235" t="s">
        <v>686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13"/>
      <c r="F85" s="13"/>
      <c r="G85" s="271"/>
      <c r="H85" s="235" t="s">
        <v>686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992</v>
      </c>
      <c r="F86" s="13"/>
      <c r="G86" s="276" t="s">
        <v>81</v>
      </c>
      <c r="H86" s="235" t="s">
        <v>686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992</v>
      </c>
      <c r="F87" s="13"/>
      <c r="G87" s="276" t="s">
        <v>80</v>
      </c>
      <c r="H87" s="235" t="s">
        <v>686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4" t="s">
        <v>992</v>
      </c>
      <c r="F88" s="184"/>
      <c r="G88" s="276" t="s">
        <v>79</v>
      </c>
      <c r="H88" s="235" t="s">
        <v>686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4" t="s">
        <v>992</v>
      </c>
      <c r="F89" s="184"/>
      <c r="G89" s="276" t="s">
        <v>78</v>
      </c>
      <c r="H89" s="235" t="s">
        <v>686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4" t="s">
        <v>992</v>
      </c>
      <c r="F90" s="13"/>
      <c r="G90" s="276" t="s">
        <v>59</v>
      </c>
      <c r="H90" s="235" t="s">
        <v>686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4" t="s">
        <v>992</v>
      </c>
      <c r="F91" s="13"/>
      <c r="G91" s="276" t="s">
        <v>58</v>
      </c>
      <c r="H91" s="235" t="s">
        <v>686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4" t="s">
        <v>992</v>
      </c>
      <c r="F92" s="185"/>
      <c r="G92" s="276" t="s">
        <v>31</v>
      </c>
      <c r="H92" s="235" t="s">
        <v>686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4" t="s">
        <v>992</v>
      </c>
      <c r="F93" s="13"/>
      <c r="G93" s="276" t="s">
        <v>30</v>
      </c>
      <c r="H93" s="235" t="s">
        <v>686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184"/>
      <c r="F94" s="13"/>
      <c r="G94" s="271"/>
      <c r="H94" s="235" t="s">
        <v>686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184"/>
      <c r="F95" s="13"/>
      <c r="G95" s="271"/>
      <c r="H95" s="235" t="s">
        <v>686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992</v>
      </c>
      <c r="F96" s="184"/>
      <c r="G96" s="276" t="s">
        <v>61</v>
      </c>
      <c r="H96" s="235" t="s">
        <v>686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992</v>
      </c>
      <c r="F97" s="184"/>
      <c r="G97" s="276" t="s">
        <v>60</v>
      </c>
      <c r="H97" s="235" t="s">
        <v>686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4" t="s">
        <v>992</v>
      </c>
      <c r="F98" s="13"/>
      <c r="G98" s="276" t="s">
        <v>49</v>
      </c>
      <c r="H98" s="235" t="s">
        <v>686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4" t="s">
        <v>992</v>
      </c>
      <c r="F99" s="13"/>
      <c r="G99" s="276" t="s">
        <v>48</v>
      </c>
      <c r="H99" s="235" t="s">
        <v>686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184"/>
      <c r="F100" s="184"/>
      <c r="G100" s="244"/>
      <c r="H100" s="340" t="s">
        <v>687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184"/>
      <c r="F101" s="184"/>
      <c r="G101" s="244"/>
      <c r="H101" s="235" t="s">
        <v>687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184"/>
      <c r="F102" s="184"/>
      <c r="G102" s="244"/>
      <c r="H102" s="235" t="s">
        <v>687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184"/>
      <c r="F103" s="184"/>
      <c r="G103" s="244"/>
      <c r="H103" s="235" t="s">
        <v>687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4" t="s">
        <v>993</v>
      </c>
      <c r="F104" s="13"/>
      <c r="G104" s="276" t="s">
        <v>316</v>
      </c>
      <c r="H104" s="235" t="s">
        <v>687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4" t="s">
        <v>993</v>
      </c>
      <c r="F105" s="13"/>
      <c r="G105" s="276" t="s">
        <v>323</v>
      </c>
      <c r="H105" s="235" t="s">
        <v>687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4" t="s">
        <v>993</v>
      </c>
      <c r="F106" s="13"/>
      <c r="G106" s="276" t="s">
        <v>327</v>
      </c>
      <c r="H106" s="235" t="s">
        <v>687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4" t="s">
        <v>993</v>
      </c>
      <c r="F107" s="13"/>
      <c r="G107" s="276" t="s">
        <v>326</v>
      </c>
      <c r="H107" s="235" t="s">
        <v>687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4" t="s">
        <v>993</v>
      </c>
      <c r="F108" s="13"/>
      <c r="G108" s="276" t="s">
        <v>296</v>
      </c>
      <c r="H108" s="235" t="s">
        <v>687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4" t="s">
        <v>993</v>
      </c>
      <c r="F109" s="13"/>
      <c r="G109" s="276" t="s">
        <v>305</v>
      </c>
      <c r="H109" s="235" t="s">
        <v>687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993</v>
      </c>
      <c r="F110" s="13"/>
      <c r="G110" s="276" t="s">
        <v>297</v>
      </c>
      <c r="H110" s="235" t="s">
        <v>687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993</v>
      </c>
      <c r="F111" s="13"/>
      <c r="G111" s="276" t="s">
        <v>306</v>
      </c>
      <c r="H111" s="235" t="s">
        <v>687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4" t="s">
        <v>993</v>
      </c>
      <c r="F112" s="13"/>
      <c r="G112" s="276" t="s">
        <v>300</v>
      </c>
      <c r="H112" s="235" t="s">
        <v>687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4" t="s">
        <v>993</v>
      </c>
      <c r="F113" s="13"/>
      <c r="G113" s="276" t="s">
        <v>299</v>
      </c>
      <c r="H113" s="235" t="s">
        <v>687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4" t="s">
        <v>993</v>
      </c>
      <c r="F114" s="184"/>
      <c r="G114" s="276" t="s">
        <v>307</v>
      </c>
      <c r="H114" s="235" t="s">
        <v>687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4" t="s">
        <v>993</v>
      </c>
      <c r="F115" s="184"/>
      <c r="G115" s="276" t="s">
        <v>298</v>
      </c>
      <c r="H115" s="235" t="s">
        <v>687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4" t="s">
        <v>993</v>
      </c>
      <c r="F116" s="184"/>
      <c r="G116" s="276" t="s">
        <v>322</v>
      </c>
      <c r="H116" s="235" t="s">
        <v>687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4" t="s">
        <v>993</v>
      </c>
      <c r="F117" s="184"/>
      <c r="G117" s="276" t="s">
        <v>315</v>
      </c>
      <c r="H117" s="235" t="s">
        <v>687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4" t="s">
        <v>993</v>
      </c>
      <c r="F118" s="13"/>
      <c r="G118" s="276" t="s">
        <v>314</v>
      </c>
      <c r="H118" s="235" t="s">
        <v>687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4" t="s">
        <v>993</v>
      </c>
      <c r="F119" s="13"/>
      <c r="G119" s="276" t="s">
        <v>321</v>
      </c>
      <c r="H119" s="235" t="s">
        <v>687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4" t="s">
        <v>993</v>
      </c>
      <c r="F120" s="13"/>
      <c r="G120" s="276" t="s">
        <v>308</v>
      </c>
      <c r="H120" s="235" t="s">
        <v>687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4" t="s">
        <v>993</v>
      </c>
      <c r="F121" s="13"/>
      <c r="G121" s="276" t="s">
        <v>309</v>
      </c>
      <c r="H121" s="235" t="s">
        <v>687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4" t="s">
        <v>993</v>
      </c>
      <c r="F122" s="13"/>
      <c r="G122" s="276" t="s">
        <v>324</v>
      </c>
      <c r="H122" s="235" t="s">
        <v>687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4" t="s">
        <v>993</v>
      </c>
      <c r="F123" s="13"/>
      <c r="G123" s="276" t="s">
        <v>325</v>
      </c>
      <c r="H123" s="235" t="s">
        <v>687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184"/>
      <c r="F124" s="184"/>
      <c r="G124" s="244"/>
      <c r="H124" s="340" t="s">
        <v>688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184"/>
      <c r="F125" s="184"/>
      <c r="G125" s="244"/>
      <c r="H125" s="235" t="s">
        <v>688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184"/>
      <c r="F126" s="184"/>
      <c r="G126" s="184"/>
      <c r="H126" s="235" t="s">
        <v>688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184"/>
      <c r="F127" s="184"/>
      <c r="G127" s="184"/>
      <c r="H127" s="235" t="s">
        <v>688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4" t="s">
        <v>993</v>
      </c>
      <c r="F128" s="13"/>
      <c r="G128" s="276" t="s">
        <v>50</v>
      </c>
      <c r="H128" s="235" t="s">
        <v>688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4" t="s">
        <v>993</v>
      </c>
      <c r="F129" s="13"/>
      <c r="G129" s="276" t="s">
        <v>51</v>
      </c>
      <c r="H129" s="235" t="s">
        <v>688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4" t="s">
        <v>993</v>
      </c>
      <c r="F130" s="13"/>
      <c r="G130" s="276" t="s">
        <v>40</v>
      </c>
      <c r="H130" s="235" t="s">
        <v>688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4" t="s">
        <v>993</v>
      </c>
      <c r="F131" s="13"/>
      <c r="G131" s="276" t="s">
        <v>41</v>
      </c>
      <c r="H131" s="235" t="s">
        <v>688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4" t="s">
        <v>993</v>
      </c>
      <c r="F132" s="13"/>
      <c r="G132" s="276" t="s">
        <v>69</v>
      </c>
      <c r="H132" s="235" t="s">
        <v>688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4" t="s">
        <v>993</v>
      </c>
      <c r="F133" s="13"/>
      <c r="G133" s="276" t="s">
        <v>68</v>
      </c>
      <c r="H133" s="235" t="s">
        <v>688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4" t="s">
        <v>993</v>
      </c>
      <c r="F134" s="13"/>
      <c r="G134" s="276" t="s">
        <v>81</v>
      </c>
      <c r="H134" s="235" t="s">
        <v>688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4" t="s">
        <v>993</v>
      </c>
      <c r="F135" s="13"/>
      <c r="G135" s="276" t="s">
        <v>80</v>
      </c>
      <c r="H135" s="235" t="s">
        <v>688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4" t="s">
        <v>993</v>
      </c>
      <c r="F136" s="13"/>
      <c r="G136" s="276" t="s">
        <v>79</v>
      </c>
      <c r="H136" s="235" t="s">
        <v>688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4" t="s">
        <v>993</v>
      </c>
      <c r="F137" s="13"/>
      <c r="G137" s="276" t="s">
        <v>78</v>
      </c>
      <c r="H137" s="235" t="s">
        <v>688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4" t="s">
        <v>993</v>
      </c>
      <c r="F138" s="184"/>
      <c r="G138" s="276" t="s">
        <v>59</v>
      </c>
      <c r="H138" s="235" t="s">
        <v>688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4" t="s">
        <v>993</v>
      </c>
      <c r="F139" s="184"/>
      <c r="G139" s="276" t="s">
        <v>58</v>
      </c>
      <c r="H139" s="235" t="s">
        <v>688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4" t="s">
        <v>993</v>
      </c>
      <c r="F140" s="184"/>
      <c r="G140" s="276" t="s">
        <v>31</v>
      </c>
      <c r="H140" s="235" t="s">
        <v>688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4" t="s">
        <v>993</v>
      </c>
      <c r="F141" s="184"/>
      <c r="G141" s="276" t="s">
        <v>30</v>
      </c>
      <c r="H141" s="235" t="s">
        <v>688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4" t="s">
        <v>993</v>
      </c>
      <c r="F142" s="13"/>
      <c r="G142" s="276" t="s">
        <v>71</v>
      </c>
      <c r="H142" s="235" t="s">
        <v>688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4" t="s">
        <v>993</v>
      </c>
      <c r="F143" s="13"/>
      <c r="G143" s="276" t="s">
        <v>70</v>
      </c>
      <c r="H143" s="235" t="s">
        <v>688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4" t="s">
        <v>993</v>
      </c>
      <c r="F144" s="13"/>
      <c r="G144" s="276" t="s">
        <v>61</v>
      </c>
      <c r="H144" s="235" t="s">
        <v>688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993</v>
      </c>
      <c r="F145" s="13"/>
      <c r="G145" s="276" t="s">
        <v>60</v>
      </c>
      <c r="H145" s="235" t="s">
        <v>688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4" t="s">
        <v>993</v>
      </c>
      <c r="F146" s="13"/>
      <c r="G146" s="276" t="s">
        <v>49</v>
      </c>
      <c r="H146" s="235" t="s">
        <v>688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4" t="s">
        <v>993</v>
      </c>
      <c r="F147" s="13"/>
      <c r="G147" s="276" t="s">
        <v>48</v>
      </c>
      <c r="H147" s="235" t="s">
        <v>688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689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689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84"/>
      <c r="F150" s="13"/>
      <c r="G150" s="13"/>
      <c r="H150" s="235" t="s">
        <v>689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84"/>
      <c r="F151" s="13"/>
      <c r="G151" s="13"/>
      <c r="H151" s="235" t="s">
        <v>689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993</v>
      </c>
      <c r="F152" s="13"/>
      <c r="G152" s="276" t="s">
        <v>268</v>
      </c>
      <c r="H152" s="235" t="s">
        <v>689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993</v>
      </c>
      <c r="F153" s="13"/>
      <c r="G153" s="276" t="s">
        <v>269</v>
      </c>
      <c r="H153" s="235" t="s">
        <v>689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993</v>
      </c>
      <c r="F154" s="13"/>
      <c r="G154" s="276" t="s">
        <v>261</v>
      </c>
      <c r="H154" s="235" t="s">
        <v>689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993</v>
      </c>
      <c r="F155" s="13"/>
      <c r="G155" s="276" t="s">
        <v>260</v>
      </c>
      <c r="H155" s="235" t="s">
        <v>689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/>
      <c r="F156" s="13"/>
      <c r="G156" s="271"/>
      <c r="H156" s="235" t="s">
        <v>689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/>
      <c r="F157" s="13"/>
      <c r="G157" s="271"/>
      <c r="H157" s="235" t="s">
        <v>689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993</v>
      </c>
      <c r="F158" s="13"/>
      <c r="G158" s="276" t="s">
        <v>281</v>
      </c>
      <c r="H158" s="235" t="s">
        <v>689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993</v>
      </c>
      <c r="F159" s="13"/>
      <c r="G159" s="276" t="s">
        <v>280</v>
      </c>
      <c r="H159" s="235" t="s">
        <v>689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993</v>
      </c>
      <c r="F160" s="184"/>
      <c r="G160" s="276" t="s">
        <v>257</v>
      </c>
      <c r="H160" s="235" t="s">
        <v>689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993</v>
      </c>
      <c r="F161" s="184"/>
      <c r="G161" s="276" t="s">
        <v>267</v>
      </c>
      <c r="H161" s="235" t="s">
        <v>689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993</v>
      </c>
      <c r="F162" s="184"/>
      <c r="G162" s="276" t="s">
        <v>289</v>
      </c>
      <c r="H162" s="235" t="s">
        <v>689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993</v>
      </c>
      <c r="F163" s="184"/>
      <c r="G163" s="276" t="s">
        <v>288</v>
      </c>
      <c r="H163" s="235" t="s">
        <v>689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993</v>
      </c>
      <c r="F164" s="184"/>
      <c r="G164" s="276" t="s">
        <v>291</v>
      </c>
      <c r="H164" s="235" t="s">
        <v>689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993</v>
      </c>
      <c r="F165" s="184"/>
      <c r="G165" s="276" t="s">
        <v>290</v>
      </c>
      <c r="H165" s="235" t="s">
        <v>689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/>
      <c r="F166" s="184"/>
      <c r="G166" s="338"/>
      <c r="H166" s="235" t="s">
        <v>689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/>
      <c r="F167" s="184"/>
      <c r="G167" s="338"/>
      <c r="H167" s="235" t="s">
        <v>689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993</v>
      </c>
      <c r="F168" s="13"/>
      <c r="G168" s="276" t="s">
        <v>271</v>
      </c>
      <c r="H168" s="235" t="s">
        <v>689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993</v>
      </c>
      <c r="F169" s="13"/>
      <c r="G169" s="276" t="s">
        <v>270</v>
      </c>
      <c r="H169" s="235" t="s">
        <v>689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993</v>
      </c>
      <c r="F170" s="13"/>
      <c r="G170" s="276" t="s">
        <v>258</v>
      </c>
      <c r="H170" s="235" t="s">
        <v>689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993</v>
      </c>
      <c r="F171" s="13"/>
      <c r="G171" s="276" t="s">
        <v>259</v>
      </c>
      <c r="H171" s="235" t="s">
        <v>689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705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705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84"/>
      <c r="F174" s="13"/>
      <c r="G174" s="13"/>
      <c r="H174" s="235" t="s">
        <v>705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84"/>
      <c r="F175" s="13"/>
      <c r="G175" s="13"/>
      <c r="H175" s="235" t="s">
        <v>705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993</v>
      </c>
      <c r="F176" s="13"/>
      <c r="G176" s="276" t="s">
        <v>262</v>
      </c>
      <c r="H176" s="235" t="s">
        <v>705</v>
      </c>
      <c r="I176" s="13"/>
      <c r="J176" s="13"/>
      <c r="K176" s="16"/>
    </row>
    <row r="177" spans="2:48">
      <c r="B177" s="26">
        <v>172</v>
      </c>
      <c r="C177" s="228" t="s">
        <v>47</v>
      </c>
      <c r="D177" s="229" t="s">
        <v>610</v>
      </c>
      <c r="E177" s="274" t="s">
        <v>993</v>
      </c>
      <c r="F177" s="13"/>
      <c r="G177" s="276" t="s">
        <v>252</v>
      </c>
      <c r="H177" s="235" t="s">
        <v>705</v>
      </c>
      <c r="I177" s="13"/>
      <c r="J177" s="13"/>
      <c r="K177" s="16"/>
    </row>
    <row r="178" spans="2:48">
      <c r="B178" s="26">
        <v>173</v>
      </c>
      <c r="C178" s="228" t="s">
        <v>77</v>
      </c>
      <c r="D178" s="229" t="s">
        <v>611</v>
      </c>
      <c r="E178" s="274" t="s">
        <v>993</v>
      </c>
      <c r="F178" s="13"/>
      <c r="G178" s="276" t="s">
        <v>282</v>
      </c>
      <c r="H178" s="235" t="s">
        <v>705</v>
      </c>
      <c r="I178" s="13"/>
      <c r="J178" s="13"/>
      <c r="K178" s="16"/>
    </row>
    <row r="179" spans="2:48">
      <c r="B179" s="26">
        <v>174</v>
      </c>
      <c r="C179" s="228" t="s">
        <v>87</v>
      </c>
      <c r="D179" s="229" t="s">
        <v>612</v>
      </c>
      <c r="E179" s="274" t="s">
        <v>993</v>
      </c>
      <c r="F179" s="13"/>
      <c r="G179" s="276" t="s">
        <v>272</v>
      </c>
      <c r="H179" s="235" t="s">
        <v>705</v>
      </c>
      <c r="I179" s="13"/>
      <c r="J179" s="13"/>
      <c r="K179" s="16"/>
    </row>
    <row r="180" spans="2:48">
      <c r="B180" s="26">
        <v>175</v>
      </c>
      <c r="C180" s="228" t="s">
        <v>33</v>
      </c>
      <c r="D180" s="229" t="s">
        <v>511</v>
      </c>
      <c r="E180" s="274"/>
      <c r="F180" s="13"/>
      <c r="G180" s="271"/>
      <c r="H180" s="235" t="s">
        <v>705</v>
      </c>
      <c r="I180" s="13"/>
      <c r="J180" s="13"/>
      <c r="K180" s="16"/>
    </row>
    <row r="181" spans="2:48">
      <c r="B181" s="26">
        <v>176</v>
      </c>
      <c r="C181" s="228" t="s">
        <v>43</v>
      </c>
      <c r="D181" s="229" t="s">
        <v>512</v>
      </c>
      <c r="E181" s="274"/>
      <c r="F181" s="13"/>
      <c r="G181" s="271"/>
      <c r="H181" s="235" t="s">
        <v>705</v>
      </c>
      <c r="I181" s="13"/>
      <c r="J181" s="13"/>
      <c r="K181" s="16"/>
    </row>
    <row r="182" spans="2:48">
      <c r="B182" s="26">
        <v>177</v>
      </c>
      <c r="C182" s="228" t="s">
        <v>73</v>
      </c>
      <c r="D182" s="229" t="s">
        <v>513</v>
      </c>
      <c r="E182" s="274" t="s">
        <v>993</v>
      </c>
      <c r="F182" s="13"/>
      <c r="G182" s="276" t="s">
        <v>264</v>
      </c>
      <c r="H182" s="235" t="s">
        <v>705</v>
      </c>
      <c r="I182" s="13"/>
      <c r="J182" s="13"/>
      <c r="K182" s="16"/>
    </row>
    <row r="183" spans="2:48">
      <c r="B183" s="26">
        <v>178</v>
      </c>
      <c r="C183" s="228" t="s">
        <v>83</v>
      </c>
      <c r="D183" s="229" t="s">
        <v>514</v>
      </c>
      <c r="E183" s="274" t="s">
        <v>993</v>
      </c>
      <c r="F183" s="13"/>
      <c r="G183" s="276" t="s">
        <v>254</v>
      </c>
      <c r="H183" s="235" t="s">
        <v>705</v>
      </c>
      <c r="I183" s="13"/>
      <c r="J183" s="13"/>
      <c r="K183" s="16"/>
    </row>
    <row r="184" spans="2:48">
      <c r="B184" s="26">
        <v>179</v>
      </c>
      <c r="C184" s="228" t="s">
        <v>18</v>
      </c>
      <c r="D184" s="229" t="s">
        <v>535</v>
      </c>
      <c r="E184" s="274" t="s">
        <v>993</v>
      </c>
      <c r="F184" s="184"/>
      <c r="G184" s="276" t="s">
        <v>266</v>
      </c>
      <c r="H184" s="235" t="s">
        <v>705</v>
      </c>
      <c r="I184" s="13"/>
      <c r="J184" s="13"/>
      <c r="K184" s="16"/>
    </row>
    <row r="185" spans="2:48">
      <c r="B185" s="26">
        <v>180</v>
      </c>
      <c r="C185" s="228" t="s">
        <v>26</v>
      </c>
      <c r="D185" s="230" t="s">
        <v>536</v>
      </c>
      <c r="E185" s="274" t="s">
        <v>993</v>
      </c>
      <c r="F185" s="184"/>
      <c r="G185" s="276" t="s">
        <v>256</v>
      </c>
      <c r="H185" s="235" t="s">
        <v>705</v>
      </c>
      <c r="I185" s="13"/>
      <c r="J185" s="13"/>
      <c r="K185" s="16"/>
    </row>
    <row r="186" spans="2:48">
      <c r="B186" s="26">
        <v>181</v>
      </c>
      <c r="C186" s="228" t="s">
        <v>54</v>
      </c>
      <c r="D186" s="230" t="s">
        <v>537</v>
      </c>
      <c r="E186" s="274" t="s">
        <v>993</v>
      </c>
      <c r="F186" s="13"/>
      <c r="G186" s="276" t="s">
        <v>265</v>
      </c>
      <c r="H186" s="235" t="s">
        <v>705</v>
      </c>
      <c r="I186" s="13"/>
      <c r="J186" s="13"/>
      <c r="K186" s="16"/>
    </row>
    <row r="187" spans="2:48">
      <c r="B187" s="26">
        <v>182</v>
      </c>
      <c r="C187" s="228" t="s">
        <v>64</v>
      </c>
      <c r="D187" s="230" t="s">
        <v>538</v>
      </c>
      <c r="E187" s="274" t="s">
        <v>993</v>
      </c>
      <c r="F187" s="13"/>
      <c r="G187" s="276" t="s">
        <v>255</v>
      </c>
      <c r="H187" s="235" t="s">
        <v>705</v>
      </c>
      <c r="I187" s="13"/>
      <c r="J187" s="13"/>
      <c r="K187" s="16"/>
      <c r="AQ187"/>
      <c r="AR187"/>
      <c r="AS187"/>
      <c r="AT187"/>
      <c r="AU187"/>
      <c r="AV187"/>
    </row>
    <row r="188" spans="2:48">
      <c r="B188" s="26">
        <v>183</v>
      </c>
      <c r="C188" s="228" t="s">
        <v>35</v>
      </c>
      <c r="D188" s="229" t="s">
        <v>559</v>
      </c>
      <c r="E188" s="274" t="s">
        <v>993</v>
      </c>
      <c r="F188" s="13"/>
      <c r="G188" s="276" t="s">
        <v>285</v>
      </c>
      <c r="H188" s="235" t="s">
        <v>705</v>
      </c>
      <c r="I188" s="13"/>
      <c r="J188" s="13"/>
      <c r="K188" s="16"/>
      <c r="AQ188"/>
      <c r="AR188"/>
      <c r="AS188"/>
      <c r="AT188"/>
      <c r="AU188"/>
      <c r="AV188"/>
    </row>
    <row r="189" spans="2:48">
      <c r="B189" s="26">
        <v>184</v>
      </c>
      <c r="C189" s="228" t="s">
        <v>45</v>
      </c>
      <c r="D189" s="229" t="s">
        <v>560</v>
      </c>
      <c r="E189" s="274" t="s">
        <v>993</v>
      </c>
      <c r="F189" s="13"/>
      <c r="G189" s="276" t="s">
        <v>275</v>
      </c>
      <c r="H189" s="235" t="s">
        <v>705</v>
      </c>
      <c r="I189" s="13"/>
      <c r="J189" s="13"/>
      <c r="K189" s="16"/>
      <c r="AQ189"/>
      <c r="AR189"/>
      <c r="AS189"/>
      <c r="AT189"/>
      <c r="AU189"/>
      <c r="AV189"/>
    </row>
    <row r="190" spans="2:48">
      <c r="B190" s="26">
        <v>185</v>
      </c>
      <c r="C190" s="228" t="s">
        <v>75</v>
      </c>
      <c r="D190" s="229" t="s">
        <v>561</v>
      </c>
      <c r="E190" s="274"/>
      <c r="F190" s="13"/>
      <c r="G190" s="271"/>
      <c r="H190" s="235" t="s">
        <v>705</v>
      </c>
      <c r="I190" s="13"/>
      <c r="J190" s="13"/>
      <c r="K190" s="16"/>
      <c r="AQ190"/>
      <c r="AR190"/>
      <c r="AS190"/>
      <c r="AT190"/>
      <c r="AU190"/>
      <c r="AV190"/>
    </row>
    <row r="191" spans="2:48">
      <c r="B191" s="26">
        <v>186</v>
      </c>
      <c r="C191" s="228" t="s">
        <v>85</v>
      </c>
      <c r="D191" s="229" t="s">
        <v>562</v>
      </c>
      <c r="E191" s="274"/>
      <c r="F191" s="13"/>
      <c r="G191" s="271"/>
      <c r="H191" s="235" t="s">
        <v>705</v>
      </c>
      <c r="I191" s="13"/>
      <c r="J191" s="13"/>
      <c r="K191" s="16"/>
      <c r="AQ191"/>
      <c r="AR191"/>
      <c r="AS191"/>
      <c r="AT191"/>
      <c r="AU191"/>
      <c r="AV191"/>
    </row>
    <row r="192" spans="2:48">
      <c r="B192" s="26">
        <v>187</v>
      </c>
      <c r="C192" s="228" t="s">
        <v>20</v>
      </c>
      <c r="D192" s="229" t="s">
        <v>583</v>
      </c>
      <c r="E192" s="274" t="s">
        <v>993</v>
      </c>
      <c r="F192" s="184"/>
      <c r="G192" s="276" t="s">
        <v>247</v>
      </c>
      <c r="H192" s="235" t="s">
        <v>705</v>
      </c>
      <c r="I192" s="13"/>
      <c r="J192" s="13"/>
      <c r="K192" s="16"/>
      <c r="AQ192"/>
      <c r="AR192"/>
      <c r="AS192"/>
      <c r="AT192"/>
      <c r="AU192"/>
      <c r="AV192"/>
    </row>
    <row r="193" spans="2:48">
      <c r="B193" s="26">
        <v>188</v>
      </c>
      <c r="C193" s="228" t="s">
        <v>28</v>
      </c>
      <c r="D193" s="229" t="s">
        <v>584</v>
      </c>
      <c r="E193" s="274" t="s">
        <v>993</v>
      </c>
      <c r="F193" s="184"/>
      <c r="G193" s="276" t="s">
        <v>246</v>
      </c>
      <c r="H193" s="235" t="s">
        <v>705</v>
      </c>
      <c r="I193" s="13"/>
      <c r="J193" s="13"/>
      <c r="K193" s="16"/>
      <c r="AQ193"/>
      <c r="AR193"/>
      <c r="AS193"/>
      <c r="AT193"/>
      <c r="AU193"/>
      <c r="AV193"/>
    </row>
    <row r="194" spans="2:48">
      <c r="B194" s="26">
        <v>189</v>
      </c>
      <c r="C194" s="228" t="s">
        <v>56</v>
      </c>
      <c r="D194" s="229" t="s">
        <v>585</v>
      </c>
      <c r="E194" s="274" t="s">
        <v>993</v>
      </c>
      <c r="F194" s="13"/>
      <c r="G194" s="276" t="s">
        <v>263</v>
      </c>
      <c r="H194" s="235" t="s">
        <v>705</v>
      </c>
      <c r="I194" s="13"/>
      <c r="J194" s="13"/>
      <c r="K194" s="16"/>
      <c r="AQ194"/>
      <c r="AR194"/>
      <c r="AS194"/>
      <c r="AT194"/>
      <c r="AU194"/>
      <c r="AV194"/>
    </row>
    <row r="195" spans="2:48">
      <c r="B195" s="26">
        <v>190</v>
      </c>
      <c r="C195" s="228" t="s">
        <v>66</v>
      </c>
      <c r="D195" s="229" t="s">
        <v>586</v>
      </c>
      <c r="E195" s="274" t="s">
        <v>993</v>
      </c>
      <c r="F195" s="13"/>
      <c r="G195" s="276" t="s">
        <v>253</v>
      </c>
      <c r="H195" s="235" t="s">
        <v>705</v>
      </c>
      <c r="I195" s="13"/>
      <c r="J195" s="13"/>
      <c r="K195" s="16"/>
      <c r="AQ195"/>
      <c r="AR195"/>
      <c r="AS195"/>
      <c r="AT195"/>
      <c r="AU195"/>
      <c r="AV195"/>
    </row>
    <row r="196" spans="2:48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39" t="s">
        <v>706</v>
      </c>
      <c r="I196" s="13"/>
      <c r="J196" s="13"/>
      <c r="K196" s="16"/>
      <c r="AQ196"/>
      <c r="AR196"/>
      <c r="AS196"/>
      <c r="AT196"/>
      <c r="AU196"/>
      <c r="AV196"/>
    </row>
    <row r="197" spans="2:48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706</v>
      </c>
      <c r="I197" s="13"/>
      <c r="J197" s="13"/>
      <c r="K197" s="16"/>
      <c r="AQ197"/>
      <c r="AR197"/>
      <c r="AS197"/>
      <c r="AT197"/>
      <c r="AU197"/>
      <c r="AV197"/>
    </row>
    <row r="198" spans="2:48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706</v>
      </c>
      <c r="I198" s="13"/>
      <c r="J198" s="13"/>
      <c r="K198" s="16"/>
      <c r="AQ198"/>
      <c r="AR198"/>
      <c r="AS198"/>
      <c r="AT198"/>
      <c r="AU198"/>
      <c r="AV198"/>
    </row>
    <row r="199" spans="2:48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706</v>
      </c>
      <c r="I199" s="13"/>
      <c r="J199" s="13"/>
      <c r="K199" s="16"/>
      <c r="AQ199"/>
      <c r="AR199"/>
      <c r="AS199"/>
      <c r="AT199"/>
      <c r="AU199"/>
      <c r="AV199"/>
    </row>
    <row r="200" spans="2:48">
      <c r="B200" s="26">
        <v>195</v>
      </c>
      <c r="C200" s="228" t="s">
        <v>853</v>
      </c>
      <c r="D200" s="229" t="s">
        <v>605</v>
      </c>
      <c r="E200" s="274" t="s">
        <v>992</v>
      </c>
      <c r="F200" s="13"/>
      <c r="G200" s="276" t="s">
        <v>316</v>
      </c>
      <c r="H200" s="235" t="s">
        <v>706</v>
      </c>
      <c r="I200" s="13"/>
      <c r="J200" s="13"/>
      <c r="K200" s="16"/>
      <c r="AQ200"/>
      <c r="AR200"/>
      <c r="AS200"/>
      <c r="AT200"/>
      <c r="AU200"/>
      <c r="AV200"/>
    </row>
    <row r="201" spans="2:48">
      <c r="B201" s="26">
        <v>196</v>
      </c>
      <c r="C201" s="228" t="s">
        <v>854</v>
      </c>
      <c r="D201" s="229" t="s">
        <v>606</v>
      </c>
      <c r="E201" s="274" t="s">
        <v>992</v>
      </c>
      <c r="F201" s="13"/>
      <c r="G201" s="276" t="s">
        <v>323</v>
      </c>
      <c r="H201" s="235" t="s">
        <v>706</v>
      </c>
      <c r="I201" s="13"/>
      <c r="J201" s="13"/>
      <c r="K201" s="16"/>
      <c r="AQ201"/>
      <c r="AR201"/>
      <c r="AS201"/>
      <c r="AT201"/>
      <c r="AU201"/>
      <c r="AV201"/>
    </row>
    <row r="202" spans="2:48">
      <c r="B202" s="26">
        <v>197</v>
      </c>
      <c r="C202" s="228" t="s">
        <v>857</v>
      </c>
      <c r="D202" s="229" t="s">
        <v>607</v>
      </c>
      <c r="E202" s="274" t="s">
        <v>992</v>
      </c>
      <c r="F202" s="13"/>
      <c r="G202" s="276" t="s">
        <v>327</v>
      </c>
      <c r="H202" s="235" t="s">
        <v>706</v>
      </c>
      <c r="I202" s="13"/>
      <c r="J202" s="13"/>
      <c r="K202" s="16"/>
      <c r="AQ202"/>
      <c r="AR202"/>
      <c r="AS202"/>
      <c r="AT202"/>
      <c r="AU202"/>
      <c r="AV202"/>
    </row>
    <row r="203" spans="2:48">
      <c r="B203" s="26">
        <v>198</v>
      </c>
      <c r="C203" s="228" t="s">
        <v>7</v>
      </c>
      <c r="D203" s="229" t="s">
        <v>608</v>
      </c>
      <c r="E203" s="274" t="s">
        <v>992</v>
      </c>
      <c r="F203" s="13"/>
      <c r="G203" s="276" t="s">
        <v>326</v>
      </c>
      <c r="H203" s="235" t="s">
        <v>706</v>
      </c>
      <c r="I203" s="13"/>
      <c r="J203" s="13"/>
      <c r="K203" s="16"/>
      <c r="AQ203"/>
      <c r="AR203"/>
      <c r="AS203"/>
      <c r="AT203"/>
      <c r="AU203"/>
      <c r="AV203"/>
    </row>
    <row r="204" spans="2:48">
      <c r="B204" s="26">
        <v>199</v>
      </c>
      <c r="C204" s="228" t="s">
        <v>817</v>
      </c>
      <c r="D204" s="229" t="s">
        <v>507</v>
      </c>
      <c r="E204" s="13"/>
      <c r="F204" s="13"/>
      <c r="G204" s="13"/>
      <c r="H204" s="235" t="s">
        <v>706</v>
      </c>
      <c r="I204" s="13"/>
      <c r="J204" s="13"/>
      <c r="K204" s="16"/>
      <c r="AQ204"/>
      <c r="AR204"/>
      <c r="AS204"/>
      <c r="AT204"/>
      <c r="AU204"/>
      <c r="AV204"/>
    </row>
    <row r="205" spans="2:48">
      <c r="B205" s="26">
        <v>200</v>
      </c>
      <c r="C205" s="228" t="s">
        <v>818</v>
      </c>
      <c r="D205" s="229" t="s">
        <v>508</v>
      </c>
      <c r="E205" s="13"/>
      <c r="F205" s="13"/>
      <c r="G205" s="13"/>
      <c r="H205" s="235" t="s">
        <v>706</v>
      </c>
      <c r="I205" s="13"/>
      <c r="J205" s="13"/>
      <c r="K205" s="16"/>
      <c r="AQ205"/>
      <c r="AR205"/>
      <c r="AS205"/>
      <c r="AT205"/>
      <c r="AU205"/>
      <c r="AV205"/>
    </row>
    <row r="206" spans="2:48">
      <c r="B206" s="26">
        <v>201</v>
      </c>
      <c r="C206" s="228" t="s">
        <v>821</v>
      </c>
      <c r="D206" s="229" t="s">
        <v>509</v>
      </c>
      <c r="E206" s="274" t="s">
        <v>992</v>
      </c>
      <c r="F206" s="271"/>
      <c r="G206" s="276" t="s">
        <v>297</v>
      </c>
      <c r="H206" s="235" t="s">
        <v>706</v>
      </c>
      <c r="I206" s="13"/>
      <c r="J206" s="13"/>
      <c r="K206" s="16"/>
      <c r="AQ206"/>
      <c r="AR206"/>
      <c r="AS206"/>
      <c r="AT206"/>
      <c r="AU206"/>
      <c r="AV206"/>
    </row>
    <row r="207" spans="2:48">
      <c r="B207" s="26">
        <v>202</v>
      </c>
      <c r="C207" s="228" t="s">
        <v>3</v>
      </c>
      <c r="D207" s="229" t="s">
        <v>510</v>
      </c>
      <c r="E207" s="274" t="s">
        <v>992</v>
      </c>
      <c r="F207" s="271"/>
      <c r="G207" s="276" t="s">
        <v>306</v>
      </c>
      <c r="H207" s="235" t="s">
        <v>706</v>
      </c>
      <c r="I207" s="13"/>
      <c r="J207" s="13"/>
      <c r="K207" s="16"/>
      <c r="AQ207"/>
      <c r="AR207"/>
      <c r="AS207"/>
      <c r="AT207"/>
      <c r="AU207"/>
      <c r="AV207"/>
    </row>
    <row r="208" spans="2:48">
      <c r="B208" s="26">
        <v>203</v>
      </c>
      <c r="C208" s="228" t="s">
        <v>824</v>
      </c>
      <c r="D208" s="230" t="s">
        <v>531</v>
      </c>
      <c r="E208" s="274" t="s">
        <v>992</v>
      </c>
      <c r="F208" s="274"/>
      <c r="G208" s="276" t="s">
        <v>300</v>
      </c>
      <c r="H208" s="235" t="s">
        <v>706</v>
      </c>
      <c r="I208" s="13"/>
      <c r="J208" s="13"/>
      <c r="K208" s="16"/>
      <c r="AQ208"/>
      <c r="AR208"/>
      <c r="AS208"/>
      <c r="AT208"/>
      <c r="AU208"/>
      <c r="AV208"/>
    </row>
    <row r="209" spans="2:48">
      <c r="B209" s="26">
        <v>204</v>
      </c>
      <c r="C209" s="228" t="s">
        <v>825</v>
      </c>
      <c r="D209" s="230" t="s">
        <v>532</v>
      </c>
      <c r="E209" s="274" t="s">
        <v>992</v>
      </c>
      <c r="F209" s="274"/>
      <c r="G209" s="276" t="s">
        <v>299</v>
      </c>
      <c r="H209" s="235" t="s">
        <v>706</v>
      </c>
      <c r="I209" s="13"/>
      <c r="J209" s="13"/>
      <c r="K209" s="16"/>
      <c r="AQ209"/>
      <c r="AR209"/>
      <c r="AS209"/>
      <c r="AT209"/>
      <c r="AU209"/>
      <c r="AV209"/>
    </row>
    <row r="210" spans="2:48">
      <c r="B210" s="26">
        <v>205</v>
      </c>
      <c r="C210" s="228" t="s">
        <v>828</v>
      </c>
      <c r="D210" s="230" t="s">
        <v>533</v>
      </c>
      <c r="E210" s="274" t="s">
        <v>992</v>
      </c>
      <c r="F210" s="274"/>
      <c r="G210" s="276" t="s">
        <v>307</v>
      </c>
      <c r="H210" s="235" t="s">
        <v>706</v>
      </c>
      <c r="I210" s="13"/>
      <c r="J210" s="13"/>
      <c r="K210" s="16"/>
      <c r="AQ210"/>
      <c r="AR210"/>
      <c r="AS210"/>
      <c r="AT210"/>
      <c r="AU210"/>
      <c r="AV210"/>
    </row>
    <row r="211" spans="2:48">
      <c r="B211" s="26">
        <v>206</v>
      </c>
      <c r="C211" s="228" t="s">
        <v>829</v>
      </c>
      <c r="D211" s="230" t="s">
        <v>534</v>
      </c>
      <c r="E211" s="274" t="s">
        <v>992</v>
      </c>
      <c r="F211" s="274"/>
      <c r="G211" s="276" t="s">
        <v>298</v>
      </c>
      <c r="H211" s="235" t="s">
        <v>706</v>
      </c>
      <c r="I211" s="13"/>
      <c r="J211" s="13"/>
      <c r="K211" s="16"/>
      <c r="AQ211"/>
      <c r="AR211"/>
      <c r="AS211"/>
      <c r="AT211"/>
      <c r="AU211"/>
      <c r="AV211"/>
    </row>
    <row r="212" spans="2:48">
      <c r="B212" s="26">
        <v>207</v>
      </c>
      <c r="C212" s="228" t="s">
        <v>835</v>
      </c>
      <c r="D212" s="230" t="s">
        <v>555</v>
      </c>
      <c r="E212" s="274" t="s">
        <v>992</v>
      </c>
      <c r="F212" s="274"/>
      <c r="G212" s="276" t="s">
        <v>322</v>
      </c>
      <c r="H212" s="235" t="s">
        <v>706</v>
      </c>
      <c r="I212" s="13"/>
      <c r="J212" s="13"/>
      <c r="K212" s="16"/>
      <c r="AQ212"/>
      <c r="AR212"/>
      <c r="AS212"/>
      <c r="AT212"/>
      <c r="AU212"/>
      <c r="AV212"/>
    </row>
    <row r="213" spans="2:48">
      <c r="B213" s="26">
        <v>208</v>
      </c>
      <c r="C213" s="228" t="s">
        <v>836</v>
      </c>
      <c r="D213" s="230" t="s">
        <v>556</v>
      </c>
      <c r="E213" s="274" t="s">
        <v>992</v>
      </c>
      <c r="F213" s="274"/>
      <c r="G213" s="276" t="s">
        <v>315</v>
      </c>
      <c r="H213" s="235" t="s">
        <v>706</v>
      </c>
      <c r="I213" s="13"/>
      <c r="J213" s="13"/>
      <c r="K213" s="16"/>
      <c r="AQ213"/>
      <c r="AR213"/>
      <c r="AS213"/>
      <c r="AT213"/>
      <c r="AU213"/>
      <c r="AV213"/>
    </row>
    <row r="214" spans="2:48">
      <c r="B214" s="26">
        <v>209</v>
      </c>
      <c r="C214" s="228" t="s">
        <v>839</v>
      </c>
      <c r="D214" s="229" t="s">
        <v>557</v>
      </c>
      <c r="E214" s="184"/>
      <c r="F214" s="184"/>
      <c r="G214" s="244"/>
      <c r="H214" s="235" t="s">
        <v>706</v>
      </c>
      <c r="I214" s="13"/>
      <c r="J214" s="13"/>
      <c r="K214" s="16"/>
      <c r="AQ214"/>
      <c r="AR214"/>
      <c r="AS214"/>
      <c r="AT214"/>
      <c r="AU214"/>
      <c r="AV214"/>
    </row>
    <row r="215" spans="2:48">
      <c r="B215" s="26">
        <v>210</v>
      </c>
      <c r="C215" s="228" t="s">
        <v>5</v>
      </c>
      <c r="D215" s="229" t="s">
        <v>558</v>
      </c>
      <c r="E215" s="184"/>
      <c r="F215" s="184"/>
      <c r="G215" s="244"/>
      <c r="H215" s="235" t="s">
        <v>706</v>
      </c>
      <c r="I215" s="13"/>
      <c r="J215" s="13"/>
      <c r="K215" s="16"/>
      <c r="AQ215"/>
      <c r="AR215"/>
      <c r="AS215"/>
      <c r="AT215"/>
      <c r="AU215"/>
      <c r="AV215"/>
    </row>
    <row r="216" spans="2:48">
      <c r="B216" s="26">
        <v>211</v>
      </c>
      <c r="C216" s="228" t="s">
        <v>842</v>
      </c>
      <c r="D216" s="229" t="s">
        <v>579</v>
      </c>
      <c r="E216" s="274" t="s">
        <v>992</v>
      </c>
      <c r="F216" s="13"/>
      <c r="G216" s="276" t="s">
        <v>308</v>
      </c>
      <c r="H216" s="235" t="s">
        <v>706</v>
      </c>
      <c r="I216" s="13"/>
      <c r="J216" s="13"/>
      <c r="K216" s="16"/>
      <c r="AQ216"/>
      <c r="AR216"/>
      <c r="AS216"/>
      <c r="AT216"/>
      <c r="AU216"/>
      <c r="AV216"/>
    </row>
    <row r="217" spans="2:48">
      <c r="B217" s="26">
        <v>212</v>
      </c>
      <c r="C217" s="228" t="s">
        <v>843</v>
      </c>
      <c r="D217" s="229" t="s">
        <v>580</v>
      </c>
      <c r="E217" s="274" t="s">
        <v>992</v>
      </c>
      <c r="F217" s="13"/>
      <c r="G217" s="276" t="s">
        <v>309</v>
      </c>
      <c r="H217" s="235" t="s">
        <v>706</v>
      </c>
      <c r="I217" s="13"/>
      <c r="J217" s="13"/>
      <c r="K217" s="16"/>
      <c r="AQ217"/>
      <c r="AR217"/>
      <c r="AS217"/>
      <c r="AT217"/>
      <c r="AU217"/>
      <c r="AV217"/>
    </row>
    <row r="218" spans="2:48">
      <c r="B218" s="26">
        <v>213</v>
      </c>
      <c r="C218" s="228" t="s">
        <v>846</v>
      </c>
      <c r="D218" s="229" t="s">
        <v>581</v>
      </c>
      <c r="E218" s="274" t="s">
        <v>992</v>
      </c>
      <c r="F218" s="13"/>
      <c r="G218" s="276" t="s">
        <v>324</v>
      </c>
      <c r="H218" s="235" t="s">
        <v>706</v>
      </c>
      <c r="I218" s="13"/>
      <c r="J218" s="13"/>
      <c r="K218" s="16"/>
      <c r="AQ218"/>
      <c r="AR218"/>
      <c r="AS218"/>
      <c r="AT218"/>
      <c r="AU218"/>
      <c r="AV218"/>
    </row>
    <row r="219" spans="2:48">
      <c r="B219" s="26">
        <v>214</v>
      </c>
      <c r="C219" s="228" t="s">
        <v>847</v>
      </c>
      <c r="D219" s="229" t="s">
        <v>582</v>
      </c>
      <c r="E219" s="274" t="s">
        <v>992</v>
      </c>
      <c r="F219" s="13"/>
      <c r="G219" s="276" t="s">
        <v>325</v>
      </c>
      <c r="H219" s="235" t="s">
        <v>706</v>
      </c>
      <c r="I219" s="13"/>
      <c r="J219" s="13"/>
      <c r="K219" s="16"/>
      <c r="AQ219"/>
      <c r="AR219"/>
      <c r="AS219"/>
      <c r="AT219"/>
      <c r="AU219"/>
      <c r="AV219"/>
    </row>
    <row r="220" spans="2:48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  <c r="AQ220"/>
      <c r="AR220"/>
      <c r="AS220"/>
      <c r="AT220"/>
      <c r="AU220"/>
      <c r="AV220"/>
    </row>
    <row r="221" spans="2:48">
      <c r="B221" s="26">
        <v>216</v>
      </c>
      <c r="C221" s="228" t="s">
        <v>269</v>
      </c>
      <c r="D221" s="280" t="s">
        <v>654</v>
      </c>
      <c r="E221" s="275" t="s">
        <v>993</v>
      </c>
      <c r="F221" s="271"/>
      <c r="G221" s="276" t="s">
        <v>273</v>
      </c>
      <c r="H221" s="13"/>
      <c r="I221" s="13"/>
      <c r="J221" s="13"/>
      <c r="K221" s="16"/>
      <c r="AQ221"/>
      <c r="AR221"/>
      <c r="AS221"/>
      <c r="AT221"/>
      <c r="AU221"/>
      <c r="AV221"/>
    </row>
    <row r="222" spans="2:48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  <c r="AQ222"/>
      <c r="AR222"/>
      <c r="AS222"/>
      <c r="AT222"/>
      <c r="AU222"/>
      <c r="AV222"/>
    </row>
    <row r="223" spans="2:48">
      <c r="B223" s="26">
        <v>218</v>
      </c>
      <c r="C223" s="228" t="s">
        <v>795</v>
      </c>
      <c r="D223" s="280" t="s">
        <v>656</v>
      </c>
      <c r="E223" s="275" t="s">
        <v>993</v>
      </c>
      <c r="F223" s="275"/>
      <c r="G223" s="276" t="s">
        <v>952</v>
      </c>
      <c r="H223" s="13"/>
      <c r="I223" s="13"/>
      <c r="J223" s="13"/>
      <c r="K223" s="16"/>
      <c r="AQ223"/>
      <c r="AR223"/>
      <c r="AS223"/>
      <c r="AT223"/>
      <c r="AU223"/>
      <c r="AV223"/>
    </row>
    <row r="224" spans="2:48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  <c r="AQ224"/>
      <c r="AR224"/>
      <c r="AS224"/>
      <c r="AT224"/>
      <c r="AU224"/>
      <c r="AV224"/>
    </row>
    <row r="225" spans="2:48">
      <c r="B225" s="26">
        <v>220</v>
      </c>
      <c r="C225" s="228" t="s">
        <v>799</v>
      </c>
      <c r="D225" s="280" t="s">
        <v>658</v>
      </c>
      <c r="E225" s="274" t="s">
        <v>992</v>
      </c>
      <c r="F225" s="271"/>
      <c r="G225" s="276" t="s">
        <v>952</v>
      </c>
      <c r="H225" s="13"/>
      <c r="I225" s="13"/>
      <c r="J225" s="13"/>
      <c r="K225" s="16"/>
      <c r="AQ225"/>
      <c r="AR225"/>
      <c r="AS225"/>
      <c r="AT225"/>
      <c r="AU225"/>
      <c r="AV225"/>
    </row>
    <row r="226" spans="2:48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  <c r="AQ226"/>
      <c r="AR226"/>
      <c r="AS226"/>
      <c r="AT226"/>
      <c r="AU226"/>
      <c r="AV226"/>
    </row>
    <row r="227" spans="2:48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  <c r="AQ227"/>
      <c r="AR227"/>
      <c r="AS227"/>
      <c r="AT227"/>
      <c r="AU227"/>
      <c r="AV227"/>
    </row>
    <row r="228" spans="2:48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  <c r="AQ228"/>
      <c r="AR228"/>
      <c r="AS228"/>
      <c r="AT228"/>
      <c r="AU228"/>
      <c r="AV228"/>
    </row>
    <row r="229" spans="2:48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  <c r="AU229"/>
      <c r="AV229"/>
    </row>
    <row r="230" spans="2:48">
      <c r="B230" s="26">
        <v>225</v>
      </c>
      <c r="C230" s="259" t="s">
        <v>39</v>
      </c>
      <c r="D230" s="306" t="s">
        <v>664</v>
      </c>
      <c r="E230" s="275" t="s">
        <v>993</v>
      </c>
      <c r="F230" s="5"/>
      <c r="G230" s="276" t="s">
        <v>233</v>
      </c>
      <c r="H230" s="5"/>
      <c r="I230" s="5"/>
      <c r="J230" s="5"/>
      <c r="K230" s="14"/>
      <c r="AU230"/>
      <c r="AV230"/>
    </row>
    <row r="231" spans="2:48">
      <c r="B231" s="26">
        <v>226</v>
      </c>
      <c r="C231" s="259" t="s">
        <v>79</v>
      </c>
      <c r="D231" s="306" t="s">
        <v>666</v>
      </c>
      <c r="E231" s="5"/>
      <c r="F231" s="5"/>
      <c r="G231" s="5"/>
      <c r="H231" s="5"/>
      <c r="I231" s="5"/>
      <c r="J231" s="5"/>
      <c r="K231" s="14"/>
      <c r="AU231"/>
      <c r="AV231"/>
    </row>
    <row r="232" spans="2:48">
      <c r="B232" s="26">
        <v>227</v>
      </c>
      <c r="C232" s="259" t="s">
        <v>119</v>
      </c>
      <c r="D232" s="306" t="s">
        <v>668</v>
      </c>
      <c r="E232" s="275" t="s">
        <v>993</v>
      </c>
      <c r="F232" s="5"/>
      <c r="G232" s="276" t="s">
        <v>955</v>
      </c>
      <c r="H232" s="5"/>
      <c r="I232" s="5"/>
      <c r="J232" s="5"/>
      <c r="K232" s="14"/>
      <c r="AU232"/>
      <c r="AV232"/>
    </row>
    <row r="233" spans="2:48">
      <c r="B233" s="26">
        <v>228</v>
      </c>
      <c r="C233" s="259" t="s">
        <v>153</v>
      </c>
      <c r="D233" s="307" t="s">
        <v>670</v>
      </c>
      <c r="E233" s="13"/>
      <c r="F233" s="13"/>
      <c r="G233" s="256"/>
      <c r="H233" s="5"/>
      <c r="I233" s="5"/>
      <c r="J233" s="5"/>
      <c r="K233" s="14"/>
      <c r="AU233"/>
      <c r="AV233"/>
    </row>
    <row r="234" spans="2:48">
      <c r="B234" s="26">
        <v>229</v>
      </c>
      <c r="C234" s="228" t="s">
        <v>802</v>
      </c>
      <c r="D234" s="307" t="s">
        <v>672</v>
      </c>
      <c r="E234" s="274" t="s">
        <v>992</v>
      </c>
      <c r="F234" s="271"/>
      <c r="G234" s="276" t="s">
        <v>955</v>
      </c>
      <c r="H234" s="13"/>
      <c r="I234" s="13"/>
      <c r="J234" s="13"/>
      <c r="K234" s="16"/>
      <c r="AU234"/>
      <c r="AV234"/>
    </row>
    <row r="235" spans="2:48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48">
      <c r="B236" s="26">
        <v>231</v>
      </c>
      <c r="C236" s="259" t="s">
        <v>49</v>
      </c>
      <c r="D236" s="306" t="s">
        <v>663</v>
      </c>
      <c r="E236" s="275" t="s">
        <v>993</v>
      </c>
      <c r="F236" s="5"/>
      <c r="G236" s="276" t="s">
        <v>226</v>
      </c>
      <c r="H236" s="5"/>
      <c r="I236" s="5"/>
      <c r="J236" s="5"/>
      <c r="K236" s="309"/>
    </row>
    <row r="237" spans="2:48">
      <c r="B237" s="26">
        <v>232</v>
      </c>
      <c r="C237" s="259" t="s">
        <v>89</v>
      </c>
      <c r="D237" s="306" t="s">
        <v>665</v>
      </c>
      <c r="E237" s="5"/>
      <c r="F237" s="5"/>
      <c r="G237" s="5"/>
      <c r="H237" s="5"/>
      <c r="I237" s="5"/>
      <c r="J237" s="5"/>
      <c r="K237" s="309"/>
    </row>
    <row r="238" spans="2:48">
      <c r="B238" s="26">
        <v>233</v>
      </c>
      <c r="C238" s="259" t="s">
        <v>129</v>
      </c>
      <c r="D238" s="306" t="s">
        <v>667</v>
      </c>
      <c r="E238" s="275" t="s">
        <v>993</v>
      </c>
      <c r="F238" s="5"/>
      <c r="G238" s="276" t="s">
        <v>954</v>
      </c>
      <c r="H238" s="5"/>
      <c r="I238" s="5"/>
      <c r="J238" s="5"/>
      <c r="K238" s="309"/>
    </row>
    <row r="239" spans="2:48">
      <c r="B239" s="26">
        <v>234</v>
      </c>
      <c r="C239" s="228" t="s">
        <v>161</v>
      </c>
      <c r="D239" s="306" t="s">
        <v>669</v>
      </c>
      <c r="E239" s="5"/>
      <c r="F239" s="5"/>
      <c r="G239" s="5"/>
      <c r="H239" s="13"/>
      <c r="I239" s="13"/>
      <c r="J239" s="271"/>
      <c r="K239" s="311"/>
    </row>
    <row r="240" spans="2:48">
      <c r="B240" s="26">
        <v>235</v>
      </c>
      <c r="C240" s="228" t="s">
        <v>803</v>
      </c>
      <c r="D240" s="307" t="s">
        <v>671</v>
      </c>
      <c r="E240" s="274" t="s">
        <v>992</v>
      </c>
      <c r="F240" s="271"/>
      <c r="G240" s="276" t="s">
        <v>954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5" t="s">
        <v>993</v>
      </c>
      <c r="F242" s="275"/>
      <c r="G242" s="276" t="s">
        <v>277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5" t="s">
        <v>993</v>
      </c>
      <c r="F244" s="13"/>
      <c r="G244" s="276" t="s">
        <v>953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4" t="s">
        <v>992</v>
      </c>
      <c r="F246" s="13"/>
      <c r="G246" s="276" t="s">
        <v>953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973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973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973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973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973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973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972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972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972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972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972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972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993</v>
      </c>
      <c r="F396" s="13"/>
      <c r="G396" s="276" t="s">
        <v>278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993</v>
      </c>
      <c r="F397" s="13"/>
      <c r="G397" s="276" t="s">
        <v>279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4" t="s">
        <v>993</v>
      </c>
      <c r="F400" s="344"/>
      <c r="G400" s="276" t="s">
        <v>950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4" t="s">
        <v>993</v>
      </c>
      <c r="F401" s="344"/>
      <c r="G401" s="276" t="s">
        <v>951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4" t="s">
        <v>992</v>
      </c>
      <c r="F404" s="13"/>
      <c r="G404" s="276" t="s">
        <v>950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74" t="s">
        <v>992</v>
      </c>
      <c r="F405" s="13"/>
      <c r="G405" s="276" t="s">
        <v>951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G398:G399">
    <cfRule type="expression" dxfId="3300" priority="400">
      <formula>MOD(ROW(),2)=0</formula>
    </cfRule>
  </conditionalFormatting>
  <conditionalFormatting sqref="E398:E399">
    <cfRule type="expression" dxfId="3299" priority="399">
      <formula>MOD(ROW(),2)=0</formula>
    </cfRule>
  </conditionalFormatting>
  <conditionalFormatting sqref="C401:C405">
    <cfRule type="expression" dxfId="3298" priority="398">
      <formula>MOD(ROW(),2)=0</formula>
    </cfRule>
  </conditionalFormatting>
  <conditionalFormatting sqref="C6:C400">
    <cfRule type="expression" dxfId="3297" priority="397">
      <formula>MOD(ROW(),2)=0</formula>
    </cfRule>
  </conditionalFormatting>
  <conditionalFormatting sqref="G60:G61">
    <cfRule type="expression" dxfId="3296" priority="396">
      <formula>MOD(ROW(),2)=0</formula>
    </cfRule>
  </conditionalFormatting>
  <conditionalFormatting sqref="G62:G63">
    <cfRule type="expression" dxfId="3295" priority="395">
      <formula>MOD(ROW(),2)=0</formula>
    </cfRule>
  </conditionalFormatting>
  <conditionalFormatting sqref="G64:G65">
    <cfRule type="expression" dxfId="3294" priority="394">
      <formula>MOD(ROW(),2)=0</formula>
    </cfRule>
  </conditionalFormatting>
  <conditionalFormatting sqref="F77:F83">
    <cfRule type="expression" dxfId="3293" priority="386">
      <formula>MOD(ROW(),2)=0</formula>
    </cfRule>
  </conditionalFormatting>
  <conditionalFormatting sqref="G72:G73">
    <cfRule type="expression" dxfId="3292" priority="385">
      <formula>MOD(ROW(),2)=0</formula>
    </cfRule>
  </conditionalFormatting>
  <conditionalFormatting sqref="G76:G77">
    <cfRule type="expression" dxfId="3291" priority="383">
      <formula>MOD(ROW(),2)=0</formula>
    </cfRule>
  </conditionalFormatting>
  <conditionalFormatting sqref="G78:G79">
    <cfRule type="expression" dxfId="3290" priority="381">
      <formula>MOD(ROW(),2)=0</formula>
    </cfRule>
  </conditionalFormatting>
  <conditionalFormatting sqref="G84:G85">
    <cfRule type="expression" dxfId="3289" priority="376">
      <formula>MOD(ROW(),2)=0</formula>
    </cfRule>
  </conditionalFormatting>
  <conditionalFormatting sqref="G267">
    <cfRule type="expression" dxfId="3288" priority="349">
      <formula>MOD(ROW(),2)=0</formula>
    </cfRule>
  </conditionalFormatting>
  <conditionalFormatting sqref="G281">
    <cfRule type="expression" dxfId="3287" priority="348">
      <formula>MOD(ROW(),2)=0</formula>
    </cfRule>
  </conditionalFormatting>
  <conditionalFormatting sqref="F243">
    <cfRule type="expression" dxfId="3284" priority="333">
      <formula>MOD(ROW(),2)=0</formula>
    </cfRule>
  </conditionalFormatting>
  <conditionalFormatting sqref="E243">
    <cfRule type="expression" dxfId="3283" priority="332">
      <formula>MOD(ROW(),2)=0</formula>
    </cfRule>
  </conditionalFormatting>
  <conditionalFormatting sqref="G245">
    <cfRule type="expression" dxfId="3282" priority="329">
      <formula>MOD(ROW(),2)=0</formula>
    </cfRule>
  </conditionalFormatting>
  <conditionalFormatting sqref="E245">
    <cfRule type="expression" dxfId="3281" priority="328">
      <formula>MOD(ROW(),2)=0</formula>
    </cfRule>
  </conditionalFormatting>
  <conditionalFormatting sqref="F246">
    <cfRule type="expression" dxfId="3280" priority="327">
      <formula>MOD(ROW(),2)=0</formula>
    </cfRule>
  </conditionalFormatting>
  <conditionalFormatting sqref="F247">
    <cfRule type="expression" dxfId="3279" priority="324">
      <formula>MOD(ROW(),2)=0</formula>
    </cfRule>
  </conditionalFormatting>
  <conditionalFormatting sqref="E247">
    <cfRule type="expression" dxfId="3278" priority="323">
      <formula>MOD(ROW(),2)=0</formula>
    </cfRule>
  </conditionalFormatting>
  <conditionalFormatting sqref="F248">
    <cfRule type="expression" dxfId="3277" priority="322">
      <formula>MOD(ROW(),2)=0</formula>
    </cfRule>
  </conditionalFormatting>
  <conditionalFormatting sqref="E248">
    <cfRule type="expression" dxfId="3276" priority="321">
      <formula>MOD(ROW(),2)=0</formula>
    </cfRule>
  </conditionalFormatting>
  <conditionalFormatting sqref="G241">
    <cfRule type="expression" dxfId="3273" priority="314">
      <formula>MOD(ROW(),2)=0</formula>
    </cfRule>
  </conditionalFormatting>
  <conditionalFormatting sqref="E241">
    <cfRule type="expression" dxfId="3272" priority="313">
      <formula>MOD(ROW(),2)=0</formula>
    </cfRule>
  </conditionalFormatting>
  <conditionalFormatting sqref="E56">
    <cfRule type="expression" dxfId="3271" priority="312">
      <formula>MOD(ROW(),2)=0</formula>
    </cfRule>
  </conditionalFormatting>
  <conditionalFormatting sqref="G283">
    <cfRule type="expression" dxfId="3270" priority="310">
      <formula>MOD(ROW(),2)=0</formula>
    </cfRule>
  </conditionalFormatting>
  <conditionalFormatting sqref="E283">
    <cfRule type="expression" dxfId="3269" priority="309">
      <formula>MOD(ROW(),2)=0</formula>
    </cfRule>
  </conditionalFormatting>
  <conditionalFormatting sqref="E288">
    <cfRule type="expression" dxfId="3268" priority="308">
      <formula>MOD(ROW(),2)=0</formula>
    </cfRule>
  </conditionalFormatting>
  <conditionalFormatting sqref="G289">
    <cfRule type="expression" dxfId="3267" priority="307">
      <formula>MOD(ROW(),2)=0</formula>
    </cfRule>
  </conditionalFormatting>
  <conditionalFormatting sqref="G290">
    <cfRule type="expression" dxfId="3266" priority="306">
      <formula>MOD(ROW(),2)=0</formula>
    </cfRule>
  </conditionalFormatting>
  <conditionalFormatting sqref="E289">
    <cfRule type="expression" dxfId="3265" priority="305">
      <formula>MOD(ROW(),2)=0</formula>
    </cfRule>
  </conditionalFormatting>
  <conditionalFormatting sqref="E290">
    <cfRule type="expression" dxfId="3264" priority="304">
      <formula>MOD(ROW(),2)=0</formula>
    </cfRule>
  </conditionalFormatting>
  <conditionalFormatting sqref="G180">
    <cfRule type="expression" dxfId="3263" priority="297">
      <formula>MOD(ROW(),2)=0</formula>
    </cfRule>
  </conditionalFormatting>
  <conditionalFormatting sqref="G181">
    <cfRule type="expression" dxfId="3262" priority="296">
      <formula>MOD(ROW(),2)=0</formula>
    </cfRule>
  </conditionalFormatting>
  <conditionalFormatting sqref="G224:H224 H223 G226:H226 H225">
    <cfRule type="expression" dxfId="3261" priority="294">
      <formula>MOD(ROW(),2)=0</formula>
    </cfRule>
  </conditionalFormatting>
  <conditionalFormatting sqref="H227:H230">
    <cfRule type="expression" dxfId="3260" priority="293">
      <formula>MOD(ROW(),2)=0</formula>
    </cfRule>
  </conditionalFormatting>
  <conditionalFormatting sqref="G227:G228">
    <cfRule type="expression" dxfId="3259" priority="292">
      <formula>MOD(ROW(),2)=0</formula>
    </cfRule>
  </conditionalFormatting>
  <conditionalFormatting sqref="F284">
    <cfRule type="expression" dxfId="3258" priority="288">
      <formula>MOD(ROW(),2)=0</formula>
    </cfRule>
  </conditionalFormatting>
  <conditionalFormatting sqref="G284">
    <cfRule type="expression" dxfId="3257" priority="287">
      <formula>MOD(ROW(),2)=0</formula>
    </cfRule>
  </conditionalFormatting>
  <conditionalFormatting sqref="E284">
    <cfRule type="expression" dxfId="3256" priority="286">
      <formula>MOD(ROW(),2)=0</formula>
    </cfRule>
  </conditionalFormatting>
  <conditionalFormatting sqref="G289">
    <cfRule type="expression" dxfId="3255" priority="285">
      <formula>MOD(ROW(),2)=0</formula>
    </cfRule>
  </conditionalFormatting>
  <conditionalFormatting sqref="G290">
    <cfRule type="expression" dxfId="3254" priority="284">
      <formula>MOD(ROW(),2)=0</formula>
    </cfRule>
  </conditionalFormatting>
  <conditionalFormatting sqref="G287">
    <cfRule type="expression" dxfId="3253" priority="283">
      <formula>MOD(ROW(),2)=0</formula>
    </cfRule>
  </conditionalFormatting>
  <conditionalFormatting sqref="E287">
    <cfRule type="expression" dxfId="3252" priority="282">
      <formula>MOD(ROW(),2)=0</formula>
    </cfRule>
  </conditionalFormatting>
  <conditionalFormatting sqref="G288">
    <cfRule type="expression" dxfId="3251" priority="281">
      <formula>MOD(ROW(),2)=0</formula>
    </cfRule>
  </conditionalFormatting>
  <conditionalFormatting sqref="E291">
    <cfRule type="expression" dxfId="3250" priority="280">
      <formula>MOD(ROW(),2)=0</formula>
    </cfRule>
  </conditionalFormatting>
  <conditionalFormatting sqref="G291">
    <cfRule type="expression" dxfId="3249" priority="279">
      <formula>MOD(ROW(),2)=0</formula>
    </cfRule>
  </conditionalFormatting>
  <conditionalFormatting sqref="G293">
    <cfRule type="expression" dxfId="3248" priority="277">
      <formula>MOD(ROW(),2)=0</formula>
    </cfRule>
  </conditionalFormatting>
  <conditionalFormatting sqref="G294">
    <cfRule type="expression" dxfId="3247" priority="276">
      <formula>MOD(ROW(),2)=0</formula>
    </cfRule>
  </conditionalFormatting>
  <conditionalFormatting sqref="G285">
    <cfRule type="expression" dxfId="3246" priority="275">
      <formula>MOD(ROW(),2)=0</formula>
    </cfRule>
  </conditionalFormatting>
  <conditionalFormatting sqref="F247">
    <cfRule type="expression" dxfId="3245" priority="260">
      <formula>MOD(ROW(),2)=0</formula>
    </cfRule>
  </conditionalFormatting>
  <conditionalFormatting sqref="F248">
    <cfRule type="expression" dxfId="3244" priority="259">
      <formula>MOD(ROW(),2)=0</formula>
    </cfRule>
  </conditionalFormatting>
  <conditionalFormatting sqref="E248">
    <cfRule type="expression" dxfId="3243" priority="258">
      <formula>MOD(ROW(),2)=0</formula>
    </cfRule>
  </conditionalFormatting>
  <conditionalFormatting sqref="G245">
    <cfRule type="expression" dxfId="3242" priority="257">
      <formula>MOD(ROW(),2)=0</formula>
    </cfRule>
  </conditionalFormatting>
  <conditionalFormatting sqref="E247">
    <cfRule type="expression" dxfId="3241" priority="253">
      <formula>MOD(ROW(),2)=0</formula>
    </cfRule>
  </conditionalFormatting>
  <conditionalFormatting sqref="F249">
    <cfRule type="expression" dxfId="3240" priority="252">
      <formula>MOD(ROW(),2)=0</formula>
    </cfRule>
  </conditionalFormatting>
  <conditionalFormatting sqref="E249">
    <cfRule type="expression" dxfId="3239" priority="251">
      <formula>MOD(ROW(),2)=0</formula>
    </cfRule>
  </conditionalFormatting>
  <conditionalFormatting sqref="F250">
    <cfRule type="expression" dxfId="3238" priority="250">
      <formula>MOD(ROW(),2)=0</formula>
    </cfRule>
  </conditionalFormatting>
  <conditionalFormatting sqref="E250">
    <cfRule type="expression" dxfId="3237" priority="249">
      <formula>MOD(ROW(),2)=0</formula>
    </cfRule>
  </conditionalFormatting>
  <conditionalFormatting sqref="K58">
    <cfRule type="expression" dxfId="3232" priority="236">
      <formula>MOD(ROW(),2)=0</formula>
    </cfRule>
  </conditionalFormatting>
  <conditionalFormatting sqref="K59">
    <cfRule type="expression" dxfId="3231" priority="234">
      <formula>MOD(ROW(),2)=0</formula>
    </cfRule>
  </conditionalFormatting>
  <conditionalFormatting sqref="K252">
    <cfRule type="expression" dxfId="3230" priority="233">
      <formula>MOD(ROW(),2)=0</formula>
    </cfRule>
  </conditionalFormatting>
  <conditionalFormatting sqref="K254">
    <cfRule type="expression" dxfId="3229" priority="232">
      <formula>MOD(ROW(),2)=0</formula>
    </cfRule>
  </conditionalFormatting>
  <conditionalFormatting sqref="K235">
    <cfRule type="expression" dxfId="3228" priority="231">
      <formula>MOD(ROW(),2)=0</formula>
    </cfRule>
  </conditionalFormatting>
  <conditionalFormatting sqref="K89">
    <cfRule type="expression" dxfId="3227" priority="230">
      <formula>MOD(ROW(),2)=0</formula>
    </cfRule>
  </conditionalFormatting>
  <conditionalFormatting sqref="K243">
    <cfRule type="expression" dxfId="3226" priority="229">
      <formula>MOD(ROW(),2)=0</formula>
    </cfRule>
  </conditionalFormatting>
  <conditionalFormatting sqref="K90">
    <cfRule type="expression" dxfId="3225" priority="228">
      <formula>MOD(ROW(),2)=0</formula>
    </cfRule>
  </conditionalFormatting>
  <conditionalFormatting sqref="K56">
    <cfRule type="expression" dxfId="3224" priority="227">
      <formula>MOD(ROW(),2)=0</formula>
    </cfRule>
  </conditionalFormatting>
  <conditionalFormatting sqref="K283">
    <cfRule type="expression" dxfId="3223" priority="226">
      <formula>MOD(ROW(),2)=0</formula>
    </cfRule>
  </conditionalFormatting>
  <conditionalFormatting sqref="K284">
    <cfRule type="expression" dxfId="3222" priority="225">
      <formula>MOD(ROW(),2)=0</formula>
    </cfRule>
  </conditionalFormatting>
  <conditionalFormatting sqref="K88">
    <cfRule type="expression" dxfId="3221" priority="224">
      <formula>MOD(ROW(),2)=0</formula>
    </cfRule>
  </conditionalFormatting>
  <conditionalFormatting sqref="K295:K300">
    <cfRule type="expression" dxfId="3220" priority="223">
      <formula>MOD(ROW(),2)=0</formula>
    </cfRule>
  </conditionalFormatting>
  <conditionalFormatting sqref="E6:J55 E402:J403 F398:F399 E220:J220 E60:F63 F64 F255:F256 F269:F270 F275:F277 E257:F268 E271:F274 F244 F241:F242 E253:J254 E57:J59 F56:J56 E278:F282 F283 E295:J387 H60:J64 E223:F224 I223:J230 H255:J294 E292:F294 E285:F285 F286:F291 F214:G215 I65:J219 F209:F213 F216:F219 E400:F401 H388:J401 E388:F397 E222:J222 H221:J221 E221:F221 H404:J405 E226:F228 F225 E251:F252 H231:J252">
    <cfRule type="expression" dxfId="3219" priority="409">
      <formula>MOD(ROW(),2)=0</formula>
    </cfRule>
  </conditionalFormatting>
  <conditionalFormatting sqref="B6:B405">
    <cfRule type="expression" dxfId="3218" priority="408">
      <formula>MOD(ROW(),2)=0</formula>
    </cfRule>
  </conditionalFormatting>
  <conditionalFormatting sqref="D6:D228 D235:D405">
    <cfRule type="expression" dxfId="3217" priority="407">
      <formula>MOD(ROW(),2)=0</formula>
    </cfRule>
  </conditionalFormatting>
  <conditionalFormatting sqref="F100:G103 H65:H75 F148:G151 F190:G191 F94:G95 F206:F208 F204:G205 F200:F203 F84:F93 F96:F99 F124:G127 F104:F123 F128:F147 F172:G175 F166:G166 F158:F165 F167:F171 F156:G157 F152:F155 F196:G199 F192:F195 F176:F189 F65:F71">
    <cfRule type="expression" dxfId="3216" priority="406">
      <formula>MOD(ROW(),2)=0</formula>
    </cfRule>
  </conditionalFormatting>
  <conditionalFormatting sqref="G394:G395">
    <cfRule type="expression" dxfId="3215" priority="402">
      <formula>MOD(ROW(),2)=0</formula>
    </cfRule>
  </conditionalFormatting>
  <conditionalFormatting sqref="E64:E65">
    <cfRule type="expression" dxfId="3214" priority="393">
      <formula>MOD(ROW(),2)=0</formula>
    </cfRule>
  </conditionalFormatting>
  <conditionalFormatting sqref="G68:G69">
    <cfRule type="expression" dxfId="3213" priority="390">
      <formula>MOD(ROW(),2)=0</formula>
    </cfRule>
  </conditionalFormatting>
  <conditionalFormatting sqref="E68:E69">
    <cfRule type="expression" dxfId="3212" priority="389">
      <formula>MOD(ROW(),2)=0</formula>
    </cfRule>
  </conditionalFormatting>
  <conditionalFormatting sqref="E72:F73 F74:F76">
    <cfRule type="expression" dxfId="3211" priority="387">
      <formula>MOD(ROW(),2)=0</formula>
    </cfRule>
  </conditionalFormatting>
  <conditionalFormatting sqref="G255">
    <cfRule type="expression" dxfId="3210" priority="372">
      <formula>MOD(ROW(),2)=0</formula>
    </cfRule>
  </conditionalFormatting>
  <conditionalFormatting sqref="E255">
    <cfRule type="expression" dxfId="3209" priority="371">
      <formula>MOD(ROW(),2)=0</formula>
    </cfRule>
  </conditionalFormatting>
  <conditionalFormatting sqref="G269">
    <cfRule type="expression" dxfId="3208" priority="370">
      <formula>MOD(ROW(),2)=0</formula>
    </cfRule>
  </conditionalFormatting>
  <conditionalFormatting sqref="E269">
    <cfRule type="expression" dxfId="3207" priority="369">
      <formula>MOD(ROW(),2)=0</formula>
    </cfRule>
  </conditionalFormatting>
  <conditionalFormatting sqref="G256">
    <cfRule type="expression" dxfId="3206" priority="368">
      <formula>MOD(ROW(),2)=0</formula>
    </cfRule>
  </conditionalFormatting>
  <conditionalFormatting sqref="E256">
    <cfRule type="expression" dxfId="3205" priority="367">
      <formula>MOD(ROW(),2)=0</formula>
    </cfRule>
  </conditionalFormatting>
  <conditionalFormatting sqref="G270">
    <cfRule type="expression" dxfId="3204" priority="366">
      <formula>MOD(ROW(),2)=0</formula>
    </cfRule>
  </conditionalFormatting>
  <conditionalFormatting sqref="E270">
    <cfRule type="expression" dxfId="3203" priority="365">
      <formula>MOD(ROW(),2)=0</formula>
    </cfRule>
  </conditionalFormatting>
  <conditionalFormatting sqref="G261">
    <cfRule type="expression" dxfId="3202" priority="364">
      <formula>MOD(ROW(),2)=0</formula>
    </cfRule>
  </conditionalFormatting>
  <conditionalFormatting sqref="G275">
    <cfRule type="expression" dxfId="3201" priority="363">
      <formula>MOD(ROW(),2)=0</formula>
    </cfRule>
  </conditionalFormatting>
  <conditionalFormatting sqref="E275">
    <cfRule type="expression" dxfId="3200" priority="362">
      <formula>MOD(ROW(),2)=0</formula>
    </cfRule>
  </conditionalFormatting>
  <conditionalFormatting sqref="G262">
    <cfRule type="expression" dxfId="3199" priority="361">
      <formula>MOD(ROW(),2)=0</formula>
    </cfRule>
  </conditionalFormatting>
  <conditionalFormatting sqref="G276">
    <cfRule type="expression" dxfId="3198" priority="360">
      <formula>MOD(ROW(),2)=0</formula>
    </cfRule>
  </conditionalFormatting>
  <conditionalFormatting sqref="E276">
    <cfRule type="expression" dxfId="3197" priority="359">
      <formula>MOD(ROW(),2)=0</formula>
    </cfRule>
  </conditionalFormatting>
  <conditionalFormatting sqref="G263">
    <cfRule type="expression" dxfId="3196" priority="358">
      <formula>MOD(ROW(),2)=0</formula>
    </cfRule>
  </conditionalFormatting>
  <conditionalFormatting sqref="G277">
    <cfRule type="expression" dxfId="3195" priority="357">
      <formula>MOD(ROW(),2)=0</formula>
    </cfRule>
  </conditionalFormatting>
  <conditionalFormatting sqref="E277">
    <cfRule type="expression" dxfId="3194" priority="356">
      <formula>MOD(ROW(),2)=0</formula>
    </cfRule>
  </conditionalFormatting>
  <conditionalFormatting sqref="G264">
    <cfRule type="expression" dxfId="3193" priority="355">
      <formula>MOD(ROW(),2)=0</formula>
    </cfRule>
  </conditionalFormatting>
  <conditionalFormatting sqref="G278">
    <cfRule type="expression" dxfId="3192" priority="354">
      <formula>MOD(ROW(),2)=0</formula>
    </cfRule>
  </conditionalFormatting>
  <conditionalFormatting sqref="G265">
    <cfRule type="expression" dxfId="3191" priority="353">
      <formula>MOD(ROW(),2)=0</formula>
    </cfRule>
  </conditionalFormatting>
  <conditionalFormatting sqref="G279">
    <cfRule type="expression" dxfId="3190" priority="352">
      <formula>MOD(ROW(),2)=0</formula>
    </cfRule>
  </conditionalFormatting>
  <conditionalFormatting sqref="G266">
    <cfRule type="expression" dxfId="3189" priority="351">
      <formula>MOD(ROW(),2)=0</formula>
    </cfRule>
  </conditionalFormatting>
  <conditionalFormatting sqref="G280">
    <cfRule type="expression" dxfId="3188" priority="350">
      <formula>MOD(ROW(),2)=0</formula>
    </cfRule>
  </conditionalFormatting>
  <conditionalFormatting sqref="G268">
    <cfRule type="expression" dxfId="3187" priority="347">
      <formula>MOD(ROW(),2)=0</formula>
    </cfRule>
  </conditionalFormatting>
  <conditionalFormatting sqref="G282">
    <cfRule type="expression" dxfId="3186" priority="346">
      <formula>MOD(ROW(),2)=0</formula>
    </cfRule>
  </conditionalFormatting>
  <conditionalFormatting sqref="G257">
    <cfRule type="expression" dxfId="3185" priority="345">
      <formula>MOD(ROW(),2)=0</formula>
    </cfRule>
  </conditionalFormatting>
  <conditionalFormatting sqref="G271">
    <cfRule type="expression" dxfId="3184" priority="344">
      <formula>MOD(ROW(),2)=0</formula>
    </cfRule>
  </conditionalFormatting>
  <conditionalFormatting sqref="G258">
    <cfRule type="expression" dxfId="3183" priority="343">
      <formula>MOD(ROW(),2)=0</formula>
    </cfRule>
  </conditionalFormatting>
  <conditionalFormatting sqref="G272">
    <cfRule type="expression" dxfId="3182" priority="342">
      <formula>MOD(ROW(),2)=0</formula>
    </cfRule>
  </conditionalFormatting>
  <conditionalFormatting sqref="G259">
    <cfRule type="expression" dxfId="3181" priority="341">
      <formula>MOD(ROW(),2)=0</formula>
    </cfRule>
  </conditionalFormatting>
  <conditionalFormatting sqref="G273">
    <cfRule type="expression" dxfId="3180" priority="340">
      <formula>MOD(ROW(),2)=0</formula>
    </cfRule>
  </conditionalFormatting>
  <conditionalFormatting sqref="G260">
    <cfRule type="expression" dxfId="3179" priority="339">
      <formula>MOD(ROW(),2)=0</formula>
    </cfRule>
  </conditionalFormatting>
  <conditionalFormatting sqref="G274">
    <cfRule type="expression" dxfId="3178" priority="338">
      <formula>MOD(ROW(),2)=0</formula>
    </cfRule>
  </conditionalFormatting>
  <conditionalFormatting sqref="F245">
    <cfRule type="expression" dxfId="3177" priority="330">
      <formula>MOD(ROW(),2)=0</formula>
    </cfRule>
  </conditionalFormatting>
  <conditionalFormatting sqref="E286">
    <cfRule type="expression" dxfId="3176" priority="273">
      <formula>MOD(ROW(),2)=0</formula>
    </cfRule>
  </conditionalFormatting>
  <conditionalFormatting sqref="G167">
    <cfRule type="expression" dxfId="3175" priority="289">
      <formula>MOD(ROW(),2)=0</formula>
    </cfRule>
  </conditionalFormatting>
  <conditionalFormatting sqref="G292">
    <cfRule type="expression" dxfId="3174" priority="278">
      <formula>MOD(ROW(),2)=0</formula>
    </cfRule>
  </conditionalFormatting>
  <conditionalFormatting sqref="G286">
    <cfRule type="expression" dxfId="3173" priority="274">
      <formula>MOD(ROW(),2)=0</formula>
    </cfRule>
  </conditionalFormatting>
  <conditionalFormatting sqref="G243">
    <cfRule type="expression" dxfId="3171" priority="272">
      <formula>MOD(ROW(),2)=0</formula>
    </cfRule>
  </conditionalFormatting>
  <conditionalFormatting sqref="F243">
    <cfRule type="expression" dxfId="3170" priority="270">
      <formula>MOD(ROW(),2)=0</formula>
    </cfRule>
  </conditionalFormatting>
  <conditionalFormatting sqref="G243">
    <cfRule type="expression" dxfId="3169" priority="269">
      <formula>MOD(ROW(),2)=0</formula>
    </cfRule>
  </conditionalFormatting>
  <conditionalFormatting sqref="E243">
    <cfRule type="expression" dxfId="3168" priority="268">
      <formula>MOD(ROW(),2)=0</formula>
    </cfRule>
  </conditionalFormatting>
  <conditionalFormatting sqref="F244">
    <cfRule type="expression" dxfId="3167" priority="267">
      <formula>MOD(ROW(),2)=0</formula>
    </cfRule>
  </conditionalFormatting>
  <conditionalFormatting sqref="F245">
    <cfRule type="expression" dxfId="3166" priority="264">
      <formula>MOD(ROW(),2)=0</formula>
    </cfRule>
  </conditionalFormatting>
  <conditionalFormatting sqref="E245">
    <cfRule type="expression" dxfId="3165" priority="263">
      <formula>MOD(ROW(),2)=0</formula>
    </cfRule>
  </conditionalFormatting>
  <conditionalFormatting sqref="F246">
    <cfRule type="expression" dxfId="3164" priority="262">
      <formula>MOD(ROW(),2)=0</formula>
    </cfRule>
  </conditionalFormatting>
  <conditionalFormatting sqref="K244:K250 K255:K282 K285:K294 K60:K87 K91:K234 K6:K55 K236:K242 K57 K301:K405">
    <cfRule type="expression" dxfId="3161" priority="238">
      <formula>MOD(ROW(),2)=0</formula>
    </cfRule>
  </conditionalFormatting>
  <conditionalFormatting sqref="K251">
    <cfRule type="expression" dxfId="3160" priority="237">
      <formula>MOD(ROW(),2)=0</formula>
    </cfRule>
  </conditionalFormatting>
  <conditionalFormatting sqref="K253">
    <cfRule type="expression" dxfId="3159" priority="235">
      <formula>MOD(ROW(),2)=0</formula>
    </cfRule>
  </conditionalFormatting>
  <conditionalFormatting sqref="H132:H147 H124:H127">
    <cfRule type="expression" dxfId="3158" priority="217">
      <formula>MOD(ROW(),2)=0</formula>
    </cfRule>
  </conditionalFormatting>
  <conditionalFormatting sqref="H76:H123 H148:H162 H172:H219">
    <cfRule type="expression" dxfId="3157" priority="216">
      <formula>MOD(ROW(),2)=0</formula>
    </cfRule>
  </conditionalFormatting>
  <conditionalFormatting sqref="H128:H131">
    <cfRule type="expression" dxfId="3156" priority="215">
      <formula>MOD(ROW(),2)=0</formula>
    </cfRule>
  </conditionalFormatting>
  <conditionalFormatting sqref="H163:H164">
    <cfRule type="expression" dxfId="3155" priority="214">
      <formula>MOD(ROW(),2)=0</formula>
    </cfRule>
  </conditionalFormatting>
  <conditionalFormatting sqref="H165:H171">
    <cfRule type="expression" dxfId="3154" priority="213">
      <formula>MOD(ROW(),2)=0</formula>
    </cfRule>
  </conditionalFormatting>
  <conditionalFormatting sqref="E214:E215">
    <cfRule type="expression" dxfId="3153" priority="212">
      <formula>MOD(ROW(),2)=0</formula>
    </cfRule>
  </conditionalFormatting>
  <conditionalFormatting sqref="E204:E205 E196:E199">
    <cfRule type="expression" dxfId="3152" priority="211">
      <formula>MOD(ROW(),2)=0</formula>
    </cfRule>
  </conditionalFormatting>
  <conditionalFormatting sqref="E206:E207">
    <cfRule type="expression" dxfId="3151" priority="210">
      <formula>MOD(ROW(),2)=0</formula>
    </cfRule>
  </conditionalFormatting>
  <conditionalFormatting sqref="E216:E217">
    <cfRule type="expression" dxfId="3150" priority="206">
      <formula>MOD(ROW(),2)=0</formula>
    </cfRule>
  </conditionalFormatting>
  <conditionalFormatting sqref="E94:E95">
    <cfRule type="expression" dxfId="3149" priority="199">
      <formula>MOD(ROW(),2)=0</formula>
    </cfRule>
  </conditionalFormatting>
  <conditionalFormatting sqref="E84:E85 E76:E79">
    <cfRule type="expression" dxfId="3148" priority="198">
      <formula>MOD(ROW(),2)=0</formula>
    </cfRule>
  </conditionalFormatting>
  <conditionalFormatting sqref="E86:E87">
    <cfRule type="expression" dxfId="3147" priority="197">
      <formula>MOD(ROW(),2)=0</formula>
    </cfRule>
  </conditionalFormatting>
  <conditionalFormatting sqref="G206:G207">
    <cfRule type="expression" dxfId="3146" priority="186">
      <formula>MOD(ROW(),2)=0</formula>
    </cfRule>
  </conditionalFormatting>
  <conditionalFormatting sqref="G208:G209">
    <cfRule type="expression" dxfId="3145" priority="185">
      <formula>MOD(ROW(),2)=0</formula>
    </cfRule>
  </conditionalFormatting>
  <conditionalFormatting sqref="E208:E209">
    <cfRule type="expression" dxfId="3144" priority="184">
      <formula>MOD(ROW(),2)=0</formula>
    </cfRule>
  </conditionalFormatting>
  <conditionalFormatting sqref="G210:G211">
    <cfRule type="expression" dxfId="3143" priority="183">
      <formula>MOD(ROW(),2)=0</formula>
    </cfRule>
  </conditionalFormatting>
  <conditionalFormatting sqref="G212:G213">
    <cfRule type="expression" dxfId="3142" priority="182">
      <formula>MOD(ROW(),2)=0</formula>
    </cfRule>
  </conditionalFormatting>
  <conditionalFormatting sqref="E210:E211">
    <cfRule type="expression" dxfId="3141" priority="181">
      <formula>MOD(ROW(),2)=0</formula>
    </cfRule>
  </conditionalFormatting>
  <conditionalFormatting sqref="E212:E213">
    <cfRule type="expression" dxfId="3140" priority="180">
      <formula>MOD(ROW(),2)=0</formula>
    </cfRule>
  </conditionalFormatting>
  <conditionalFormatting sqref="G216:G217">
    <cfRule type="expression" dxfId="3139" priority="179">
      <formula>MOD(ROW(),2)=0</formula>
    </cfRule>
  </conditionalFormatting>
  <conditionalFormatting sqref="G218:G219">
    <cfRule type="expression" dxfId="3138" priority="178">
      <formula>MOD(ROW(),2)=0</formula>
    </cfRule>
  </conditionalFormatting>
  <conditionalFormatting sqref="G200:G201">
    <cfRule type="expression" dxfId="3137" priority="177">
      <formula>MOD(ROW(),2)=0</formula>
    </cfRule>
  </conditionalFormatting>
  <conditionalFormatting sqref="G202:G203">
    <cfRule type="expression" dxfId="3136" priority="176">
      <formula>MOD(ROW(),2)=0</formula>
    </cfRule>
  </conditionalFormatting>
  <conditionalFormatting sqref="E218:E219">
    <cfRule type="expression" dxfId="3135" priority="175">
      <formula>MOD(ROW(),2)=0</formula>
    </cfRule>
  </conditionalFormatting>
  <conditionalFormatting sqref="E200:E201">
    <cfRule type="expression" dxfId="3134" priority="173">
      <formula>MOD(ROW(),2)=0</formula>
    </cfRule>
  </conditionalFormatting>
  <conditionalFormatting sqref="E202:E203">
    <cfRule type="expression" dxfId="3133" priority="172">
      <formula>MOD(ROW(),2)=0</formula>
    </cfRule>
  </conditionalFormatting>
  <conditionalFormatting sqref="G86:G87">
    <cfRule type="expression" dxfId="3132" priority="171">
      <formula>MOD(ROW(),2)=0</formula>
    </cfRule>
  </conditionalFormatting>
  <conditionalFormatting sqref="G88:G89">
    <cfRule type="expression" dxfId="3131" priority="170">
      <formula>MOD(ROW(),2)=0</formula>
    </cfRule>
  </conditionalFormatting>
  <conditionalFormatting sqref="G90:G91">
    <cfRule type="expression" dxfId="3130" priority="169">
      <formula>MOD(ROW(),2)=0</formula>
    </cfRule>
  </conditionalFormatting>
  <conditionalFormatting sqref="G92:G93">
    <cfRule type="expression" dxfId="3129" priority="168">
      <formula>MOD(ROW(),2)=0</formula>
    </cfRule>
  </conditionalFormatting>
  <conditionalFormatting sqref="E88:E89">
    <cfRule type="expression" dxfId="3128" priority="167">
      <formula>MOD(ROW(),2)=0</formula>
    </cfRule>
  </conditionalFormatting>
  <conditionalFormatting sqref="E90:E91">
    <cfRule type="expression" dxfId="3127" priority="166">
      <formula>MOD(ROW(),2)=0</formula>
    </cfRule>
  </conditionalFormatting>
  <conditionalFormatting sqref="E92:E93">
    <cfRule type="expression" dxfId="3126" priority="165">
      <formula>MOD(ROW(),2)=0</formula>
    </cfRule>
  </conditionalFormatting>
  <conditionalFormatting sqref="G96:G97">
    <cfRule type="expression" dxfId="3125" priority="164">
      <formula>MOD(ROW(),2)=0</formula>
    </cfRule>
  </conditionalFormatting>
  <conditionalFormatting sqref="G98:G99">
    <cfRule type="expression" dxfId="3124" priority="163">
      <formula>MOD(ROW(),2)=0</formula>
    </cfRule>
  </conditionalFormatting>
  <conditionalFormatting sqref="G80:G81">
    <cfRule type="expression" dxfId="3123" priority="162">
      <formula>MOD(ROW(),2)=0</formula>
    </cfRule>
  </conditionalFormatting>
  <conditionalFormatting sqref="G82:G83">
    <cfRule type="expression" dxfId="3122" priority="161">
      <formula>MOD(ROW(),2)=0</formula>
    </cfRule>
  </conditionalFormatting>
  <conditionalFormatting sqref="E80:E81">
    <cfRule type="expression" dxfId="3121" priority="160">
      <formula>MOD(ROW(),2)=0</formula>
    </cfRule>
  </conditionalFormatting>
  <conditionalFormatting sqref="E82:E83">
    <cfRule type="expression" dxfId="3120" priority="159">
      <formula>MOD(ROW(),2)=0</formula>
    </cfRule>
  </conditionalFormatting>
  <conditionalFormatting sqref="E96:E97">
    <cfRule type="expression" dxfId="3119" priority="158">
      <formula>MOD(ROW(),2)=0</formula>
    </cfRule>
  </conditionalFormatting>
  <conditionalFormatting sqref="E98:E99">
    <cfRule type="expression" dxfId="3118" priority="157">
      <formula>MOD(ROW(),2)=0</formula>
    </cfRule>
  </conditionalFormatting>
  <conditionalFormatting sqref="E100:E103">
    <cfRule type="expression" dxfId="3117" priority="156">
      <formula>MOD(ROW(),2)=0</formula>
    </cfRule>
  </conditionalFormatting>
  <conditionalFormatting sqref="E108:E111">
    <cfRule type="expression" dxfId="3116" priority="155">
      <formula>MOD(ROW(),2)=0</formula>
    </cfRule>
  </conditionalFormatting>
  <conditionalFormatting sqref="E118:E119">
    <cfRule type="expression" dxfId="3115" priority="154">
      <formula>MOD(ROW(),2)=0</formula>
    </cfRule>
  </conditionalFormatting>
  <conditionalFormatting sqref="E124:E127">
    <cfRule type="expression" dxfId="3114" priority="152">
      <formula>MOD(ROW(),2)=0</formula>
    </cfRule>
  </conditionalFormatting>
  <conditionalFormatting sqref="G108:G109">
    <cfRule type="expression" dxfId="3113" priority="148">
      <formula>MOD(ROW(),2)=0</formula>
    </cfRule>
  </conditionalFormatting>
  <conditionalFormatting sqref="G110:G111">
    <cfRule type="expression" dxfId="3112" priority="147">
      <formula>MOD(ROW(),2)=0</formula>
    </cfRule>
  </conditionalFormatting>
  <conditionalFormatting sqref="G112:G113">
    <cfRule type="expression" dxfId="3111" priority="146">
      <formula>MOD(ROW(),2)=0</formula>
    </cfRule>
  </conditionalFormatting>
  <conditionalFormatting sqref="G114:G115">
    <cfRule type="expression" dxfId="3110" priority="145">
      <formula>MOD(ROW(),2)=0</formula>
    </cfRule>
  </conditionalFormatting>
  <conditionalFormatting sqref="G116:G117">
    <cfRule type="expression" dxfId="3109" priority="144">
      <formula>MOD(ROW(),2)=0</formula>
    </cfRule>
  </conditionalFormatting>
  <conditionalFormatting sqref="G118:G119">
    <cfRule type="expression" dxfId="3108" priority="143">
      <formula>MOD(ROW(),2)=0</formula>
    </cfRule>
  </conditionalFormatting>
  <conditionalFormatting sqref="G120:G121">
    <cfRule type="expression" dxfId="3107" priority="142">
      <formula>MOD(ROW(),2)=0</formula>
    </cfRule>
  </conditionalFormatting>
  <conditionalFormatting sqref="G122:G123">
    <cfRule type="expression" dxfId="3106" priority="141">
      <formula>MOD(ROW(),2)=0</formula>
    </cfRule>
  </conditionalFormatting>
  <conditionalFormatting sqref="G104:G105">
    <cfRule type="expression" dxfId="3105" priority="140">
      <formula>MOD(ROW(),2)=0</formula>
    </cfRule>
  </conditionalFormatting>
  <conditionalFormatting sqref="G106:G107">
    <cfRule type="expression" dxfId="3104" priority="139">
      <formula>MOD(ROW(),2)=0</formula>
    </cfRule>
  </conditionalFormatting>
  <conditionalFormatting sqref="E104:E107">
    <cfRule type="expression" dxfId="3103" priority="138">
      <formula>MOD(ROW(),2)=0</formula>
    </cfRule>
  </conditionalFormatting>
  <conditionalFormatting sqref="E112:E113">
    <cfRule type="expression" dxfId="3102" priority="137">
      <formula>MOD(ROW(),2)=0</formula>
    </cfRule>
  </conditionalFormatting>
  <conditionalFormatting sqref="E114:E117">
    <cfRule type="expression" dxfId="3101" priority="136">
      <formula>MOD(ROW(),2)=0</formula>
    </cfRule>
  </conditionalFormatting>
  <conditionalFormatting sqref="E120:E123">
    <cfRule type="expression" dxfId="3100" priority="135">
      <formula>MOD(ROW(),2)=0</formula>
    </cfRule>
  </conditionalFormatting>
  <conditionalFormatting sqref="G132:G133">
    <cfRule type="expression" dxfId="3099" priority="134">
      <formula>MOD(ROW(),2)=0</formula>
    </cfRule>
  </conditionalFormatting>
  <conditionalFormatting sqref="G134:G135">
    <cfRule type="expression" dxfId="3098" priority="133">
      <formula>MOD(ROW(),2)=0</formula>
    </cfRule>
  </conditionalFormatting>
  <conditionalFormatting sqref="G136:G137">
    <cfRule type="expression" dxfId="3097" priority="132">
      <formula>MOD(ROW(),2)=0</formula>
    </cfRule>
  </conditionalFormatting>
  <conditionalFormatting sqref="G138:G139">
    <cfRule type="expression" dxfId="3096" priority="131">
      <formula>MOD(ROW(),2)=0</formula>
    </cfRule>
  </conditionalFormatting>
  <conditionalFormatting sqref="G140:G141">
    <cfRule type="expression" dxfId="3095" priority="130">
      <formula>MOD(ROW(),2)=0</formula>
    </cfRule>
  </conditionalFormatting>
  <conditionalFormatting sqref="G142:G143">
    <cfRule type="expression" dxfId="3094" priority="129">
      <formula>MOD(ROW(),2)=0</formula>
    </cfRule>
  </conditionalFormatting>
  <conditionalFormatting sqref="G144:G145">
    <cfRule type="expression" dxfId="3093" priority="128">
      <formula>MOD(ROW(),2)=0</formula>
    </cfRule>
  </conditionalFormatting>
  <conditionalFormatting sqref="G146:G147">
    <cfRule type="expression" dxfId="3092" priority="127">
      <formula>MOD(ROW(),2)=0</formula>
    </cfRule>
  </conditionalFormatting>
  <conditionalFormatting sqref="G128:G129">
    <cfRule type="expression" dxfId="3091" priority="124">
      <formula>MOD(ROW(),2)=0</formula>
    </cfRule>
  </conditionalFormatting>
  <conditionalFormatting sqref="G130:G131">
    <cfRule type="expression" dxfId="3090" priority="123">
      <formula>MOD(ROW(),2)=0</formula>
    </cfRule>
  </conditionalFormatting>
  <conditionalFormatting sqref="E132:E135">
    <cfRule type="expression" dxfId="3089" priority="122">
      <formula>MOD(ROW(),2)=0</formula>
    </cfRule>
  </conditionalFormatting>
  <conditionalFormatting sqref="E142:E143">
    <cfRule type="expression" dxfId="3088" priority="121">
      <formula>MOD(ROW(),2)=0</formula>
    </cfRule>
  </conditionalFormatting>
  <conditionalFormatting sqref="E128:E131">
    <cfRule type="expression" dxfId="3087" priority="120">
      <formula>MOD(ROW(),2)=0</formula>
    </cfRule>
  </conditionalFormatting>
  <conditionalFormatting sqref="E136:E137">
    <cfRule type="expression" dxfId="3086" priority="119">
      <formula>MOD(ROW(),2)=0</formula>
    </cfRule>
  </conditionalFormatting>
  <conditionalFormatting sqref="E138:E141">
    <cfRule type="expression" dxfId="3085" priority="118">
      <formula>MOD(ROW(),2)=0</formula>
    </cfRule>
  </conditionalFormatting>
  <conditionalFormatting sqref="E144:E147">
    <cfRule type="expression" dxfId="3084" priority="117">
      <formula>MOD(ROW(),2)=0</formula>
    </cfRule>
  </conditionalFormatting>
  <conditionalFormatting sqref="E148:E151">
    <cfRule type="expression" dxfId="3083" priority="116">
      <formula>MOD(ROW(),2)=0</formula>
    </cfRule>
  </conditionalFormatting>
  <conditionalFormatting sqref="E172:E175">
    <cfRule type="expression" dxfId="3082" priority="111">
      <formula>MOD(ROW(),2)=0</formula>
    </cfRule>
  </conditionalFormatting>
  <conditionalFormatting sqref="E190:E191">
    <cfRule type="expression" dxfId="3081" priority="108">
      <formula>MOD(ROW(),2)=0</formula>
    </cfRule>
  </conditionalFormatting>
  <conditionalFormatting sqref="E180:E181">
    <cfRule type="expression" dxfId="3080" priority="110">
      <formula>MOD(ROW(),2)=0</formula>
    </cfRule>
  </conditionalFormatting>
  <conditionalFormatting sqref="E182:E183">
    <cfRule type="expression" dxfId="3079" priority="109">
      <formula>MOD(ROW(),2)=0</formula>
    </cfRule>
  </conditionalFormatting>
  <conditionalFormatting sqref="E192:E193">
    <cfRule type="expression" dxfId="3078" priority="107">
      <formula>MOD(ROW(),2)=0</formula>
    </cfRule>
  </conditionalFormatting>
  <conditionalFormatting sqref="G158:G159">
    <cfRule type="expression" dxfId="3077" priority="106">
      <formula>MOD(ROW(),2)=0</formula>
    </cfRule>
  </conditionalFormatting>
  <conditionalFormatting sqref="G160:G161">
    <cfRule type="expression" dxfId="3076" priority="105">
      <formula>MOD(ROW(),2)=0</formula>
    </cfRule>
  </conditionalFormatting>
  <conditionalFormatting sqref="G162:G163">
    <cfRule type="expression" dxfId="3075" priority="104">
      <formula>MOD(ROW(),2)=0</formula>
    </cfRule>
  </conditionalFormatting>
  <conditionalFormatting sqref="G164:G165">
    <cfRule type="expression" dxfId="3074" priority="103">
      <formula>MOD(ROW(),2)=0</formula>
    </cfRule>
  </conditionalFormatting>
  <conditionalFormatting sqref="G168:G169">
    <cfRule type="expression" dxfId="3073" priority="102">
      <formula>MOD(ROW(),2)=0</formula>
    </cfRule>
  </conditionalFormatting>
  <conditionalFormatting sqref="G170:G171">
    <cfRule type="expression" dxfId="3072" priority="101">
      <formula>MOD(ROW(),2)=0</formula>
    </cfRule>
  </conditionalFormatting>
  <conditionalFormatting sqref="G152:G153">
    <cfRule type="expression" dxfId="3071" priority="100">
      <formula>MOD(ROW(),2)=0</formula>
    </cfRule>
  </conditionalFormatting>
  <conditionalFormatting sqref="G154:G155">
    <cfRule type="expression" dxfId="3070" priority="99">
      <formula>MOD(ROW(),2)=0</formula>
    </cfRule>
  </conditionalFormatting>
  <conditionalFormatting sqref="G182:G183">
    <cfRule type="expression" dxfId="3069" priority="98">
      <formula>MOD(ROW(),2)=0</formula>
    </cfRule>
  </conditionalFormatting>
  <conditionalFormatting sqref="G184:G185">
    <cfRule type="expression" dxfId="3068" priority="95">
      <formula>MOD(ROW(),2)=0</formula>
    </cfRule>
  </conditionalFormatting>
  <conditionalFormatting sqref="G186:G187">
    <cfRule type="expression" dxfId="3067" priority="94">
      <formula>MOD(ROW(),2)=0</formula>
    </cfRule>
  </conditionalFormatting>
  <conditionalFormatting sqref="G188:G189">
    <cfRule type="expression" dxfId="3066" priority="93">
      <formula>MOD(ROW(),2)=0</formula>
    </cfRule>
  </conditionalFormatting>
  <conditionalFormatting sqref="G192:G193">
    <cfRule type="expression" dxfId="3065" priority="92">
      <formula>MOD(ROW(),2)=0</formula>
    </cfRule>
  </conditionalFormatting>
  <conditionalFormatting sqref="G194:G195">
    <cfRule type="expression" dxfId="3064" priority="91">
      <formula>MOD(ROW(),2)=0</formula>
    </cfRule>
  </conditionalFormatting>
  <conditionalFormatting sqref="G176:G177">
    <cfRule type="expression" dxfId="3063" priority="90">
      <formula>MOD(ROW(),2)=0</formula>
    </cfRule>
  </conditionalFormatting>
  <conditionalFormatting sqref="G178:G179">
    <cfRule type="expression" dxfId="3062" priority="89">
      <formula>MOD(ROW(),2)=0</formula>
    </cfRule>
  </conditionalFormatting>
  <conditionalFormatting sqref="E176:E177">
    <cfRule type="expression" dxfId="3061" priority="88">
      <formula>MOD(ROW(),2)=0</formula>
    </cfRule>
  </conditionalFormatting>
  <conditionalFormatting sqref="E178:E179">
    <cfRule type="expression" dxfId="3060" priority="87">
      <formula>MOD(ROW(),2)=0</formula>
    </cfRule>
  </conditionalFormatting>
  <conditionalFormatting sqref="E184:E185">
    <cfRule type="expression" dxfId="3059" priority="86">
      <formula>MOD(ROW(),2)=0</formula>
    </cfRule>
  </conditionalFormatting>
  <conditionalFormatting sqref="E186:E187">
    <cfRule type="expression" dxfId="3058" priority="85">
      <formula>MOD(ROW(),2)=0</formula>
    </cfRule>
  </conditionalFormatting>
  <conditionalFormatting sqref="E188:E189">
    <cfRule type="expression" dxfId="3057" priority="84">
      <formula>MOD(ROW(),2)=0</formula>
    </cfRule>
  </conditionalFormatting>
  <conditionalFormatting sqref="E194:E195">
    <cfRule type="expression" dxfId="3056" priority="83">
      <formula>MOD(ROW(),2)=0</formula>
    </cfRule>
  </conditionalFormatting>
  <conditionalFormatting sqref="E166:E167">
    <cfRule type="expression" dxfId="3055" priority="80">
      <formula>MOD(ROW(),2)=0</formula>
    </cfRule>
  </conditionalFormatting>
  <conditionalFormatting sqref="E156:E157">
    <cfRule type="expression" dxfId="3054" priority="82">
      <formula>MOD(ROW(),2)=0</formula>
    </cfRule>
  </conditionalFormatting>
  <conditionalFormatting sqref="E158:E159">
    <cfRule type="expression" dxfId="3053" priority="81">
      <formula>MOD(ROW(),2)=0</formula>
    </cfRule>
  </conditionalFormatting>
  <conditionalFormatting sqref="E168:E169">
    <cfRule type="expression" dxfId="3052" priority="79">
      <formula>MOD(ROW(),2)=0</formula>
    </cfRule>
  </conditionalFormatting>
  <conditionalFormatting sqref="E152:E153">
    <cfRule type="expression" dxfId="3051" priority="78">
      <formula>MOD(ROW(),2)=0</formula>
    </cfRule>
  </conditionalFormatting>
  <conditionalFormatting sqref="E154:E155">
    <cfRule type="expression" dxfId="3050" priority="77">
      <formula>MOD(ROW(),2)=0</formula>
    </cfRule>
  </conditionalFormatting>
  <conditionalFormatting sqref="E160:E161">
    <cfRule type="expression" dxfId="3049" priority="76">
      <formula>MOD(ROW(),2)=0</formula>
    </cfRule>
  </conditionalFormatting>
  <conditionalFormatting sqref="E162:E163">
    <cfRule type="expression" dxfId="3048" priority="75">
      <formula>MOD(ROW(),2)=0</formula>
    </cfRule>
  </conditionalFormatting>
  <conditionalFormatting sqref="E164:E165">
    <cfRule type="expression" dxfId="3047" priority="74">
      <formula>MOD(ROW(),2)=0</formula>
    </cfRule>
  </conditionalFormatting>
  <conditionalFormatting sqref="E170:E171">
    <cfRule type="expression" dxfId="3046" priority="73">
      <formula>MOD(ROW(),2)=0</formula>
    </cfRule>
  </conditionalFormatting>
  <conditionalFormatting sqref="G400:G401">
    <cfRule type="expression" dxfId="3045" priority="72">
      <formula>MOD(ROW(),2)=0</formula>
    </cfRule>
  </conditionalFormatting>
  <conditionalFormatting sqref="G223">
    <cfRule type="expression" dxfId="3044" priority="71">
      <formula>MOD(ROW(),2)=0</formula>
    </cfRule>
  </conditionalFormatting>
  <conditionalFormatting sqref="G244">
    <cfRule type="expression" dxfId="3043" priority="70">
      <formula>MOD(ROW(),2)=0</formula>
    </cfRule>
  </conditionalFormatting>
  <conditionalFormatting sqref="E244">
    <cfRule type="expression" dxfId="3042" priority="69">
      <formula>MOD(ROW(),2)=0</formula>
    </cfRule>
  </conditionalFormatting>
  <conditionalFormatting sqref="G70:G71">
    <cfRule type="expression" dxfId="3037" priority="64">
      <formula>MOD(ROW(),2)=0</formula>
    </cfRule>
  </conditionalFormatting>
  <conditionalFormatting sqref="E70">
    <cfRule type="expression" dxfId="3036" priority="63">
      <formula>MOD(ROW(),2)=0</formula>
    </cfRule>
  </conditionalFormatting>
  <conditionalFormatting sqref="E71">
    <cfRule type="expression" dxfId="3035" priority="62">
      <formula>MOD(ROW(),2)=0</formula>
    </cfRule>
  </conditionalFormatting>
  <conditionalFormatting sqref="G396:G397">
    <cfRule type="expression" dxfId="3034" priority="61">
      <formula>MOD(ROW(),2)=0</formula>
    </cfRule>
  </conditionalFormatting>
  <conditionalFormatting sqref="G221">
    <cfRule type="expression" dxfId="3033" priority="60">
      <formula>MOD(ROW(),2)=0</formula>
    </cfRule>
  </conditionalFormatting>
  <conditionalFormatting sqref="G242">
    <cfRule type="expression" dxfId="3032" priority="59">
      <formula>MOD(ROW(),2)=0</formula>
    </cfRule>
  </conditionalFormatting>
  <conditionalFormatting sqref="E242">
    <cfRule type="expression" dxfId="3031" priority="58">
      <formula>MOD(ROW(),2)=0</formula>
    </cfRule>
  </conditionalFormatting>
  <conditionalFormatting sqref="G74:G75">
    <cfRule type="expression" dxfId="3028" priority="37">
      <formula>MOD(ROW(),2)=0</formula>
    </cfRule>
  </conditionalFormatting>
  <conditionalFormatting sqref="G66:G67">
    <cfRule type="expression" dxfId="3026" priority="53">
      <formula>MOD(ROW(),2)=0</formula>
    </cfRule>
  </conditionalFormatting>
  <conditionalFormatting sqref="E66">
    <cfRule type="expression" dxfId="3025" priority="52">
      <formula>MOD(ROW(),2)=0</formula>
    </cfRule>
  </conditionalFormatting>
  <conditionalFormatting sqref="E67">
    <cfRule type="expression" dxfId="3024" priority="51">
      <formula>MOD(ROW(),2)=0</formula>
    </cfRule>
  </conditionalFormatting>
  <conditionalFormatting sqref="F404:F405">
    <cfRule type="expression" dxfId="3023" priority="48">
      <formula>MOD(ROW(),2)=0</formula>
    </cfRule>
  </conditionalFormatting>
  <conditionalFormatting sqref="G404:G405">
    <cfRule type="expression" dxfId="3022" priority="47">
      <formula>MOD(ROW(),2)=0</formula>
    </cfRule>
  </conditionalFormatting>
  <conditionalFormatting sqref="E404:E405">
    <cfRule type="expression" dxfId="3021" priority="46">
      <formula>MOD(ROW(),2)=0</formula>
    </cfRule>
  </conditionalFormatting>
  <conditionalFormatting sqref="G225">
    <cfRule type="expression" dxfId="3020" priority="45">
      <formula>MOD(ROW(),2)=0</formula>
    </cfRule>
  </conditionalFormatting>
  <conditionalFormatting sqref="E225">
    <cfRule type="expression" dxfId="3019" priority="44">
      <formula>MOD(ROW(),2)=0</formula>
    </cfRule>
  </conditionalFormatting>
  <conditionalFormatting sqref="G246">
    <cfRule type="expression" dxfId="3018" priority="43">
      <formula>MOD(ROW(),2)=0</formula>
    </cfRule>
  </conditionalFormatting>
  <conditionalFormatting sqref="E246">
    <cfRule type="expression" dxfId="3017" priority="42">
      <formula>MOD(ROW(),2)=0</formula>
    </cfRule>
  </conditionalFormatting>
  <conditionalFormatting sqref="E238">
    <cfRule type="expression" dxfId="3016" priority="23">
      <formula>MOD(ROW(),2)=0</formula>
    </cfRule>
  </conditionalFormatting>
  <conditionalFormatting sqref="G236">
    <cfRule type="expression" dxfId="3015" priority="22">
      <formula>MOD(ROW(),2)=0</formula>
    </cfRule>
  </conditionalFormatting>
  <conditionalFormatting sqref="E74:E75">
    <cfRule type="expression" dxfId="3011" priority="36">
      <formula>MOD(ROW(),2)=0</formula>
    </cfRule>
  </conditionalFormatting>
  <conditionalFormatting sqref="G247">
    <cfRule type="expression" dxfId="3010" priority="32">
      <formula>MOD(ROW(),2)=0</formula>
    </cfRule>
  </conditionalFormatting>
  <conditionalFormatting sqref="G248">
    <cfRule type="expression" dxfId="3009" priority="31">
      <formula>MOD(ROW(),2)=0</formula>
    </cfRule>
  </conditionalFormatting>
  <conditionalFormatting sqref="G249">
    <cfRule type="expression" dxfId="3008" priority="30">
      <formula>MOD(ROW(),2)=0</formula>
    </cfRule>
  </conditionalFormatting>
  <conditionalFormatting sqref="G250">
    <cfRule type="expression" dxfId="3007" priority="29">
      <formula>MOD(ROW(),2)=0</formula>
    </cfRule>
  </conditionalFormatting>
  <conditionalFormatting sqref="G251:G252">
    <cfRule type="expression" dxfId="3006" priority="35">
      <formula>MOD(ROW(),2)=0</formula>
    </cfRule>
  </conditionalFormatting>
  <conditionalFormatting sqref="G247">
    <cfRule type="expression" dxfId="3005" priority="34">
      <formula>MOD(ROW(),2)=0</formula>
    </cfRule>
  </conditionalFormatting>
  <conditionalFormatting sqref="G248">
    <cfRule type="expression" dxfId="3004" priority="33">
      <formula>MOD(ROW(),2)=0</formula>
    </cfRule>
  </conditionalFormatting>
  <conditionalFormatting sqref="G388:G393">
    <cfRule type="expression" dxfId="3003" priority="28">
      <formula>MOD(ROW(),2)=0</formula>
    </cfRule>
  </conditionalFormatting>
  <conditionalFormatting sqref="E237:G237 E239:G239 F238 F236 E235:F235 F240">
    <cfRule type="expression" dxfId="3002" priority="27">
      <formula>MOD(ROW(),2)=0</formula>
    </cfRule>
  </conditionalFormatting>
  <conditionalFormatting sqref="D235:D240">
    <cfRule type="expression" dxfId="3001" priority="26">
      <formula>MOD(ROW(),2)=0</formula>
    </cfRule>
  </conditionalFormatting>
  <conditionalFormatting sqref="G235">
    <cfRule type="expression" dxfId="3000" priority="25">
      <formula>MOD(ROW(),2)=0</formula>
    </cfRule>
  </conditionalFormatting>
  <conditionalFormatting sqref="G238">
    <cfRule type="expression" dxfId="2999" priority="24">
      <formula>MOD(ROW(),2)=0</formula>
    </cfRule>
  </conditionalFormatting>
  <conditionalFormatting sqref="E236">
    <cfRule type="expression" dxfId="2996" priority="21">
      <formula>MOD(ROW(),2)=0</formula>
    </cfRule>
  </conditionalFormatting>
  <conditionalFormatting sqref="G240">
    <cfRule type="expression" dxfId="2995" priority="20">
      <formula>MOD(ROW(),2)=0</formula>
    </cfRule>
  </conditionalFormatting>
  <conditionalFormatting sqref="E240">
    <cfRule type="expression" dxfId="2994" priority="19">
      <formula>MOD(ROW(),2)=0</formula>
    </cfRule>
  </conditionalFormatting>
  <conditionalFormatting sqref="G229">
    <cfRule type="expression" dxfId="2993" priority="16">
      <formula>MOD(ROW(),2)=0</formula>
    </cfRule>
  </conditionalFormatting>
  <conditionalFormatting sqref="E229">
    <cfRule type="expression" dxfId="2992" priority="15">
      <formula>MOD(ROW(),2)=0</formula>
    </cfRule>
  </conditionalFormatting>
  <conditionalFormatting sqref="F233">
    <cfRule type="expression" dxfId="2991" priority="14">
      <formula>MOD(ROW(),2)=0</formula>
    </cfRule>
  </conditionalFormatting>
  <conditionalFormatting sqref="F234">
    <cfRule type="expression" dxfId="2990" priority="13">
      <formula>MOD(ROW(),2)=0</formula>
    </cfRule>
  </conditionalFormatting>
  <conditionalFormatting sqref="F231">
    <cfRule type="expression" dxfId="2989" priority="12">
      <formula>MOD(ROW(),2)=0</formula>
    </cfRule>
  </conditionalFormatting>
  <conditionalFormatting sqref="E231">
    <cfRule type="expression" dxfId="2988" priority="11">
      <formula>MOD(ROW(),2)=0</formula>
    </cfRule>
  </conditionalFormatting>
  <conditionalFormatting sqref="F232">
    <cfRule type="expression" dxfId="2987" priority="10">
      <formula>MOD(ROW(),2)=0</formula>
    </cfRule>
  </conditionalFormatting>
  <conditionalFormatting sqref="G231">
    <cfRule type="expression" dxfId="2986" priority="9">
      <formula>MOD(ROW(),2)=0</formula>
    </cfRule>
  </conditionalFormatting>
  <conditionalFormatting sqref="F229:F230">
    <cfRule type="expression" dxfId="2985" priority="18">
      <formula>MOD(ROW(),2)=0</formula>
    </cfRule>
  </conditionalFormatting>
  <conditionalFormatting sqref="D229:D234">
    <cfRule type="expression" dxfId="2984" priority="17">
      <formula>MOD(ROW(),2)=0</formula>
    </cfRule>
  </conditionalFormatting>
  <conditionalFormatting sqref="G233">
    <cfRule type="expression" dxfId="2983" priority="8">
      <formula>MOD(ROW(),2)=0</formula>
    </cfRule>
  </conditionalFormatting>
  <conditionalFormatting sqref="E233">
    <cfRule type="expression" dxfId="2982" priority="7">
      <formula>MOD(ROW(),2)=0</formula>
    </cfRule>
  </conditionalFormatting>
  <conditionalFormatting sqref="G232">
    <cfRule type="expression" dxfId="2981" priority="6">
      <formula>MOD(ROW(),2)=0</formula>
    </cfRule>
  </conditionalFormatting>
  <conditionalFormatting sqref="E232">
    <cfRule type="expression" dxfId="2980" priority="5">
      <formula>MOD(ROW(),2)=0</formula>
    </cfRule>
  </conditionalFormatting>
  <conditionalFormatting sqref="G230">
    <cfRule type="expression" dxfId="2979" priority="4">
      <formula>MOD(ROW(),2)=0</formula>
    </cfRule>
  </conditionalFormatting>
  <conditionalFormatting sqref="E230">
    <cfRule type="expression" dxfId="2978" priority="3">
      <formula>MOD(ROW(),2)=0</formula>
    </cfRule>
  </conditionalFormatting>
  <conditionalFormatting sqref="G234">
    <cfRule type="expression" dxfId="2977" priority="2">
      <formula>MOD(ROW(),2)=0</formula>
    </cfRule>
  </conditionalFormatting>
  <conditionalFormatting sqref="E234">
    <cfRule type="expression" dxfId="2976" priority="1">
      <formula>MOD(ROW(),2)=0</formula>
    </cfRule>
  </conditionalFormatting>
  <hyperlinks>
    <hyperlink ref="AN6" location="'0'!A1" tooltip="X stave 0, Front" display="'0'!A1" xr:uid="{00000000-0004-0000-0500-000000000000}"/>
    <hyperlink ref="AN7:AN10" location="'0'!A1" tooltip="X stave 0, Front" display="'0'!A1" xr:uid="{00000000-0004-0000-0500-000001000000}"/>
    <hyperlink ref="AJ6" location="'0'!A1" tooltip="X stave 0, Front" display="'0'!A1" xr:uid="{00000000-0004-0000-0500-000002000000}"/>
    <hyperlink ref="AJ7:AJ10" location="'0'!A1" tooltip="X stave 0, Front" display="'0'!A1" xr:uid="{00000000-0004-0000-0500-000003000000}"/>
    <hyperlink ref="AH6" location="'0'!A1" tooltip="X stave 0, Front" display="'0'!A1" xr:uid="{00000000-0004-0000-0500-000004000000}"/>
    <hyperlink ref="AH7:AH10" location="'0'!A1" tooltip="X stave 0, Front" display="'0'!A1" xr:uid="{00000000-0004-0000-0500-000005000000}"/>
    <hyperlink ref="AJ6:AJ10" location="'2'!A1" tooltip="DCB 2" display="'2'!A1" xr:uid="{00000000-0004-0000-0500-000006000000}"/>
    <hyperlink ref="AN6:AN10" location="'0'!A1" tooltip="DCB 0" display="'0'!A1" xr:uid="{00000000-0004-0000-0500-000007000000}"/>
    <hyperlink ref="AL6" location="'0'!A1" tooltip="X stave 0, Front" display="'0'!A1" xr:uid="{00000000-0004-0000-0500-000008000000}"/>
    <hyperlink ref="AL7:AL10" location="'0'!A1" tooltip="X stave 0, Front" display="'0'!A1" xr:uid="{00000000-0004-0000-0500-000009000000}"/>
    <hyperlink ref="AL6:AL10" location="'1'!A1" tooltip="DCB 1" display="'1'!A1" xr:uid="{00000000-0004-0000-0500-00000A000000}"/>
    <hyperlink ref="AH6:AH10" location="'3'!A1" display="'3'!A1" xr:uid="{00000000-0004-0000-0500-00000B000000}"/>
    <hyperlink ref="AF6" location="'0'!A1" tooltip="X stave 0, Front" display="'0'!A1" xr:uid="{00000000-0004-0000-0500-00000C000000}"/>
    <hyperlink ref="AF7:AF10" location="'0'!A1" tooltip="X stave 0, Front" display="'0'!A1" xr:uid="{00000000-0004-0000-0500-00000D000000}"/>
    <hyperlink ref="AF6:AF10" location="'4'!A1" display="'4'!A1" xr:uid="{00000000-0004-0000-0500-00000E000000}"/>
    <hyperlink ref="AD6" location="'0'!A1" tooltip="X stave 0, Front" display="'0'!A1" xr:uid="{00000000-0004-0000-0500-00000F000000}"/>
    <hyperlink ref="AD7:AD10" location="'0'!A1" tooltip="X stave 0, Front" display="'0'!A1" xr:uid="{00000000-0004-0000-0500-000010000000}"/>
    <hyperlink ref="AD6:AD10" location="'5'!A1" display="'5'!A1" xr:uid="{00000000-0004-0000-0500-000011000000}"/>
    <hyperlink ref="AB6" location="'0'!A1" tooltip="X stave 0, Front" display="'0'!A1" xr:uid="{00000000-0004-0000-0500-000012000000}"/>
    <hyperlink ref="AB7:AB10" location="'0'!A1" tooltip="X stave 0, Front" display="'0'!A1" xr:uid="{00000000-0004-0000-0500-000013000000}"/>
    <hyperlink ref="AB6:AB10" location="'6'!A1" display="'6'!A1" xr:uid="{00000000-0004-0000-0500-000014000000}"/>
    <hyperlink ref="Z6" location="'0'!A1" tooltip="X stave 0, Front" display="'0'!A1" xr:uid="{00000000-0004-0000-0500-000015000000}"/>
    <hyperlink ref="Z7:Z10" location="'0'!A1" tooltip="X stave 0, Front" display="'0'!A1" xr:uid="{00000000-0004-0000-0500-000016000000}"/>
    <hyperlink ref="Z6:Z10" location="'7'!A1" display="'7'!A1" xr:uid="{00000000-0004-0000-0500-000017000000}"/>
    <hyperlink ref="X6" location="'0'!A1" tooltip="X stave 0, Front" display="'0'!A1" xr:uid="{00000000-0004-0000-0500-000018000000}"/>
    <hyperlink ref="X7:X10" location="'0'!A1" tooltip="X stave 0, Front" display="'0'!A1" xr:uid="{00000000-0004-0000-0500-000019000000}"/>
    <hyperlink ref="X6:X10" location="'8'!A1" display="'8'!A1" xr:uid="{00000000-0004-0000-0500-00001A000000}"/>
    <hyperlink ref="V6" location="'0'!A1" tooltip="X stave 0, Front" display="'0'!A1" xr:uid="{00000000-0004-0000-0500-00001B000000}"/>
    <hyperlink ref="V7:V10" location="'0'!A1" tooltip="X stave 0, Front" display="'0'!A1" xr:uid="{00000000-0004-0000-0500-00001C000000}"/>
    <hyperlink ref="V6:V10" location="'9'!A1" display="'9'!A1" xr:uid="{00000000-0004-0000-0500-00001D000000}"/>
    <hyperlink ref="T6" location="'0'!A1" tooltip="X stave 0, Front" display="'0'!A1" xr:uid="{00000000-0004-0000-0500-00001E000000}"/>
    <hyperlink ref="T7:T10" location="'0'!A1" tooltip="X stave 0, Front" display="'0'!A1" xr:uid="{00000000-0004-0000-0500-00001F000000}"/>
    <hyperlink ref="T6:T10" location="'10'!A1" display="'10'!A1" xr:uid="{00000000-0004-0000-0500-000020000000}"/>
    <hyperlink ref="R6" location="'0'!A1" tooltip="X stave 0, Front" display="'0'!A1" xr:uid="{00000000-0004-0000-0500-000021000000}"/>
    <hyperlink ref="R7:R10" location="'0'!A1" tooltip="X stave 0, Front" display="'0'!A1" xr:uid="{00000000-0004-0000-0500-000022000000}"/>
    <hyperlink ref="R6:R10" location="'11'!A1" display="'11'!A1" xr:uid="{00000000-0004-0000-0500-000023000000}"/>
  </hyperlinks>
  <pageMargins left="0.75" right="0.75" top="1" bottom="1" header="0.5" footer="0.5"/>
  <pageSetup orientation="portrait" horizontalDpi="4294967292" verticalDpi="429496729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B1:AV506"/>
  <sheetViews>
    <sheetView zoomScale="85" zoomScaleNormal="85" workbookViewId="0">
      <selection activeCell="AF8" sqref="AF8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344</v>
      </c>
      <c r="E2" s="511"/>
      <c r="F2" s="511"/>
      <c r="G2" s="512" t="s">
        <v>696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348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349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345">
        <v>0</v>
      </c>
      <c r="AE6" s="166"/>
      <c r="AF6" s="345">
        <v>0</v>
      </c>
      <c r="AG6" s="166"/>
      <c r="AH6" s="241">
        <v>0</v>
      </c>
      <c r="AI6" s="166"/>
      <c r="AJ6" s="241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346">
        <v>0</v>
      </c>
      <c r="AE7" s="166"/>
      <c r="AF7" s="346">
        <v>0</v>
      </c>
      <c r="AG7" s="166"/>
      <c r="AH7" s="242">
        <v>0</v>
      </c>
      <c r="AI7" s="166"/>
      <c r="AJ7" s="242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346">
        <v>0</v>
      </c>
      <c r="AE8" s="166"/>
      <c r="AF8" s="346">
        <v>0</v>
      </c>
      <c r="AG8" s="166"/>
      <c r="AH8" s="242">
        <v>0</v>
      </c>
      <c r="AI8" s="166"/>
      <c r="AJ8" s="242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346">
        <v>0</v>
      </c>
      <c r="AE9" s="166"/>
      <c r="AF9" s="346">
        <v>0</v>
      </c>
      <c r="AG9" s="166"/>
      <c r="AH9" s="242">
        <v>0</v>
      </c>
      <c r="AI9" s="166"/>
      <c r="AJ9" s="242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347">
        <v>0</v>
      </c>
      <c r="AE10" s="166"/>
      <c r="AF10" s="347">
        <v>0</v>
      </c>
      <c r="AG10" s="166"/>
      <c r="AH10" s="243">
        <v>0</v>
      </c>
      <c r="AI10" s="166"/>
      <c r="AJ10" s="243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68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340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8"/>
      <c r="AA17" s="19"/>
      <c r="AB17" s="508"/>
      <c r="AC17" s="19"/>
      <c r="AD17" s="508"/>
      <c r="AE17" s="19"/>
      <c r="AF17" s="509"/>
      <c r="AG17" s="15"/>
      <c r="AH17" s="509"/>
      <c r="AI17" s="19"/>
      <c r="AJ17" s="508"/>
      <c r="AK17" s="19"/>
      <c r="AL17" s="508"/>
      <c r="AM17" s="166"/>
      <c r="AN17" s="166"/>
      <c r="AO17" s="171"/>
      <c r="AP17" s="172"/>
      <c r="AQ17" s="164" t="s">
        <v>341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6"/>
      <c r="Q18" s="19"/>
      <c r="R18" s="356"/>
      <c r="S18" s="19"/>
      <c r="T18" s="356"/>
      <c r="U18" s="19"/>
      <c r="V18" s="356"/>
      <c r="W18" s="19"/>
      <c r="X18" s="356"/>
      <c r="Y18" s="19"/>
      <c r="Z18" s="356"/>
      <c r="AA18" s="19"/>
      <c r="AB18" s="356"/>
      <c r="AC18" s="19"/>
      <c r="AD18" s="356"/>
      <c r="AE18" s="19"/>
      <c r="AF18" s="510"/>
      <c r="AG18" s="19"/>
      <c r="AH18" s="510"/>
      <c r="AI18" s="19"/>
      <c r="AJ18" s="356"/>
      <c r="AK18" s="19"/>
      <c r="AL18" s="356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7">
        <v>11</v>
      </c>
      <c r="Q19" s="357"/>
      <c r="R19" s="357">
        <v>10</v>
      </c>
      <c r="S19" s="357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5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995</v>
      </c>
      <c r="F66" s="271"/>
      <c r="G66" s="276" t="s">
        <v>39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995</v>
      </c>
      <c r="F67" s="271"/>
      <c r="G67" s="276" t="s">
        <v>38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4" t="s">
        <v>994</v>
      </c>
      <c r="F70" s="271"/>
      <c r="G70" s="276" t="s">
        <v>284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4" t="s">
        <v>994</v>
      </c>
      <c r="F71" s="271"/>
      <c r="G71" s="276" t="s">
        <v>274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4" t="s">
        <v>994</v>
      </c>
      <c r="F74" s="13"/>
      <c r="G74" s="276" t="s">
        <v>39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4" t="s">
        <v>994</v>
      </c>
      <c r="F75" s="13"/>
      <c r="G75" s="276" t="s">
        <v>38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897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897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897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897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4" t="s">
        <v>994</v>
      </c>
      <c r="F80" s="13"/>
      <c r="G80" s="276" t="s">
        <v>50</v>
      </c>
      <c r="H80" s="235" t="s">
        <v>897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4" t="s">
        <v>994</v>
      </c>
      <c r="F81" s="13"/>
      <c r="G81" s="276" t="s">
        <v>51</v>
      </c>
      <c r="H81" s="235" t="s">
        <v>897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4" t="s">
        <v>994</v>
      </c>
      <c r="F82" s="13"/>
      <c r="G82" s="276" t="s">
        <v>40</v>
      </c>
      <c r="H82" s="235" t="s">
        <v>897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4" t="s">
        <v>994</v>
      </c>
      <c r="F83" s="13"/>
      <c r="G83" s="276" t="s">
        <v>41</v>
      </c>
      <c r="H83" s="235" t="s">
        <v>897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4" t="s">
        <v>994</v>
      </c>
      <c r="F84" s="13"/>
      <c r="G84" s="276" t="s">
        <v>69</v>
      </c>
      <c r="H84" s="235" t="s">
        <v>897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4" t="s">
        <v>994</v>
      </c>
      <c r="F85" s="13"/>
      <c r="G85" s="276" t="s">
        <v>68</v>
      </c>
      <c r="H85" s="235" t="s">
        <v>897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994</v>
      </c>
      <c r="F86" s="13"/>
      <c r="G86" s="276" t="s">
        <v>81</v>
      </c>
      <c r="H86" s="235" t="s">
        <v>897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994</v>
      </c>
      <c r="F87" s="13"/>
      <c r="G87" s="276" t="s">
        <v>80</v>
      </c>
      <c r="H87" s="235" t="s">
        <v>897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4" t="s">
        <v>994</v>
      </c>
      <c r="F88" s="184"/>
      <c r="G88" s="276" t="s">
        <v>79</v>
      </c>
      <c r="H88" s="235" t="s">
        <v>897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4" t="s">
        <v>994</v>
      </c>
      <c r="F89" s="184"/>
      <c r="G89" s="276" t="s">
        <v>78</v>
      </c>
      <c r="H89" s="235" t="s">
        <v>897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4" t="s">
        <v>994</v>
      </c>
      <c r="F90" s="13"/>
      <c r="G90" s="276" t="s">
        <v>59</v>
      </c>
      <c r="H90" s="235" t="s">
        <v>897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4" t="s">
        <v>994</v>
      </c>
      <c r="F91" s="13"/>
      <c r="G91" s="276" t="s">
        <v>58</v>
      </c>
      <c r="H91" s="235" t="s">
        <v>897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4" t="s">
        <v>994</v>
      </c>
      <c r="F92" s="185"/>
      <c r="G92" s="276" t="s">
        <v>31</v>
      </c>
      <c r="H92" s="235" t="s">
        <v>897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4" t="s">
        <v>994</v>
      </c>
      <c r="F93" s="13"/>
      <c r="G93" s="276" t="s">
        <v>30</v>
      </c>
      <c r="H93" s="235" t="s">
        <v>897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4" t="s">
        <v>994</v>
      </c>
      <c r="F94" s="13"/>
      <c r="G94" s="276" t="s">
        <v>71</v>
      </c>
      <c r="H94" s="235" t="s">
        <v>897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4" t="s">
        <v>994</v>
      </c>
      <c r="F95" s="13"/>
      <c r="G95" s="276" t="s">
        <v>70</v>
      </c>
      <c r="H95" s="235" t="s">
        <v>897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994</v>
      </c>
      <c r="F96" s="184"/>
      <c r="G96" s="276" t="s">
        <v>61</v>
      </c>
      <c r="H96" s="235" t="s">
        <v>897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994</v>
      </c>
      <c r="F97" s="184"/>
      <c r="G97" s="276" t="s">
        <v>60</v>
      </c>
      <c r="H97" s="235" t="s">
        <v>897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4" t="s">
        <v>994</v>
      </c>
      <c r="F98" s="13"/>
      <c r="G98" s="276" t="s">
        <v>49</v>
      </c>
      <c r="H98" s="235" t="s">
        <v>897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4" t="s">
        <v>994</v>
      </c>
      <c r="F99" s="13"/>
      <c r="G99" s="276" t="s">
        <v>48</v>
      </c>
      <c r="H99" s="235" t="s">
        <v>897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4"/>
      <c r="F100" s="184"/>
      <c r="G100" s="244"/>
      <c r="H100" s="340" t="s">
        <v>898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4"/>
      <c r="F101" s="184"/>
      <c r="G101" s="244"/>
      <c r="H101" s="235" t="s">
        <v>898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4"/>
      <c r="F102" s="184"/>
      <c r="G102" s="244"/>
      <c r="H102" s="235" t="s">
        <v>898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4"/>
      <c r="F103" s="184"/>
      <c r="G103" s="244"/>
      <c r="H103" s="235" t="s">
        <v>898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4" t="s">
        <v>994</v>
      </c>
      <c r="F104" s="13"/>
      <c r="G104" s="276" t="s">
        <v>268</v>
      </c>
      <c r="H104" s="235" t="s">
        <v>898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4" t="s">
        <v>994</v>
      </c>
      <c r="F105" s="13"/>
      <c r="G105" s="276" t="s">
        <v>269</v>
      </c>
      <c r="H105" s="235" t="s">
        <v>898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4" t="s">
        <v>994</v>
      </c>
      <c r="F106" s="13"/>
      <c r="G106" s="276" t="s">
        <v>261</v>
      </c>
      <c r="H106" s="235" t="s">
        <v>898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4" t="s">
        <v>994</v>
      </c>
      <c r="F107" s="13"/>
      <c r="G107" s="276" t="s">
        <v>260</v>
      </c>
      <c r="H107" s="235" t="s">
        <v>898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4"/>
      <c r="F108" s="13"/>
      <c r="G108" s="271"/>
      <c r="H108" s="235" t="s">
        <v>898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4"/>
      <c r="F109" s="13"/>
      <c r="G109" s="271"/>
      <c r="H109" s="235" t="s">
        <v>898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994</v>
      </c>
      <c r="F110" s="13"/>
      <c r="G110" s="276" t="s">
        <v>281</v>
      </c>
      <c r="H110" s="235" t="s">
        <v>898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994</v>
      </c>
      <c r="F111" s="13"/>
      <c r="G111" s="276" t="s">
        <v>280</v>
      </c>
      <c r="H111" s="235" t="s">
        <v>898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4" t="s">
        <v>994</v>
      </c>
      <c r="F112" s="13"/>
      <c r="G112" s="276" t="s">
        <v>257</v>
      </c>
      <c r="H112" s="235" t="s">
        <v>898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4" t="s">
        <v>994</v>
      </c>
      <c r="F113" s="13"/>
      <c r="G113" s="276" t="s">
        <v>267</v>
      </c>
      <c r="H113" s="235" t="s">
        <v>898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4" t="s">
        <v>994</v>
      </c>
      <c r="F114" s="184"/>
      <c r="G114" s="276" t="s">
        <v>289</v>
      </c>
      <c r="H114" s="235" t="s">
        <v>898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4" t="s">
        <v>994</v>
      </c>
      <c r="F115" s="184"/>
      <c r="G115" s="276" t="s">
        <v>288</v>
      </c>
      <c r="H115" s="235" t="s">
        <v>898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4" t="s">
        <v>994</v>
      </c>
      <c r="F116" s="184"/>
      <c r="G116" s="276" t="s">
        <v>291</v>
      </c>
      <c r="H116" s="235" t="s">
        <v>898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4" t="s">
        <v>994</v>
      </c>
      <c r="F117" s="184"/>
      <c r="G117" s="276" t="s">
        <v>290</v>
      </c>
      <c r="H117" s="235" t="s">
        <v>898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4"/>
      <c r="F118" s="13"/>
      <c r="G118" s="271"/>
      <c r="H118" s="235" t="s">
        <v>898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4"/>
      <c r="F119" s="13"/>
      <c r="G119" s="271"/>
      <c r="H119" s="235" t="s">
        <v>898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4" t="s">
        <v>994</v>
      </c>
      <c r="F120" s="13"/>
      <c r="G120" s="276" t="s">
        <v>271</v>
      </c>
      <c r="H120" s="235" t="s">
        <v>898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4" t="s">
        <v>994</v>
      </c>
      <c r="F121" s="13"/>
      <c r="G121" s="276" t="s">
        <v>270</v>
      </c>
      <c r="H121" s="235" t="s">
        <v>898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4" t="s">
        <v>994</v>
      </c>
      <c r="F122" s="13"/>
      <c r="G122" s="276" t="s">
        <v>258</v>
      </c>
      <c r="H122" s="235" t="s">
        <v>898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4" t="s">
        <v>994</v>
      </c>
      <c r="F123" s="13"/>
      <c r="G123" s="276" t="s">
        <v>259</v>
      </c>
      <c r="H123" s="235" t="s">
        <v>898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4"/>
      <c r="F124" s="184"/>
      <c r="G124" s="244"/>
      <c r="H124" s="340" t="s">
        <v>899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4"/>
      <c r="F125" s="184"/>
      <c r="G125" s="244"/>
      <c r="H125" s="235" t="s">
        <v>899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4"/>
      <c r="F126" s="184"/>
      <c r="G126" s="184"/>
      <c r="H126" s="235" t="s">
        <v>899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4"/>
      <c r="F127" s="184"/>
      <c r="G127" s="184"/>
      <c r="H127" s="235" t="s">
        <v>899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4" t="s">
        <v>994</v>
      </c>
      <c r="F128" s="13"/>
      <c r="G128" s="276" t="s">
        <v>262</v>
      </c>
      <c r="H128" s="235" t="s">
        <v>899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4" t="s">
        <v>994</v>
      </c>
      <c r="F129" s="13"/>
      <c r="G129" s="276" t="s">
        <v>252</v>
      </c>
      <c r="H129" s="235" t="s">
        <v>899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4" t="s">
        <v>994</v>
      </c>
      <c r="F130" s="13"/>
      <c r="G130" s="276" t="s">
        <v>282</v>
      </c>
      <c r="H130" s="235" t="s">
        <v>899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4" t="s">
        <v>994</v>
      </c>
      <c r="F131" s="13"/>
      <c r="G131" s="276" t="s">
        <v>272</v>
      </c>
      <c r="H131" s="235" t="s">
        <v>899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4"/>
      <c r="F132" s="13"/>
      <c r="G132" s="271"/>
      <c r="H132" s="235" t="s">
        <v>899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4"/>
      <c r="F133" s="13"/>
      <c r="G133" s="271"/>
      <c r="H133" s="235" t="s">
        <v>899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4" t="s">
        <v>994</v>
      </c>
      <c r="F134" s="13"/>
      <c r="G134" s="276" t="s">
        <v>264</v>
      </c>
      <c r="H134" s="235" t="s">
        <v>899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4" t="s">
        <v>994</v>
      </c>
      <c r="F135" s="13"/>
      <c r="G135" s="276" t="s">
        <v>254</v>
      </c>
      <c r="H135" s="235" t="s">
        <v>899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4" t="s">
        <v>994</v>
      </c>
      <c r="F136" s="13"/>
      <c r="G136" s="276" t="s">
        <v>266</v>
      </c>
      <c r="H136" s="235" t="s">
        <v>899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4" t="s">
        <v>994</v>
      </c>
      <c r="F137" s="13"/>
      <c r="G137" s="276" t="s">
        <v>256</v>
      </c>
      <c r="H137" s="235" t="s">
        <v>899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4" t="s">
        <v>994</v>
      </c>
      <c r="F138" s="184"/>
      <c r="G138" s="276" t="s">
        <v>265</v>
      </c>
      <c r="H138" s="235" t="s">
        <v>899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4" t="s">
        <v>994</v>
      </c>
      <c r="F139" s="184"/>
      <c r="G139" s="276" t="s">
        <v>255</v>
      </c>
      <c r="H139" s="235" t="s">
        <v>899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4" t="s">
        <v>994</v>
      </c>
      <c r="F140" s="184"/>
      <c r="G140" s="276" t="s">
        <v>285</v>
      </c>
      <c r="H140" s="235" t="s">
        <v>899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4" t="s">
        <v>994</v>
      </c>
      <c r="F141" s="184"/>
      <c r="G141" s="276" t="s">
        <v>275</v>
      </c>
      <c r="H141" s="235" t="s">
        <v>899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4"/>
      <c r="F142" s="13"/>
      <c r="G142" s="271"/>
      <c r="H142" s="235" t="s">
        <v>899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4"/>
      <c r="F143" s="13"/>
      <c r="G143" s="271"/>
      <c r="H143" s="235" t="s">
        <v>899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4" t="s">
        <v>994</v>
      </c>
      <c r="F144" s="13"/>
      <c r="G144" s="276" t="s">
        <v>247</v>
      </c>
      <c r="H144" s="235" t="s">
        <v>899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994</v>
      </c>
      <c r="F145" s="13"/>
      <c r="G145" s="276" t="s">
        <v>246</v>
      </c>
      <c r="H145" s="235" t="s">
        <v>899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4" t="s">
        <v>994</v>
      </c>
      <c r="F146" s="13"/>
      <c r="G146" s="276" t="s">
        <v>263</v>
      </c>
      <c r="H146" s="235" t="s">
        <v>899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4" t="s">
        <v>994</v>
      </c>
      <c r="F147" s="13"/>
      <c r="G147" s="276" t="s">
        <v>253</v>
      </c>
      <c r="H147" s="235" t="s">
        <v>899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902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902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235" t="s">
        <v>902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235" t="s">
        <v>902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995</v>
      </c>
      <c r="F152" s="13"/>
      <c r="G152" s="276" t="s">
        <v>316</v>
      </c>
      <c r="H152" s="235" t="s">
        <v>902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995</v>
      </c>
      <c r="F153" s="13"/>
      <c r="G153" s="276" t="s">
        <v>323</v>
      </c>
      <c r="H153" s="235" t="s">
        <v>902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995</v>
      </c>
      <c r="F154" s="13"/>
      <c r="G154" s="276" t="s">
        <v>327</v>
      </c>
      <c r="H154" s="235" t="s">
        <v>902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995</v>
      </c>
      <c r="F155" s="13"/>
      <c r="G155" s="276" t="s">
        <v>326</v>
      </c>
      <c r="H155" s="235" t="s">
        <v>902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/>
      <c r="F156" s="13"/>
      <c r="G156" s="271"/>
      <c r="H156" s="235" t="s">
        <v>902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/>
      <c r="F157" s="13"/>
      <c r="G157" s="271"/>
      <c r="H157" s="235" t="s">
        <v>902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995</v>
      </c>
      <c r="F158" s="13"/>
      <c r="G158" s="276" t="s">
        <v>297</v>
      </c>
      <c r="H158" s="235" t="s">
        <v>902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995</v>
      </c>
      <c r="F159" s="13"/>
      <c r="G159" s="276" t="s">
        <v>306</v>
      </c>
      <c r="H159" s="235" t="s">
        <v>902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995</v>
      </c>
      <c r="F160" s="184"/>
      <c r="G160" s="276" t="s">
        <v>300</v>
      </c>
      <c r="H160" s="235" t="s">
        <v>902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995</v>
      </c>
      <c r="F161" s="184"/>
      <c r="G161" s="276" t="s">
        <v>299</v>
      </c>
      <c r="H161" s="235" t="s">
        <v>902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995</v>
      </c>
      <c r="F162" s="184"/>
      <c r="G162" s="276" t="s">
        <v>307</v>
      </c>
      <c r="H162" s="235" t="s">
        <v>902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995</v>
      </c>
      <c r="F163" s="184"/>
      <c r="G163" s="276" t="s">
        <v>298</v>
      </c>
      <c r="H163" s="235" t="s">
        <v>902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995</v>
      </c>
      <c r="F164" s="184"/>
      <c r="G164" s="276" t="s">
        <v>322</v>
      </c>
      <c r="H164" s="235" t="s">
        <v>902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995</v>
      </c>
      <c r="F165" s="184"/>
      <c r="G165" s="276" t="s">
        <v>315</v>
      </c>
      <c r="H165" s="235" t="s">
        <v>902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/>
      <c r="F166" s="184"/>
      <c r="G166" s="338"/>
      <c r="H166" s="235" t="s">
        <v>902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/>
      <c r="F167" s="184"/>
      <c r="G167" s="338"/>
      <c r="H167" s="235" t="s">
        <v>902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995</v>
      </c>
      <c r="F168" s="13"/>
      <c r="G168" s="276" t="s">
        <v>308</v>
      </c>
      <c r="H168" s="235" t="s">
        <v>902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995</v>
      </c>
      <c r="F169" s="13"/>
      <c r="G169" s="276" t="s">
        <v>309</v>
      </c>
      <c r="H169" s="235" t="s">
        <v>902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995</v>
      </c>
      <c r="F170" s="13"/>
      <c r="G170" s="276" t="s">
        <v>324</v>
      </c>
      <c r="H170" s="235" t="s">
        <v>902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995</v>
      </c>
      <c r="F171" s="13"/>
      <c r="G171" s="276" t="s">
        <v>325</v>
      </c>
      <c r="H171" s="235" t="s">
        <v>902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903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903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903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903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995</v>
      </c>
      <c r="F176" s="13"/>
      <c r="G176" s="276" t="s">
        <v>50</v>
      </c>
      <c r="H176" s="235" t="s">
        <v>903</v>
      </c>
      <c r="I176" s="13"/>
      <c r="J176" s="13"/>
      <c r="K176" s="16"/>
    </row>
    <row r="177" spans="2:48">
      <c r="B177" s="26">
        <v>172</v>
      </c>
      <c r="C177" s="228" t="s">
        <v>47</v>
      </c>
      <c r="D177" s="229" t="s">
        <v>610</v>
      </c>
      <c r="E177" s="274" t="s">
        <v>995</v>
      </c>
      <c r="F177" s="13"/>
      <c r="G177" s="276" t="s">
        <v>51</v>
      </c>
      <c r="H177" s="235" t="s">
        <v>903</v>
      </c>
      <c r="I177" s="13"/>
      <c r="J177" s="13"/>
      <c r="K177" s="16"/>
    </row>
    <row r="178" spans="2:48">
      <c r="B178" s="26">
        <v>173</v>
      </c>
      <c r="C178" s="228" t="s">
        <v>77</v>
      </c>
      <c r="D178" s="229" t="s">
        <v>611</v>
      </c>
      <c r="E178" s="274" t="s">
        <v>995</v>
      </c>
      <c r="F178" s="13"/>
      <c r="G178" s="276" t="s">
        <v>40</v>
      </c>
      <c r="H178" s="235" t="s">
        <v>903</v>
      </c>
      <c r="I178" s="13"/>
      <c r="J178" s="13"/>
      <c r="K178" s="16"/>
    </row>
    <row r="179" spans="2:48">
      <c r="B179" s="26">
        <v>174</v>
      </c>
      <c r="C179" s="228" t="s">
        <v>87</v>
      </c>
      <c r="D179" s="229" t="s">
        <v>612</v>
      </c>
      <c r="E179" s="274" t="s">
        <v>995</v>
      </c>
      <c r="F179" s="13"/>
      <c r="G179" s="276" t="s">
        <v>41</v>
      </c>
      <c r="H179" s="235" t="s">
        <v>903</v>
      </c>
      <c r="I179" s="13"/>
      <c r="J179" s="13"/>
      <c r="K179" s="16"/>
    </row>
    <row r="180" spans="2:48">
      <c r="B180" s="26">
        <v>175</v>
      </c>
      <c r="C180" s="228" t="s">
        <v>33</v>
      </c>
      <c r="D180" s="229" t="s">
        <v>511</v>
      </c>
      <c r="E180" s="274"/>
      <c r="F180" s="13"/>
      <c r="G180" s="271"/>
      <c r="H180" s="235" t="s">
        <v>903</v>
      </c>
      <c r="I180" s="13"/>
      <c r="J180" s="13"/>
      <c r="K180" s="16"/>
    </row>
    <row r="181" spans="2:48">
      <c r="B181" s="26">
        <v>176</v>
      </c>
      <c r="C181" s="228" t="s">
        <v>43</v>
      </c>
      <c r="D181" s="229" t="s">
        <v>512</v>
      </c>
      <c r="E181" s="274"/>
      <c r="F181" s="13"/>
      <c r="G181" s="271"/>
      <c r="H181" s="235" t="s">
        <v>903</v>
      </c>
      <c r="I181" s="13"/>
      <c r="J181" s="13"/>
      <c r="K181" s="16"/>
    </row>
    <row r="182" spans="2:48">
      <c r="B182" s="26">
        <v>177</v>
      </c>
      <c r="C182" s="228" t="s">
        <v>73</v>
      </c>
      <c r="D182" s="229" t="s">
        <v>513</v>
      </c>
      <c r="E182" s="274" t="s">
        <v>995</v>
      </c>
      <c r="F182" s="13"/>
      <c r="G182" s="276" t="s">
        <v>81</v>
      </c>
      <c r="H182" s="235" t="s">
        <v>903</v>
      </c>
      <c r="I182" s="13"/>
      <c r="J182" s="13"/>
      <c r="K182" s="16"/>
    </row>
    <row r="183" spans="2:48">
      <c r="B183" s="26">
        <v>178</v>
      </c>
      <c r="C183" s="228" t="s">
        <v>83</v>
      </c>
      <c r="D183" s="229" t="s">
        <v>514</v>
      </c>
      <c r="E183" s="274" t="s">
        <v>995</v>
      </c>
      <c r="F183" s="13"/>
      <c r="G183" s="276" t="s">
        <v>80</v>
      </c>
      <c r="H183" s="235" t="s">
        <v>903</v>
      </c>
      <c r="I183" s="13"/>
      <c r="J183" s="13"/>
      <c r="K183" s="16"/>
    </row>
    <row r="184" spans="2:48">
      <c r="B184" s="26">
        <v>179</v>
      </c>
      <c r="C184" s="228" t="s">
        <v>18</v>
      </c>
      <c r="D184" s="229" t="s">
        <v>535</v>
      </c>
      <c r="E184" s="274" t="s">
        <v>995</v>
      </c>
      <c r="F184" s="184"/>
      <c r="G184" s="276" t="s">
        <v>79</v>
      </c>
      <c r="H184" s="235" t="s">
        <v>903</v>
      </c>
      <c r="I184" s="13"/>
      <c r="J184" s="13"/>
      <c r="K184" s="16"/>
    </row>
    <row r="185" spans="2:48">
      <c r="B185" s="26">
        <v>180</v>
      </c>
      <c r="C185" s="228" t="s">
        <v>26</v>
      </c>
      <c r="D185" s="230" t="s">
        <v>536</v>
      </c>
      <c r="E185" s="274" t="s">
        <v>995</v>
      </c>
      <c r="F185" s="184"/>
      <c r="G185" s="276" t="s">
        <v>78</v>
      </c>
      <c r="H185" s="235" t="s">
        <v>903</v>
      </c>
      <c r="I185" s="13"/>
      <c r="J185" s="13"/>
      <c r="K185" s="16"/>
    </row>
    <row r="186" spans="2:48">
      <c r="B186" s="26">
        <v>181</v>
      </c>
      <c r="C186" s="228" t="s">
        <v>54</v>
      </c>
      <c r="D186" s="230" t="s">
        <v>537</v>
      </c>
      <c r="E186" s="274" t="s">
        <v>995</v>
      </c>
      <c r="F186" s="13"/>
      <c r="G186" s="276" t="s">
        <v>59</v>
      </c>
      <c r="H186" s="235" t="s">
        <v>903</v>
      </c>
      <c r="I186" s="13"/>
      <c r="J186" s="13"/>
      <c r="K186" s="16"/>
    </row>
    <row r="187" spans="2:48">
      <c r="B187" s="26">
        <v>182</v>
      </c>
      <c r="C187" s="228" t="s">
        <v>64</v>
      </c>
      <c r="D187" s="230" t="s">
        <v>538</v>
      </c>
      <c r="E187" s="274" t="s">
        <v>995</v>
      </c>
      <c r="F187" s="13"/>
      <c r="G187" s="276" t="s">
        <v>58</v>
      </c>
      <c r="H187" s="235" t="s">
        <v>903</v>
      </c>
      <c r="I187" s="13"/>
      <c r="J187" s="13"/>
      <c r="K187" s="16"/>
      <c r="AQ187"/>
      <c r="AR187"/>
      <c r="AS187"/>
      <c r="AT187"/>
      <c r="AU187"/>
      <c r="AV187"/>
    </row>
    <row r="188" spans="2:48">
      <c r="B188" s="26">
        <v>183</v>
      </c>
      <c r="C188" s="228" t="s">
        <v>35</v>
      </c>
      <c r="D188" s="229" t="s">
        <v>559</v>
      </c>
      <c r="E188" s="274" t="s">
        <v>995</v>
      </c>
      <c r="F188" s="13"/>
      <c r="G188" s="276" t="s">
        <v>31</v>
      </c>
      <c r="H188" s="235" t="s">
        <v>903</v>
      </c>
      <c r="I188" s="13"/>
      <c r="J188" s="13"/>
      <c r="K188" s="16"/>
      <c r="AQ188"/>
      <c r="AR188"/>
      <c r="AS188"/>
      <c r="AT188"/>
      <c r="AU188"/>
      <c r="AV188"/>
    </row>
    <row r="189" spans="2:48">
      <c r="B189" s="26">
        <v>184</v>
      </c>
      <c r="C189" s="228" t="s">
        <v>45</v>
      </c>
      <c r="D189" s="229" t="s">
        <v>560</v>
      </c>
      <c r="E189" s="274" t="s">
        <v>995</v>
      </c>
      <c r="F189" s="13"/>
      <c r="G189" s="276" t="s">
        <v>30</v>
      </c>
      <c r="H189" s="235" t="s">
        <v>903</v>
      </c>
      <c r="I189" s="13"/>
      <c r="J189" s="13"/>
      <c r="K189" s="16"/>
      <c r="AQ189"/>
      <c r="AR189"/>
      <c r="AS189"/>
      <c r="AT189"/>
      <c r="AU189"/>
      <c r="AV189"/>
    </row>
    <row r="190" spans="2:48">
      <c r="B190" s="26">
        <v>185</v>
      </c>
      <c r="C190" s="228" t="s">
        <v>75</v>
      </c>
      <c r="D190" s="229" t="s">
        <v>561</v>
      </c>
      <c r="E190" s="274"/>
      <c r="F190" s="13"/>
      <c r="G190" s="271"/>
      <c r="H190" s="235" t="s">
        <v>903</v>
      </c>
      <c r="I190" s="13"/>
      <c r="J190" s="13"/>
      <c r="K190" s="16"/>
      <c r="AQ190"/>
      <c r="AR190"/>
      <c r="AS190"/>
      <c r="AT190"/>
      <c r="AU190"/>
      <c r="AV190"/>
    </row>
    <row r="191" spans="2:48">
      <c r="B191" s="26">
        <v>186</v>
      </c>
      <c r="C191" s="228" t="s">
        <v>85</v>
      </c>
      <c r="D191" s="229" t="s">
        <v>562</v>
      </c>
      <c r="E191" s="274"/>
      <c r="F191" s="13"/>
      <c r="G191" s="271"/>
      <c r="H191" s="235" t="s">
        <v>903</v>
      </c>
      <c r="I191" s="13"/>
      <c r="J191" s="13"/>
      <c r="K191" s="16"/>
      <c r="AQ191"/>
      <c r="AR191"/>
      <c r="AS191"/>
      <c r="AT191"/>
      <c r="AU191"/>
      <c r="AV191"/>
    </row>
    <row r="192" spans="2:48">
      <c r="B192" s="26">
        <v>187</v>
      </c>
      <c r="C192" s="228" t="s">
        <v>20</v>
      </c>
      <c r="D192" s="229" t="s">
        <v>583</v>
      </c>
      <c r="E192" s="274" t="s">
        <v>995</v>
      </c>
      <c r="F192" s="184"/>
      <c r="G192" s="276" t="s">
        <v>61</v>
      </c>
      <c r="H192" s="235" t="s">
        <v>903</v>
      </c>
      <c r="I192" s="13"/>
      <c r="J192" s="13"/>
      <c r="K192" s="16"/>
      <c r="AQ192"/>
      <c r="AR192"/>
      <c r="AS192"/>
      <c r="AT192"/>
      <c r="AU192"/>
      <c r="AV192"/>
    </row>
    <row r="193" spans="2:48">
      <c r="B193" s="26">
        <v>188</v>
      </c>
      <c r="C193" s="228" t="s">
        <v>28</v>
      </c>
      <c r="D193" s="229" t="s">
        <v>584</v>
      </c>
      <c r="E193" s="274" t="s">
        <v>995</v>
      </c>
      <c r="F193" s="184"/>
      <c r="G193" s="276" t="s">
        <v>60</v>
      </c>
      <c r="H193" s="235" t="s">
        <v>903</v>
      </c>
      <c r="I193" s="13"/>
      <c r="J193" s="13"/>
      <c r="K193" s="16"/>
      <c r="AQ193"/>
      <c r="AR193"/>
      <c r="AS193"/>
      <c r="AT193"/>
      <c r="AU193"/>
      <c r="AV193"/>
    </row>
    <row r="194" spans="2:48">
      <c r="B194" s="26">
        <v>189</v>
      </c>
      <c r="C194" s="228" t="s">
        <v>56</v>
      </c>
      <c r="D194" s="229" t="s">
        <v>585</v>
      </c>
      <c r="E194" s="274" t="s">
        <v>995</v>
      </c>
      <c r="F194" s="13"/>
      <c r="G194" s="276" t="s">
        <v>49</v>
      </c>
      <c r="H194" s="235" t="s">
        <v>903</v>
      </c>
      <c r="I194" s="13"/>
      <c r="J194" s="13"/>
      <c r="K194" s="16"/>
      <c r="AQ194"/>
      <c r="AR194"/>
      <c r="AS194"/>
      <c r="AT194"/>
      <c r="AU194"/>
      <c r="AV194"/>
    </row>
    <row r="195" spans="2:48">
      <c r="B195" s="26">
        <v>190</v>
      </c>
      <c r="C195" s="228" t="s">
        <v>66</v>
      </c>
      <c r="D195" s="229" t="s">
        <v>586</v>
      </c>
      <c r="E195" s="274" t="s">
        <v>995</v>
      </c>
      <c r="F195" s="13"/>
      <c r="G195" s="276" t="s">
        <v>48</v>
      </c>
      <c r="H195" s="235" t="s">
        <v>903</v>
      </c>
      <c r="I195" s="13"/>
      <c r="J195" s="13"/>
      <c r="K195" s="16"/>
      <c r="AQ195"/>
      <c r="AR195"/>
      <c r="AS195"/>
      <c r="AT195"/>
      <c r="AU195"/>
      <c r="AV195"/>
    </row>
    <row r="196" spans="2:48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39" t="s">
        <v>901</v>
      </c>
      <c r="I196" s="13"/>
      <c r="J196" s="13"/>
      <c r="K196" s="16"/>
      <c r="AQ196"/>
      <c r="AR196"/>
      <c r="AS196"/>
      <c r="AT196"/>
      <c r="AU196"/>
      <c r="AV196"/>
    </row>
    <row r="197" spans="2:48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901</v>
      </c>
      <c r="I197" s="13"/>
      <c r="J197" s="13"/>
      <c r="K197" s="16"/>
      <c r="AQ197"/>
      <c r="AR197"/>
      <c r="AS197"/>
      <c r="AT197"/>
      <c r="AU197"/>
      <c r="AV197"/>
    </row>
    <row r="198" spans="2:48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901</v>
      </c>
      <c r="I198" s="13"/>
      <c r="J198" s="13"/>
      <c r="K198" s="16"/>
      <c r="AQ198"/>
      <c r="AR198"/>
      <c r="AS198"/>
      <c r="AT198"/>
      <c r="AU198"/>
      <c r="AV198"/>
    </row>
    <row r="199" spans="2:48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901</v>
      </c>
      <c r="I199" s="13"/>
      <c r="J199" s="13"/>
      <c r="K199" s="16"/>
      <c r="AQ199"/>
      <c r="AR199"/>
      <c r="AS199"/>
      <c r="AT199"/>
      <c r="AU199"/>
      <c r="AV199"/>
    </row>
    <row r="200" spans="2:48">
      <c r="B200" s="26">
        <v>195</v>
      </c>
      <c r="C200" s="228" t="s">
        <v>853</v>
      </c>
      <c r="D200" s="229" t="s">
        <v>605</v>
      </c>
      <c r="E200" s="274" t="s">
        <v>994</v>
      </c>
      <c r="F200" s="274"/>
      <c r="G200" s="276" t="s">
        <v>316</v>
      </c>
      <c r="H200" s="235" t="s">
        <v>901</v>
      </c>
      <c r="I200" s="13"/>
      <c r="J200" s="13"/>
      <c r="K200" s="16"/>
      <c r="AQ200"/>
      <c r="AR200"/>
      <c r="AS200"/>
      <c r="AT200"/>
      <c r="AU200"/>
      <c r="AV200"/>
    </row>
    <row r="201" spans="2:48">
      <c r="B201" s="26">
        <v>196</v>
      </c>
      <c r="C201" s="228" t="s">
        <v>854</v>
      </c>
      <c r="D201" s="229" t="s">
        <v>606</v>
      </c>
      <c r="E201" s="274" t="s">
        <v>994</v>
      </c>
      <c r="F201" s="274"/>
      <c r="G201" s="276" t="s">
        <v>323</v>
      </c>
      <c r="H201" s="235" t="s">
        <v>901</v>
      </c>
      <c r="I201" s="13"/>
      <c r="J201" s="13"/>
      <c r="K201" s="16"/>
      <c r="AQ201"/>
      <c r="AR201"/>
      <c r="AS201"/>
      <c r="AT201"/>
      <c r="AU201"/>
      <c r="AV201"/>
    </row>
    <row r="202" spans="2:48">
      <c r="B202" s="26">
        <v>197</v>
      </c>
      <c r="C202" s="228" t="s">
        <v>857</v>
      </c>
      <c r="D202" s="229" t="s">
        <v>607</v>
      </c>
      <c r="E202" s="274" t="s">
        <v>994</v>
      </c>
      <c r="F202" s="274"/>
      <c r="G202" s="276" t="s">
        <v>327</v>
      </c>
      <c r="H202" s="235" t="s">
        <v>901</v>
      </c>
      <c r="I202" s="13"/>
      <c r="J202" s="13"/>
      <c r="K202" s="16"/>
      <c r="AQ202"/>
      <c r="AR202"/>
      <c r="AS202"/>
      <c r="AT202"/>
      <c r="AU202"/>
      <c r="AV202"/>
    </row>
    <row r="203" spans="2:48">
      <c r="B203" s="26">
        <v>198</v>
      </c>
      <c r="C203" s="228" t="s">
        <v>7</v>
      </c>
      <c r="D203" s="229" t="s">
        <v>608</v>
      </c>
      <c r="E203" s="274" t="s">
        <v>994</v>
      </c>
      <c r="F203" s="274"/>
      <c r="G203" s="276" t="s">
        <v>326</v>
      </c>
      <c r="H203" s="235" t="s">
        <v>901</v>
      </c>
      <c r="I203" s="13"/>
      <c r="J203" s="13"/>
      <c r="K203" s="16"/>
      <c r="AQ203"/>
      <c r="AR203"/>
      <c r="AS203"/>
      <c r="AT203"/>
      <c r="AU203"/>
      <c r="AV203"/>
    </row>
    <row r="204" spans="2:48">
      <c r="B204" s="26">
        <v>199</v>
      </c>
      <c r="C204" s="228" t="s">
        <v>817</v>
      </c>
      <c r="D204" s="229" t="s">
        <v>507</v>
      </c>
      <c r="E204" s="274" t="s">
        <v>994</v>
      </c>
      <c r="F204" s="274"/>
      <c r="G204" s="276" t="s">
        <v>296</v>
      </c>
      <c r="H204" s="235" t="s">
        <v>901</v>
      </c>
      <c r="I204" s="13"/>
      <c r="J204" s="13"/>
      <c r="K204" s="16"/>
      <c r="AQ204"/>
      <c r="AR204"/>
      <c r="AS204"/>
      <c r="AT204"/>
      <c r="AU204"/>
      <c r="AV204"/>
    </row>
    <row r="205" spans="2:48">
      <c r="B205" s="26">
        <v>200</v>
      </c>
      <c r="C205" s="228" t="s">
        <v>818</v>
      </c>
      <c r="D205" s="229" t="s">
        <v>508</v>
      </c>
      <c r="E205" s="274" t="s">
        <v>994</v>
      </c>
      <c r="F205" s="274"/>
      <c r="G205" s="276" t="s">
        <v>305</v>
      </c>
      <c r="H205" s="235" t="s">
        <v>901</v>
      </c>
      <c r="I205" s="13"/>
      <c r="J205" s="13"/>
      <c r="K205" s="16"/>
      <c r="AQ205"/>
      <c r="AR205"/>
      <c r="AS205"/>
      <c r="AT205"/>
      <c r="AU205"/>
      <c r="AV205"/>
    </row>
    <row r="206" spans="2:48">
      <c r="B206" s="26">
        <v>201</v>
      </c>
      <c r="C206" s="228" t="s">
        <v>821</v>
      </c>
      <c r="D206" s="229" t="s">
        <v>509</v>
      </c>
      <c r="E206" s="274" t="s">
        <v>994</v>
      </c>
      <c r="F206" s="274"/>
      <c r="G206" s="276" t="s">
        <v>297</v>
      </c>
      <c r="H206" s="235" t="s">
        <v>901</v>
      </c>
      <c r="I206" s="13"/>
      <c r="J206" s="13"/>
      <c r="K206" s="16"/>
      <c r="AQ206"/>
      <c r="AR206"/>
      <c r="AS206"/>
      <c r="AT206"/>
      <c r="AU206"/>
      <c r="AV206"/>
    </row>
    <row r="207" spans="2:48">
      <c r="B207" s="26">
        <v>202</v>
      </c>
      <c r="C207" s="228" t="s">
        <v>3</v>
      </c>
      <c r="D207" s="229" t="s">
        <v>510</v>
      </c>
      <c r="E207" s="274" t="s">
        <v>994</v>
      </c>
      <c r="F207" s="274"/>
      <c r="G207" s="276" t="s">
        <v>306</v>
      </c>
      <c r="H207" s="235" t="s">
        <v>901</v>
      </c>
      <c r="I207" s="13"/>
      <c r="J207" s="13"/>
      <c r="K207" s="16"/>
      <c r="AQ207"/>
      <c r="AR207"/>
      <c r="AS207"/>
      <c r="AT207"/>
      <c r="AU207"/>
      <c r="AV207"/>
    </row>
    <row r="208" spans="2:48">
      <c r="B208" s="26">
        <v>203</v>
      </c>
      <c r="C208" s="228" t="s">
        <v>824</v>
      </c>
      <c r="D208" s="230" t="s">
        <v>531</v>
      </c>
      <c r="E208" s="274" t="s">
        <v>994</v>
      </c>
      <c r="F208" s="274"/>
      <c r="G208" s="276" t="s">
        <v>300</v>
      </c>
      <c r="H208" s="235" t="s">
        <v>901</v>
      </c>
      <c r="I208" s="13"/>
      <c r="J208" s="13"/>
      <c r="K208" s="16"/>
      <c r="AQ208"/>
      <c r="AR208"/>
      <c r="AS208"/>
      <c r="AT208"/>
      <c r="AU208"/>
      <c r="AV208"/>
    </row>
    <row r="209" spans="2:48">
      <c r="B209" s="26">
        <v>204</v>
      </c>
      <c r="C209" s="228" t="s">
        <v>825</v>
      </c>
      <c r="D209" s="230" t="s">
        <v>532</v>
      </c>
      <c r="E209" s="274" t="s">
        <v>994</v>
      </c>
      <c r="F209" s="274"/>
      <c r="G209" s="276" t="s">
        <v>299</v>
      </c>
      <c r="H209" s="235" t="s">
        <v>901</v>
      </c>
      <c r="I209" s="13"/>
      <c r="J209" s="13"/>
      <c r="K209" s="16"/>
      <c r="AQ209"/>
      <c r="AR209"/>
      <c r="AS209"/>
      <c r="AT209"/>
      <c r="AU209"/>
      <c r="AV209"/>
    </row>
    <row r="210" spans="2:48">
      <c r="B210" s="26">
        <v>205</v>
      </c>
      <c r="C210" s="228" t="s">
        <v>828</v>
      </c>
      <c r="D210" s="230" t="s">
        <v>533</v>
      </c>
      <c r="E210" s="274" t="s">
        <v>994</v>
      </c>
      <c r="F210" s="274"/>
      <c r="G210" s="276" t="s">
        <v>307</v>
      </c>
      <c r="H210" s="235" t="s">
        <v>901</v>
      </c>
      <c r="I210" s="13"/>
      <c r="J210" s="13"/>
      <c r="K210" s="16"/>
      <c r="AQ210"/>
      <c r="AR210"/>
      <c r="AS210"/>
      <c r="AT210"/>
      <c r="AU210"/>
      <c r="AV210"/>
    </row>
    <row r="211" spans="2:48">
      <c r="B211" s="26">
        <v>206</v>
      </c>
      <c r="C211" s="228" t="s">
        <v>829</v>
      </c>
      <c r="D211" s="230" t="s">
        <v>534</v>
      </c>
      <c r="E211" s="274" t="s">
        <v>994</v>
      </c>
      <c r="F211" s="274"/>
      <c r="G211" s="276" t="s">
        <v>298</v>
      </c>
      <c r="H211" s="235" t="s">
        <v>901</v>
      </c>
      <c r="I211" s="13"/>
      <c r="J211" s="13"/>
      <c r="K211" s="16"/>
      <c r="AQ211"/>
      <c r="AR211"/>
      <c r="AS211"/>
      <c r="AT211"/>
      <c r="AU211"/>
      <c r="AV211"/>
    </row>
    <row r="212" spans="2:48">
      <c r="B212" s="26">
        <v>207</v>
      </c>
      <c r="C212" s="228" t="s">
        <v>835</v>
      </c>
      <c r="D212" s="230" t="s">
        <v>555</v>
      </c>
      <c r="E212" s="274" t="s">
        <v>994</v>
      </c>
      <c r="F212" s="274"/>
      <c r="G212" s="276" t="s">
        <v>322</v>
      </c>
      <c r="H212" s="235" t="s">
        <v>901</v>
      </c>
      <c r="I212" s="13"/>
      <c r="J212" s="13"/>
      <c r="K212" s="16"/>
      <c r="AQ212"/>
      <c r="AR212"/>
      <c r="AS212"/>
      <c r="AT212"/>
      <c r="AU212"/>
      <c r="AV212"/>
    </row>
    <row r="213" spans="2:48">
      <c r="B213" s="26">
        <v>208</v>
      </c>
      <c r="C213" s="228" t="s">
        <v>836</v>
      </c>
      <c r="D213" s="230" t="s">
        <v>556</v>
      </c>
      <c r="E213" s="274" t="s">
        <v>994</v>
      </c>
      <c r="F213" s="274"/>
      <c r="G213" s="276" t="s">
        <v>315</v>
      </c>
      <c r="H213" s="235" t="s">
        <v>901</v>
      </c>
      <c r="I213" s="13"/>
      <c r="J213" s="13"/>
      <c r="K213" s="16"/>
      <c r="AQ213"/>
      <c r="AR213"/>
      <c r="AS213"/>
      <c r="AT213"/>
      <c r="AU213"/>
      <c r="AV213"/>
    </row>
    <row r="214" spans="2:48">
      <c r="B214" s="26">
        <v>209</v>
      </c>
      <c r="C214" s="228" t="s">
        <v>839</v>
      </c>
      <c r="D214" s="229" t="s">
        <v>557</v>
      </c>
      <c r="E214" s="274" t="s">
        <v>994</v>
      </c>
      <c r="F214" s="274"/>
      <c r="G214" s="276" t="s">
        <v>314</v>
      </c>
      <c r="H214" s="235" t="s">
        <v>901</v>
      </c>
      <c r="I214" s="13"/>
      <c r="J214" s="13"/>
      <c r="K214" s="16"/>
      <c r="AQ214"/>
      <c r="AR214"/>
      <c r="AS214"/>
      <c r="AT214"/>
      <c r="AU214"/>
      <c r="AV214"/>
    </row>
    <row r="215" spans="2:48">
      <c r="B215" s="26">
        <v>210</v>
      </c>
      <c r="C215" s="228" t="s">
        <v>5</v>
      </c>
      <c r="D215" s="229" t="s">
        <v>558</v>
      </c>
      <c r="E215" s="274" t="s">
        <v>994</v>
      </c>
      <c r="F215" s="274"/>
      <c r="G215" s="276" t="s">
        <v>321</v>
      </c>
      <c r="H215" s="235" t="s">
        <v>901</v>
      </c>
      <c r="I215" s="13"/>
      <c r="J215" s="13"/>
      <c r="K215" s="16"/>
      <c r="AQ215"/>
      <c r="AR215"/>
      <c r="AS215"/>
      <c r="AT215"/>
      <c r="AU215"/>
      <c r="AV215"/>
    </row>
    <row r="216" spans="2:48">
      <c r="B216" s="26">
        <v>211</v>
      </c>
      <c r="C216" s="228" t="s">
        <v>842</v>
      </c>
      <c r="D216" s="229" t="s">
        <v>579</v>
      </c>
      <c r="E216" s="274" t="s">
        <v>994</v>
      </c>
      <c r="F216" s="274"/>
      <c r="G216" s="276" t="s">
        <v>308</v>
      </c>
      <c r="H216" s="235" t="s">
        <v>901</v>
      </c>
      <c r="I216" s="13"/>
      <c r="J216" s="13"/>
      <c r="K216" s="16"/>
      <c r="AQ216"/>
      <c r="AR216"/>
      <c r="AS216"/>
      <c r="AT216"/>
      <c r="AU216"/>
      <c r="AV216"/>
    </row>
    <row r="217" spans="2:48">
      <c r="B217" s="26">
        <v>212</v>
      </c>
      <c r="C217" s="228" t="s">
        <v>843</v>
      </c>
      <c r="D217" s="229" t="s">
        <v>580</v>
      </c>
      <c r="E217" s="274" t="s">
        <v>994</v>
      </c>
      <c r="F217" s="274"/>
      <c r="G217" s="276" t="s">
        <v>309</v>
      </c>
      <c r="H217" s="235" t="s">
        <v>901</v>
      </c>
      <c r="I217" s="13"/>
      <c r="J217" s="13"/>
      <c r="K217" s="16"/>
      <c r="AQ217"/>
      <c r="AR217"/>
      <c r="AS217"/>
      <c r="AT217"/>
      <c r="AU217"/>
      <c r="AV217"/>
    </row>
    <row r="218" spans="2:48">
      <c r="B218" s="26">
        <v>213</v>
      </c>
      <c r="C218" s="228" t="s">
        <v>846</v>
      </c>
      <c r="D218" s="229" t="s">
        <v>581</v>
      </c>
      <c r="E218" s="274" t="s">
        <v>994</v>
      </c>
      <c r="F218" s="274"/>
      <c r="G218" s="276" t="s">
        <v>324</v>
      </c>
      <c r="H218" s="235" t="s">
        <v>901</v>
      </c>
      <c r="I218" s="13"/>
      <c r="J218" s="13"/>
      <c r="K218" s="16"/>
      <c r="AQ218"/>
      <c r="AR218"/>
      <c r="AS218"/>
      <c r="AT218"/>
      <c r="AU218"/>
      <c r="AV218"/>
    </row>
    <row r="219" spans="2:48">
      <c r="B219" s="26">
        <v>214</v>
      </c>
      <c r="C219" s="228" t="s">
        <v>847</v>
      </c>
      <c r="D219" s="229" t="s">
        <v>582</v>
      </c>
      <c r="E219" s="274" t="s">
        <v>994</v>
      </c>
      <c r="F219" s="274"/>
      <c r="G219" s="276" t="s">
        <v>325</v>
      </c>
      <c r="H219" s="235" t="s">
        <v>901</v>
      </c>
      <c r="I219" s="13"/>
      <c r="J219" s="13"/>
      <c r="K219" s="16"/>
      <c r="AQ219"/>
      <c r="AR219"/>
      <c r="AS219"/>
      <c r="AT219"/>
      <c r="AU219"/>
      <c r="AV219"/>
    </row>
    <row r="220" spans="2:48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  <c r="AQ220"/>
      <c r="AR220"/>
      <c r="AS220"/>
      <c r="AT220"/>
      <c r="AU220"/>
      <c r="AV220"/>
    </row>
    <row r="221" spans="2:48">
      <c r="B221" s="26">
        <v>216</v>
      </c>
      <c r="C221" s="228" t="s">
        <v>269</v>
      </c>
      <c r="D221" s="280" t="s">
        <v>654</v>
      </c>
      <c r="E221" s="274" t="s">
        <v>995</v>
      </c>
      <c r="F221" s="271"/>
      <c r="G221" s="276" t="s">
        <v>952</v>
      </c>
      <c r="H221" s="13"/>
      <c r="I221" s="13"/>
      <c r="J221" s="13"/>
      <c r="K221" s="16"/>
      <c r="AQ221"/>
      <c r="AR221"/>
      <c r="AS221"/>
      <c r="AT221"/>
      <c r="AU221"/>
      <c r="AV221"/>
    </row>
    <row r="222" spans="2:48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  <c r="AQ222"/>
      <c r="AR222"/>
      <c r="AS222"/>
      <c r="AT222"/>
      <c r="AU222"/>
      <c r="AV222"/>
    </row>
    <row r="223" spans="2:48">
      <c r="B223" s="26">
        <v>218</v>
      </c>
      <c r="C223" s="228" t="s">
        <v>795</v>
      </c>
      <c r="D223" s="280" t="s">
        <v>656</v>
      </c>
      <c r="E223" s="274" t="s">
        <v>994</v>
      </c>
      <c r="F223" s="275"/>
      <c r="G223" s="276" t="s">
        <v>273</v>
      </c>
      <c r="H223" s="13"/>
      <c r="I223" s="13"/>
      <c r="J223" s="13"/>
      <c r="K223" s="16"/>
      <c r="AQ223"/>
      <c r="AR223"/>
      <c r="AS223"/>
      <c r="AT223"/>
      <c r="AU223"/>
      <c r="AV223"/>
    </row>
    <row r="224" spans="2:48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  <c r="AQ224"/>
      <c r="AR224"/>
      <c r="AS224"/>
      <c r="AT224"/>
      <c r="AU224"/>
      <c r="AV224"/>
    </row>
    <row r="225" spans="2:48">
      <c r="B225" s="26">
        <v>220</v>
      </c>
      <c r="C225" s="228" t="s">
        <v>799</v>
      </c>
      <c r="D225" s="280" t="s">
        <v>658</v>
      </c>
      <c r="E225" s="274" t="s">
        <v>994</v>
      </c>
      <c r="F225" s="271"/>
      <c r="G225" s="276" t="s">
        <v>952</v>
      </c>
      <c r="H225" s="13"/>
      <c r="I225" s="13"/>
      <c r="J225" s="13"/>
      <c r="K225" s="16"/>
      <c r="AQ225"/>
      <c r="AR225"/>
      <c r="AS225"/>
      <c r="AT225"/>
      <c r="AU225"/>
      <c r="AV225"/>
    </row>
    <row r="226" spans="2:48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  <c r="AQ226"/>
      <c r="AR226"/>
      <c r="AS226"/>
      <c r="AT226"/>
      <c r="AU226"/>
      <c r="AV226"/>
    </row>
    <row r="227" spans="2:48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  <c r="AQ227"/>
      <c r="AR227"/>
      <c r="AS227"/>
      <c r="AT227"/>
      <c r="AU227"/>
      <c r="AV227"/>
    </row>
    <row r="228" spans="2:48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  <c r="AQ228"/>
      <c r="AR228"/>
      <c r="AS228"/>
      <c r="AT228"/>
      <c r="AU228"/>
      <c r="AV228"/>
    </row>
    <row r="229" spans="2:48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  <c r="AU229"/>
      <c r="AV229"/>
    </row>
    <row r="230" spans="2:48">
      <c r="B230" s="26">
        <v>225</v>
      </c>
      <c r="C230" s="259" t="s">
        <v>39</v>
      </c>
      <c r="D230" s="306" t="s">
        <v>664</v>
      </c>
      <c r="E230" s="274" t="s">
        <v>995</v>
      </c>
      <c r="F230" s="5"/>
      <c r="G230" s="276" t="s">
        <v>955</v>
      </c>
      <c r="H230" s="5"/>
      <c r="I230" s="5"/>
      <c r="J230" s="5"/>
      <c r="K230" s="14"/>
      <c r="AU230"/>
      <c r="AV230"/>
    </row>
    <row r="231" spans="2:48">
      <c r="B231" s="26">
        <v>226</v>
      </c>
      <c r="C231" s="259" t="s">
        <v>79</v>
      </c>
      <c r="D231" s="306" t="s">
        <v>666</v>
      </c>
      <c r="E231" s="5"/>
      <c r="F231" s="5"/>
      <c r="G231" s="5"/>
      <c r="H231" s="5"/>
      <c r="I231" s="5"/>
      <c r="J231" s="5"/>
      <c r="K231" s="14"/>
      <c r="AU231"/>
      <c r="AV231"/>
    </row>
    <row r="232" spans="2:48">
      <c r="B232" s="26">
        <v>227</v>
      </c>
      <c r="C232" s="259" t="s">
        <v>119</v>
      </c>
      <c r="D232" s="306" t="s">
        <v>668</v>
      </c>
      <c r="E232" s="274" t="s">
        <v>994</v>
      </c>
      <c r="F232" s="5"/>
      <c r="G232" s="276" t="s">
        <v>233</v>
      </c>
      <c r="H232" s="5"/>
      <c r="I232" s="5"/>
      <c r="J232" s="5"/>
      <c r="K232" s="14"/>
      <c r="AU232"/>
      <c r="AV232"/>
    </row>
    <row r="233" spans="2:48">
      <c r="B233" s="26">
        <v>228</v>
      </c>
      <c r="C233" s="259" t="s">
        <v>153</v>
      </c>
      <c r="D233" s="307" t="s">
        <v>670</v>
      </c>
      <c r="E233" s="13"/>
      <c r="F233" s="13"/>
      <c r="G233" s="256"/>
      <c r="H233" s="5"/>
      <c r="I233" s="5"/>
      <c r="J233" s="5"/>
      <c r="K233" s="14"/>
      <c r="AU233"/>
      <c r="AV233"/>
    </row>
    <row r="234" spans="2:48">
      <c r="B234" s="26">
        <v>229</v>
      </c>
      <c r="C234" s="228" t="s">
        <v>802</v>
      </c>
      <c r="D234" s="307" t="s">
        <v>672</v>
      </c>
      <c r="E234" s="274" t="s">
        <v>994</v>
      </c>
      <c r="F234" s="271"/>
      <c r="G234" s="276" t="s">
        <v>955</v>
      </c>
      <c r="H234" s="13"/>
      <c r="I234" s="13"/>
      <c r="J234" s="13"/>
      <c r="K234" s="16"/>
      <c r="AU234"/>
      <c r="AV234"/>
    </row>
    <row r="235" spans="2:48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  <c r="AQ235"/>
      <c r="AR235"/>
      <c r="AS235"/>
      <c r="AT235"/>
      <c r="AU235"/>
      <c r="AV235"/>
    </row>
    <row r="236" spans="2:48">
      <c r="B236" s="26">
        <v>231</v>
      </c>
      <c r="C236" s="259" t="s">
        <v>49</v>
      </c>
      <c r="D236" s="306" t="s">
        <v>663</v>
      </c>
      <c r="E236" s="274" t="s">
        <v>995</v>
      </c>
      <c r="F236" s="5"/>
      <c r="G236" s="276" t="s">
        <v>954</v>
      </c>
      <c r="H236" s="5"/>
      <c r="I236" s="5"/>
      <c r="J236" s="5"/>
      <c r="K236" s="309"/>
      <c r="AQ236"/>
      <c r="AR236"/>
      <c r="AS236"/>
      <c r="AT236"/>
      <c r="AU236"/>
      <c r="AV236"/>
    </row>
    <row r="237" spans="2:48">
      <c r="B237" s="26">
        <v>232</v>
      </c>
      <c r="C237" s="259" t="s">
        <v>89</v>
      </c>
      <c r="D237" s="306" t="s">
        <v>665</v>
      </c>
      <c r="E237" s="5"/>
      <c r="F237" s="5"/>
      <c r="G237" s="5"/>
      <c r="H237" s="5"/>
      <c r="I237" s="5"/>
      <c r="J237" s="5"/>
      <c r="K237" s="309"/>
      <c r="AQ237"/>
      <c r="AR237"/>
      <c r="AS237"/>
      <c r="AT237"/>
      <c r="AU237"/>
      <c r="AV237"/>
    </row>
    <row r="238" spans="2:48">
      <c r="B238" s="26">
        <v>233</v>
      </c>
      <c r="C238" s="259" t="s">
        <v>129</v>
      </c>
      <c r="D238" s="306" t="s">
        <v>667</v>
      </c>
      <c r="E238" s="274" t="s">
        <v>994</v>
      </c>
      <c r="F238" s="5"/>
      <c r="G238" s="276" t="s">
        <v>226</v>
      </c>
      <c r="H238" s="5"/>
      <c r="I238" s="5"/>
      <c r="J238" s="5"/>
      <c r="K238" s="309"/>
      <c r="AQ238"/>
      <c r="AR238"/>
      <c r="AS238"/>
      <c r="AT238"/>
      <c r="AU238"/>
      <c r="AV238"/>
    </row>
    <row r="239" spans="2:48">
      <c r="B239" s="26">
        <v>234</v>
      </c>
      <c r="C239" s="228" t="s">
        <v>161</v>
      </c>
      <c r="D239" s="306" t="s">
        <v>669</v>
      </c>
      <c r="E239" s="5"/>
      <c r="F239" s="5"/>
      <c r="G239" s="5"/>
      <c r="H239" s="13"/>
      <c r="I239" s="13"/>
      <c r="J239" s="271"/>
      <c r="K239" s="311"/>
      <c r="AQ239"/>
      <c r="AR239"/>
      <c r="AS239"/>
      <c r="AT239"/>
      <c r="AU239"/>
      <c r="AV239"/>
    </row>
    <row r="240" spans="2:48">
      <c r="B240" s="26">
        <v>235</v>
      </c>
      <c r="C240" s="228" t="s">
        <v>803</v>
      </c>
      <c r="D240" s="307" t="s">
        <v>671</v>
      </c>
      <c r="E240" s="274" t="s">
        <v>994</v>
      </c>
      <c r="F240" s="271"/>
      <c r="G240" s="276" t="s">
        <v>954</v>
      </c>
      <c r="H240" s="13"/>
      <c r="I240" s="13"/>
      <c r="J240" s="13"/>
      <c r="K240" s="310"/>
      <c r="AQ240"/>
      <c r="AR240"/>
      <c r="AS240"/>
      <c r="AT240"/>
      <c r="AU240"/>
      <c r="AV240"/>
    </row>
    <row r="241" spans="2:48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  <c r="AQ241"/>
      <c r="AR241"/>
      <c r="AS241"/>
      <c r="AT241"/>
      <c r="AU241"/>
      <c r="AV241"/>
    </row>
    <row r="242" spans="2:48">
      <c r="B242" s="26">
        <v>237</v>
      </c>
      <c r="C242" s="259" t="s">
        <v>169</v>
      </c>
      <c r="D242" s="305" t="s">
        <v>660</v>
      </c>
      <c r="E242" s="274" t="s">
        <v>995</v>
      </c>
      <c r="F242" s="275"/>
      <c r="G242" s="276" t="s">
        <v>953</v>
      </c>
      <c r="H242" s="5"/>
      <c r="I242" s="5"/>
      <c r="J242" s="246"/>
      <c r="K242" s="312"/>
      <c r="AQ242"/>
      <c r="AR242"/>
      <c r="AS242"/>
      <c r="AT242"/>
      <c r="AU242"/>
      <c r="AV242"/>
    </row>
    <row r="243" spans="2:48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  <c r="AQ243"/>
      <c r="AR243"/>
      <c r="AS243"/>
      <c r="AT243"/>
      <c r="AU243"/>
      <c r="AV243"/>
    </row>
    <row r="244" spans="2:48">
      <c r="B244" s="26">
        <v>239</v>
      </c>
      <c r="C244" s="228" t="s">
        <v>59</v>
      </c>
      <c r="D244" s="301" t="s">
        <v>650</v>
      </c>
      <c r="E244" s="274" t="s">
        <v>994</v>
      </c>
      <c r="F244" s="13"/>
      <c r="G244" s="276" t="s">
        <v>277</v>
      </c>
      <c r="H244" s="13"/>
      <c r="I244" s="13"/>
      <c r="J244" s="271"/>
      <c r="K244" s="313"/>
      <c r="AQ244"/>
      <c r="AR244"/>
      <c r="AS244"/>
      <c r="AT244"/>
      <c r="AU244"/>
      <c r="AV244"/>
    </row>
    <row r="245" spans="2:48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  <c r="AQ245"/>
      <c r="AR245"/>
      <c r="AS245"/>
      <c r="AT245"/>
      <c r="AU245"/>
      <c r="AV245"/>
    </row>
    <row r="246" spans="2:48">
      <c r="B246" s="26">
        <v>241</v>
      </c>
      <c r="C246" s="228" t="s">
        <v>137</v>
      </c>
      <c r="D246" s="301" t="s">
        <v>652</v>
      </c>
      <c r="E246" s="274" t="s">
        <v>994</v>
      </c>
      <c r="F246" s="13"/>
      <c r="G246" s="276" t="s">
        <v>953</v>
      </c>
      <c r="H246" s="13"/>
      <c r="I246" s="13"/>
      <c r="J246" s="271"/>
      <c r="K246" s="313"/>
    </row>
    <row r="247" spans="2:48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964</v>
      </c>
      <c r="K247" s="313" t="s">
        <v>98</v>
      </c>
    </row>
    <row r="248" spans="2:48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964</v>
      </c>
      <c r="K248" s="313" t="s">
        <v>108</v>
      </c>
    </row>
    <row r="249" spans="2:48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964</v>
      </c>
      <c r="K249" s="313" t="s">
        <v>22</v>
      </c>
    </row>
    <row r="250" spans="2:48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964</v>
      </c>
      <c r="K250" s="313" t="s">
        <v>30</v>
      </c>
    </row>
    <row r="251" spans="2:48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964</v>
      </c>
      <c r="K251" s="313" t="s">
        <v>860</v>
      </c>
    </row>
    <row r="252" spans="2:48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964</v>
      </c>
      <c r="K252" s="313" t="s">
        <v>861</v>
      </c>
    </row>
    <row r="253" spans="2:48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48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48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48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964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964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964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964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964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964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995</v>
      </c>
      <c r="F396" s="13"/>
      <c r="G396" s="276" t="s">
        <v>950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995</v>
      </c>
      <c r="F397" s="13"/>
      <c r="G397" s="276" t="s">
        <v>951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4" t="s">
        <v>994</v>
      </c>
      <c r="F400" s="5"/>
      <c r="G400" s="276" t="s">
        <v>278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4" t="s">
        <v>994</v>
      </c>
      <c r="F401" s="5"/>
      <c r="G401" s="276" t="s">
        <v>279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4" t="s">
        <v>994</v>
      </c>
      <c r="F404" s="263"/>
      <c r="G404" s="276" t="s">
        <v>950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74" t="s">
        <v>994</v>
      </c>
      <c r="F405" s="297"/>
      <c r="G405" s="276" t="s">
        <v>951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G72:G73">
    <cfRule type="expression" dxfId="2975" priority="310">
      <formula>MOD(ROW(),2)=0</formula>
    </cfRule>
  </conditionalFormatting>
  <conditionalFormatting sqref="G76:G77">
    <cfRule type="expression" dxfId="2974" priority="308">
      <formula>MOD(ROW(),2)=0</formula>
    </cfRule>
  </conditionalFormatting>
  <conditionalFormatting sqref="G78:G79">
    <cfRule type="expression" dxfId="2973" priority="306">
      <formula>MOD(ROW(),2)=0</formula>
    </cfRule>
  </conditionalFormatting>
  <conditionalFormatting sqref="E269">
    <cfRule type="expression" dxfId="2972" priority="294">
      <formula>MOD(ROW(),2)=0</formula>
    </cfRule>
  </conditionalFormatting>
  <conditionalFormatting sqref="E256">
    <cfRule type="expression" dxfId="2971" priority="292">
      <formula>MOD(ROW(),2)=0</formula>
    </cfRule>
  </conditionalFormatting>
  <conditionalFormatting sqref="G270">
    <cfRule type="expression" dxfId="2970" priority="291">
      <formula>MOD(ROW(),2)=0</formula>
    </cfRule>
  </conditionalFormatting>
  <conditionalFormatting sqref="E270">
    <cfRule type="expression" dxfId="2969" priority="290">
      <formula>MOD(ROW(),2)=0</formula>
    </cfRule>
  </conditionalFormatting>
  <conditionalFormatting sqref="G261">
    <cfRule type="expression" dxfId="2968" priority="289">
      <formula>MOD(ROW(),2)=0</formula>
    </cfRule>
  </conditionalFormatting>
  <conditionalFormatting sqref="G275">
    <cfRule type="expression" dxfId="2967" priority="288">
      <formula>MOD(ROW(),2)=0</formula>
    </cfRule>
  </conditionalFormatting>
  <conditionalFormatting sqref="E275">
    <cfRule type="expression" dxfId="2966" priority="287">
      <formula>MOD(ROW(),2)=0</formula>
    </cfRule>
  </conditionalFormatting>
  <conditionalFormatting sqref="G262">
    <cfRule type="expression" dxfId="2965" priority="286">
      <formula>MOD(ROW(),2)=0</formula>
    </cfRule>
  </conditionalFormatting>
  <conditionalFormatting sqref="G276">
    <cfRule type="expression" dxfId="2964" priority="285">
      <formula>MOD(ROW(),2)=0</formula>
    </cfRule>
  </conditionalFormatting>
  <conditionalFormatting sqref="E276">
    <cfRule type="expression" dxfId="2963" priority="284">
      <formula>MOD(ROW(),2)=0</formula>
    </cfRule>
  </conditionalFormatting>
  <conditionalFormatting sqref="G263">
    <cfRule type="expression" dxfId="2962" priority="283">
      <formula>MOD(ROW(),2)=0</formula>
    </cfRule>
  </conditionalFormatting>
  <conditionalFormatting sqref="G277">
    <cfRule type="expression" dxfId="2961" priority="282">
      <formula>MOD(ROW(),2)=0</formula>
    </cfRule>
  </conditionalFormatting>
  <conditionalFormatting sqref="E277">
    <cfRule type="expression" dxfId="2960" priority="281">
      <formula>MOD(ROW(),2)=0</formula>
    </cfRule>
  </conditionalFormatting>
  <conditionalFormatting sqref="G264">
    <cfRule type="expression" dxfId="2959" priority="280">
      <formula>MOD(ROW(),2)=0</formula>
    </cfRule>
  </conditionalFormatting>
  <conditionalFormatting sqref="G278">
    <cfRule type="expression" dxfId="2958" priority="279">
      <formula>MOD(ROW(),2)=0</formula>
    </cfRule>
  </conditionalFormatting>
  <conditionalFormatting sqref="G265">
    <cfRule type="expression" dxfId="2957" priority="278">
      <formula>MOD(ROW(),2)=0</formula>
    </cfRule>
  </conditionalFormatting>
  <conditionalFormatting sqref="G279">
    <cfRule type="expression" dxfId="2956" priority="277">
      <formula>MOD(ROW(),2)=0</formula>
    </cfRule>
  </conditionalFormatting>
  <conditionalFormatting sqref="G266">
    <cfRule type="expression" dxfId="2955" priority="276">
      <formula>MOD(ROW(),2)=0</formula>
    </cfRule>
  </conditionalFormatting>
  <conditionalFormatting sqref="G280">
    <cfRule type="expression" dxfId="2954" priority="275">
      <formula>MOD(ROW(),2)=0</formula>
    </cfRule>
  </conditionalFormatting>
  <conditionalFormatting sqref="G267">
    <cfRule type="expression" dxfId="2953" priority="274">
      <formula>MOD(ROW(),2)=0</formula>
    </cfRule>
  </conditionalFormatting>
  <conditionalFormatting sqref="G281">
    <cfRule type="expression" dxfId="2952" priority="273">
      <formula>MOD(ROW(),2)=0</formula>
    </cfRule>
  </conditionalFormatting>
  <conditionalFormatting sqref="G268">
    <cfRule type="expression" dxfId="2951" priority="272">
      <formula>MOD(ROW(),2)=0</formula>
    </cfRule>
  </conditionalFormatting>
  <conditionalFormatting sqref="G282">
    <cfRule type="expression" dxfId="2950" priority="271">
      <formula>MOD(ROW(),2)=0</formula>
    </cfRule>
  </conditionalFormatting>
  <conditionalFormatting sqref="G257">
    <cfRule type="expression" dxfId="2949" priority="270">
      <formula>MOD(ROW(),2)=0</formula>
    </cfRule>
  </conditionalFormatting>
  <conditionalFormatting sqref="G271">
    <cfRule type="expression" dxfId="2948" priority="269">
      <formula>MOD(ROW(),2)=0</formula>
    </cfRule>
  </conditionalFormatting>
  <conditionalFormatting sqref="G258">
    <cfRule type="expression" dxfId="2947" priority="268">
      <formula>MOD(ROW(),2)=0</formula>
    </cfRule>
  </conditionalFormatting>
  <conditionalFormatting sqref="G272">
    <cfRule type="expression" dxfId="2946" priority="267">
      <formula>MOD(ROW(),2)=0</formula>
    </cfRule>
  </conditionalFormatting>
  <conditionalFormatting sqref="G259">
    <cfRule type="expression" dxfId="2945" priority="266">
      <formula>MOD(ROW(),2)=0</formula>
    </cfRule>
  </conditionalFormatting>
  <conditionalFormatting sqref="G273">
    <cfRule type="expression" dxfId="2944" priority="265">
      <formula>MOD(ROW(),2)=0</formula>
    </cfRule>
  </conditionalFormatting>
  <conditionalFormatting sqref="G260">
    <cfRule type="expression" dxfId="2943" priority="264">
      <formula>MOD(ROW(),2)=0</formula>
    </cfRule>
  </conditionalFormatting>
  <conditionalFormatting sqref="G274">
    <cfRule type="expression" dxfId="2942" priority="263">
      <formula>MOD(ROW(),2)=0</formula>
    </cfRule>
  </conditionalFormatting>
  <conditionalFormatting sqref="G245">
    <cfRule type="expression" dxfId="2941" priority="254">
      <formula>MOD(ROW(),2)=0</formula>
    </cfRule>
  </conditionalFormatting>
  <conditionalFormatting sqref="E245">
    <cfRule type="expression" dxfId="2940" priority="253">
      <formula>MOD(ROW(),2)=0</formula>
    </cfRule>
  </conditionalFormatting>
  <conditionalFormatting sqref="F243">
    <cfRule type="expression" dxfId="2939" priority="258">
      <formula>MOD(ROW(),2)=0</formula>
    </cfRule>
  </conditionalFormatting>
  <conditionalFormatting sqref="E243">
    <cfRule type="expression" dxfId="2938" priority="257">
      <formula>MOD(ROW(),2)=0</formula>
    </cfRule>
  </conditionalFormatting>
  <conditionalFormatting sqref="F245">
    <cfRule type="expression" dxfId="2937" priority="255">
      <formula>MOD(ROW(),2)=0</formula>
    </cfRule>
  </conditionalFormatting>
  <conditionalFormatting sqref="F246">
    <cfRule type="expression" dxfId="2934" priority="252">
      <formula>MOD(ROW(),2)=0</formula>
    </cfRule>
  </conditionalFormatting>
  <conditionalFormatting sqref="F247">
    <cfRule type="expression" dxfId="2933" priority="249">
      <formula>MOD(ROW(),2)=0</formula>
    </cfRule>
  </conditionalFormatting>
  <conditionalFormatting sqref="F248">
    <cfRule type="expression" dxfId="2932" priority="247">
      <formula>MOD(ROW(),2)=0</formula>
    </cfRule>
  </conditionalFormatting>
  <conditionalFormatting sqref="E248">
    <cfRule type="expression" dxfId="2931" priority="246">
      <formula>MOD(ROW(),2)=0</formula>
    </cfRule>
  </conditionalFormatting>
  <conditionalFormatting sqref="E56">
    <cfRule type="expression" dxfId="2930" priority="237">
      <formula>MOD(ROW(),2)=0</formula>
    </cfRule>
  </conditionalFormatting>
  <conditionalFormatting sqref="G241">
    <cfRule type="expression" dxfId="2928" priority="239">
      <formula>MOD(ROW(),2)=0</formula>
    </cfRule>
  </conditionalFormatting>
  <conditionalFormatting sqref="E241">
    <cfRule type="expression" dxfId="2927" priority="238">
      <formula>MOD(ROW(),2)=0</formula>
    </cfRule>
  </conditionalFormatting>
  <conditionalFormatting sqref="G283">
    <cfRule type="expression" dxfId="2925" priority="235">
      <formula>MOD(ROW(),2)=0</formula>
    </cfRule>
  </conditionalFormatting>
  <conditionalFormatting sqref="E283">
    <cfRule type="expression" dxfId="2924" priority="234">
      <formula>MOD(ROW(),2)=0</formula>
    </cfRule>
  </conditionalFormatting>
  <conditionalFormatting sqref="E288">
    <cfRule type="expression" dxfId="2923" priority="233">
      <formula>MOD(ROW(),2)=0</formula>
    </cfRule>
  </conditionalFormatting>
  <conditionalFormatting sqref="G289">
    <cfRule type="expression" dxfId="2922" priority="232">
      <formula>MOD(ROW(),2)=0</formula>
    </cfRule>
  </conditionalFormatting>
  <conditionalFormatting sqref="G290">
    <cfRule type="expression" dxfId="2921" priority="231">
      <formula>MOD(ROW(),2)=0</formula>
    </cfRule>
  </conditionalFormatting>
  <conditionalFormatting sqref="E289">
    <cfRule type="expression" dxfId="2920" priority="230">
      <formula>MOD(ROW(),2)=0</formula>
    </cfRule>
  </conditionalFormatting>
  <conditionalFormatting sqref="G118">
    <cfRule type="expression" dxfId="2919" priority="227">
      <formula>MOD(ROW(),2)=0</formula>
    </cfRule>
  </conditionalFormatting>
  <conditionalFormatting sqref="G132">
    <cfRule type="expression" dxfId="2918" priority="225">
      <formula>MOD(ROW(),2)=0</formula>
    </cfRule>
  </conditionalFormatting>
  <conditionalFormatting sqref="G180">
    <cfRule type="expression" dxfId="2917" priority="222">
      <formula>MOD(ROW(),2)=0</formula>
    </cfRule>
  </conditionalFormatting>
  <conditionalFormatting sqref="G181">
    <cfRule type="expression" dxfId="2916" priority="221">
      <formula>MOD(ROW(),2)=0</formula>
    </cfRule>
  </conditionalFormatting>
  <conditionalFormatting sqref="G224:H224 G226:H226 H225 H223">
    <cfRule type="expression" dxfId="2915" priority="219">
      <formula>MOD(ROW(),2)=0</formula>
    </cfRule>
  </conditionalFormatting>
  <conditionalFormatting sqref="H227:H230">
    <cfRule type="expression" dxfId="2914" priority="218">
      <formula>MOD(ROW(),2)=0</formula>
    </cfRule>
  </conditionalFormatting>
  <conditionalFormatting sqref="G227:G228">
    <cfRule type="expression" dxfId="2913" priority="217">
      <formula>MOD(ROW(),2)=0</formula>
    </cfRule>
  </conditionalFormatting>
  <conditionalFormatting sqref="G167">
    <cfRule type="expression" dxfId="2911" priority="214">
      <formula>MOD(ROW(),2)=0</formula>
    </cfRule>
  </conditionalFormatting>
  <conditionalFormatting sqref="F284">
    <cfRule type="expression" dxfId="2910" priority="213">
      <formula>MOD(ROW(),2)=0</formula>
    </cfRule>
  </conditionalFormatting>
  <conditionalFormatting sqref="G284">
    <cfRule type="expression" dxfId="2909" priority="212">
      <formula>MOD(ROW(),2)=0</formula>
    </cfRule>
  </conditionalFormatting>
  <conditionalFormatting sqref="E284">
    <cfRule type="expression" dxfId="2908" priority="211">
      <formula>MOD(ROW(),2)=0</formula>
    </cfRule>
  </conditionalFormatting>
  <conditionalFormatting sqref="G289">
    <cfRule type="expression" dxfId="2907" priority="210">
      <formula>MOD(ROW(),2)=0</formula>
    </cfRule>
  </conditionalFormatting>
  <conditionalFormatting sqref="G290">
    <cfRule type="expression" dxfId="2906" priority="209">
      <formula>MOD(ROW(),2)=0</formula>
    </cfRule>
  </conditionalFormatting>
  <conditionalFormatting sqref="G287">
    <cfRule type="expression" dxfId="2905" priority="208">
      <formula>MOD(ROW(),2)=0</formula>
    </cfRule>
  </conditionalFormatting>
  <conditionalFormatting sqref="E287">
    <cfRule type="expression" dxfId="2904" priority="207">
      <formula>MOD(ROW(),2)=0</formula>
    </cfRule>
  </conditionalFormatting>
  <conditionalFormatting sqref="G288">
    <cfRule type="expression" dxfId="2903" priority="206">
      <formula>MOD(ROW(),2)=0</formula>
    </cfRule>
  </conditionalFormatting>
  <conditionalFormatting sqref="E291">
    <cfRule type="expression" dxfId="2902" priority="205">
      <formula>MOD(ROW(),2)=0</formula>
    </cfRule>
  </conditionalFormatting>
  <conditionalFormatting sqref="G291">
    <cfRule type="expression" dxfId="2901" priority="204">
      <formula>MOD(ROW(),2)=0</formula>
    </cfRule>
  </conditionalFormatting>
  <conditionalFormatting sqref="G243">
    <cfRule type="expression" dxfId="2900" priority="194">
      <formula>MOD(ROW(),2)=0</formula>
    </cfRule>
  </conditionalFormatting>
  <conditionalFormatting sqref="F250">
    <cfRule type="expression" dxfId="2899" priority="175">
      <formula>MOD(ROW(),2)=0</formula>
    </cfRule>
  </conditionalFormatting>
  <conditionalFormatting sqref="E250">
    <cfRule type="expression" dxfId="2898" priority="174">
      <formula>MOD(ROW(),2)=0</formula>
    </cfRule>
  </conditionalFormatting>
  <conditionalFormatting sqref="K58">
    <cfRule type="expression" dxfId="2896" priority="161">
      <formula>MOD(ROW(),2)=0</formula>
    </cfRule>
  </conditionalFormatting>
  <conditionalFormatting sqref="K59">
    <cfRule type="expression" dxfId="2895" priority="159">
      <formula>MOD(ROW(),2)=0</formula>
    </cfRule>
  </conditionalFormatting>
  <conditionalFormatting sqref="K254">
    <cfRule type="expression" dxfId="2894" priority="157">
      <formula>MOD(ROW(),2)=0</formula>
    </cfRule>
  </conditionalFormatting>
  <conditionalFormatting sqref="K235">
    <cfRule type="expression" dxfId="2893" priority="156">
      <formula>MOD(ROW(),2)=0</formula>
    </cfRule>
  </conditionalFormatting>
  <conditionalFormatting sqref="K244:K246 K255:K282 K285:K294 K60:K87 K91:K234 K6:K55 K236:K242 K57 K301:K405">
    <cfRule type="expression" dxfId="2892" priority="163">
      <formula>MOD(ROW(),2)=0</formula>
    </cfRule>
  </conditionalFormatting>
  <conditionalFormatting sqref="K89">
    <cfRule type="expression" dxfId="2890" priority="155">
      <formula>MOD(ROW(),2)=0</formula>
    </cfRule>
  </conditionalFormatting>
  <conditionalFormatting sqref="K243">
    <cfRule type="expression" dxfId="2889" priority="154">
      <formula>MOD(ROW(),2)=0</formula>
    </cfRule>
  </conditionalFormatting>
  <conditionalFormatting sqref="K90">
    <cfRule type="expression" dxfId="2888" priority="153">
      <formula>MOD(ROW(),2)=0</formula>
    </cfRule>
  </conditionalFormatting>
  <conditionalFormatting sqref="K56">
    <cfRule type="expression" dxfId="2887" priority="152">
      <formula>MOD(ROW(),2)=0</formula>
    </cfRule>
  </conditionalFormatting>
  <conditionalFormatting sqref="K283">
    <cfRule type="expression" dxfId="2886" priority="151">
      <formula>MOD(ROW(),2)=0</formula>
    </cfRule>
  </conditionalFormatting>
  <conditionalFormatting sqref="K284">
    <cfRule type="expression" dxfId="2885" priority="150">
      <formula>MOD(ROW(),2)=0</formula>
    </cfRule>
  </conditionalFormatting>
  <conditionalFormatting sqref="K88">
    <cfRule type="expression" dxfId="2884" priority="149">
      <formula>MOD(ROW(),2)=0</formula>
    </cfRule>
  </conditionalFormatting>
  <conditionalFormatting sqref="K295:K300">
    <cfRule type="expression" dxfId="2883" priority="148">
      <formula>MOD(ROW(),2)=0</formula>
    </cfRule>
  </conditionalFormatting>
  <conditionalFormatting sqref="E6:J55 E402:J403 F398:F399 E220:J220 E60:F63 F64 F255:F256 F269:F270 F275:F277 E257:F268 E271:F274 F244 F241:F242 E253:J254 E57:J59 F56:J56 E278:F282 F283 E295:J387 H60:J64 E224:F224 I223:J230 H255:J294 E292:F294 E285:F285 F286:F291 I65:J219 F209:F219 H404:J405 E404:F405 F225 H388:J401 E400:F401 F223 E388:F397 E222:J222 H221:J221 E221:F221 E226:F228 E251:F252 H231:J246 H247:I252">
    <cfRule type="expression" dxfId="2882" priority="334">
      <formula>MOD(ROW(),2)=0</formula>
    </cfRule>
  </conditionalFormatting>
  <conditionalFormatting sqref="B6:B405">
    <cfRule type="expression" dxfId="2881" priority="333">
      <formula>MOD(ROW(),2)=0</formula>
    </cfRule>
  </conditionalFormatting>
  <conditionalFormatting sqref="D6:D228 D241:D405">
    <cfRule type="expression" dxfId="2880" priority="332">
      <formula>MOD(ROW(),2)=0</formula>
    </cfRule>
  </conditionalFormatting>
  <conditionalFormatting sqref="F100:G103 F65:F71 H65:H75 F124:G127 F133:G133 E148:G151 E196:G199 F172:G175 E201:E219 F201:F208 E200:F200 F84:F99 F119:G119 F110:F118 F120:F123 F108:G109 F104:F107 F142:G143 F134:F141 F144:F147 F128:F132 E166:G166 E158:F165 E156:G157 E152:F155 E167:F171 F190:G191 F192:F195 F176:F189">
    <cfRule type="expression" dxfId="2879" priority="331">
      <formula>MOD(ROW(),2)=0</formula>
    </cfRule>
  </conditionalFormatting>
  <conditionalFormatting sqref="G394:G395">
    <cfRule type="expression" dxfId="2878" priority="327">
      <formula>MOD(ROW(),2)=0</formula>
    </cfRule>
  </conditionalFormatting>
  <conditionalFormatting sqref="G398:G399">
    <cfRule type="expression" dxfId="2877" priority="325">
      <formula>MOD(ROW(),2)=0</formula>
    </cfRule>
  </conditionalFormatting>
  <conditionalFormatting sqref="E398:E399">
    <cfRule type="expression" dxfId="2876" priority="324">
      <formula>MOD(ROW(),2)=0</formula>
    </cfRule>
  </conditionalFormatting>
  <conditionalFormatting sqref="C401:C405">
    <cfRule type="expression" dxfId="2875" priority="323">
      <formula>MOD(ROW(),2)=0</formula>
    </cfRule>
  </conditionalFormatting>
  <conditionalFormatting sqref="C6:C400">
    <cfRule type="expression" dxfId="2874" priority="322">
      <formula>MOD(ROW(),2)=0</formula>
    </cfRule>
  </conditionalFormatting>
  <conditionalFormatting sqref="G60:G61">
    <cfRule type="expression" dxfId="2873" priority="321">
      <formula>MOD(ROW(),2)=0</formula>
    </cfRule>
  </conditionalFormatting>
  <conditionalFormatting sqref="G62:G63">
    <cfRule type="expression" dxfId="2872" priority="320">
      <formula>MOD(ROW(),2)=0</formula>
    </cfRule>
  </conditionalFormatting>
  <conditionalFormatting sqref="G64:G65">
    <cfRule type="expression" dxfId="2871" priority="319">
      <formula>MOD(ROW(),2)=0</formula>
    </cfRule>
  </conditionalFormatting>
  <conditionalFormatting sqref="E64:E65">
    <cfRule type="expression" dxfId="2870" priority="318">
      <formula>MOD(ROW(),2)=0</formula>
    </cfRule>
  </conditionalFormatting>
  <conditionalFormatting sqref="G68:G69">
    <cfRule type="expression" dxfId="2869" priority="315">
      <formula>MOD(ROW(),2)=0</formula>
    </cfRule>
  </conditionalFormatting>
  <conditionalFormatting sqref="E68:E69">
    <cfRule type="expression" dxfId="2868" priority="314">
      <formula>MOD(ROW(),2)=0</formula>
    </cfRule>
  </conditionalFormatting>
  <conditionalFormatting sqref="E72:F73 F74:F76">
    <cfRule type="expression" dxfId="2867" priority="312">
      <formula>MOD(ROW(),2)=0</formula>
    </cfRule>
  </conditionalFormatting>
  <conditionalFormatting sqref="F77:F83">
    <cfRule type="expression" dxfId="2866" priority="311">
      <formula>MOD(ROW(),2)=0</formula>
    </cfRule>
  </conditionalFormatting>
  <conditionalFormatting sqref="G255">
    <cfRule type="expression" dxfId="2865" priority="297">
      <formula>MOD(ROW(),2)=0</formula>
    </cfRule>
  </conditionalFormatting>
  <conditionalFormatting sqref="E255">
    <cfRule type="expression" dxfId="2864" priority="296">
      <formula>MOD(ROW(),2)=0</formula>
    </cfRule>
  </conditionalFormatting>
  <conditionalFormatting sqref="G269">
    <cfRule type="expression" dxfId="2863" priority="295">
      <formula>MOD(ROW(),2)=0</formula>
    </cfRule>
  </conditionalFormatting>
  <conditionalFormatting sqref="G256">
    <cfRule type="expression" dxfId="2862" priority="293">
      <formula>MOD(ROW(),2)=0</formula>
    </cfRule>
  </conditionalFormatting>
  <conditionalFormatting sqref="E247">
    <cfRule type="expression" dxfId="2861" priority="248">
      <formula>MOD(ROW(),2)=0</formula>
    </cfRule>
  </conditionalFormatting>
  <conditionalFormatting sqref="E290">
    <cfRule type="expression" dxfId="2860" priority="229">
      <formula>MOD(ROW(),2)=0</formula>
    </cfRule>
  </conditionalFormatting>
  <conditionalFormatting sqref="G292">
    <cfRule type="expression" dxfId="2859" priority="203">
      <formula>MOD(ROW(),2)=0</formula>
    </cfRule>
  </conditionalFormatting>
  <conditionalFormatting sqref="G293">
    <cfRule type="expression" dxfId="2858" priority="202">
      <formula>MOD(ROW(),2)=0</formula>
    </cfRule>
  </conditionalFormatting>
  <conditionalFormatting sqref="G294">
    <cfRule type="expression" dxfId="2857" priority="201">
      <formula>MOD(ROW(),2)=0</formula>
    </cfRule>
  </conditionalFormatting>
  <conditionalFormatting sqref="G285">
    <cfRule type="expression" dxfId="2856" priority="200">
      <formula>MOD(ROW(),2)=0</formula>
    </cfRule>
  </conditionalFormatting>
  <conditionalFormatting sqref="G286">
    <cfRule type="expression" dxfId="2855" priority="199">
      <formula>MOD(ROW(),2)=0</formula>
    </cfRule>
  </conditionalFormatting>
  <conditionalFormatting sqref="E286">
    <cfRule type="expression" dxfId="2854" priority="198">
      <formula>MOD(ROW(),2)=0</formula>
    </cfRule>
  </conditionalFormatting>
  <conditionalFormatting sqref="G243">
    <cfRule type="expression" dxfId="2853" priority="197">
      <formula>MOD(ROW(),2)=0</formula>
    </cfRule>
  </conditionalFormatting>
  <conditionalFormatting sqref="F243">
    <cfRule type="expression" dxfId="2852" priority="195">
      <formula>MOD(ROW(),2)=0</formula>
    </cfRule>
  </conditionalFormatting>
  <conditionalFormatting sqref="E243">
    <cfRule type="expression" dxfId="2851" priority="193">
      <formula>MOD(ROW(),2)=0</formula>
    </cfRule>
  </conditionalFormatting>
  <conditionalFormatting sqref="F244">
    <cfRule type="expression" dxfId="2850" priority="192">
      <formula>MOD(ROW(),2)=0</formula>
    </cfRule>
  </conditionalFormatting>
  <conditionalFormatting sqref="F245">
    <cfRule type="expression" dxfId="2849" priority="189">
      <formula>MOD(ROW(),2)=0</formula>
    </cfRule>
  </conditionalFormatting>
  <conditionalFormatting sqref="E245">
    <cfRule type="expression" dxfId="2848" priority="188">
      <formula>MOD(ROW(),2)=0</formula>
    </cfRule>
  </conditionalFormatting>
  <conditionalFormatting sqref="F246">
    <cfRule type="expression" dxfId="2847" priority="187">
      <formula>MOD(ROW(),2)=0</formula>
    </cfRule>
  </conditionalFormatting>
  <conditionalFormatting sqref="F247">
    <cfRule type="expression" dxfId="2846" priority="185">
      <formula>MOD(ROW(),2)=0</formula>
    </cfRule>
  </conditionalFormatting>
  <conditionalFormatting sqref="F248">
    <cfRule type="expression" dxfId="2845" priority="184">
      <formula>MOD(ROW(),2)=0</formula>
    </cfRule>
  </conditionalFormatting>
  <conditionalFormatting sqref="E248">
    <cfRule type="expression" dxfId="2844" priority="183">
      <formula>MOD(ROW(),2)=0</formula>
    </cfRule>
  </conditionalFormatting>
  <conditionalFormatting sqref="G245">
    <cfRule type="expression" dxfId="2843" priority="182">
      <formula>MOD(ROW(),2)=0</formula>
    </cfRule>
  </conditionalFormatting>
  <conditionalFormatting sqref="E247">
    <cfRule type="expression" dxfId="2842" priority="178">
      <formula>MOD(ROW(),2)=0</formula>
    </cfRule>
  </conditionalFormatting>
  <conditionalFormatting sqref="F249">
    <cfRule type="expression" dxfId="2841" priority="177">
      <formula>MOD(ROW(),2)=0</formula>
    </cfRule>
  </conditionalFormatting>
  <conditionalFormatting sqref="E249">
    <cfRule type="expression" dxfId="2840" priority="176">
      <formula>MOD(ROW(),2)=0</formula>
    </cfRule>
  </conditionalFormatting>
  <conditionalFormatting sqref="K253">
    <cfRule type="expression" dxfId="2837" priority="160">
      <formula>MOD(ROW(),2)=0</formula>
    </cfRule>
  </conditionalFormatting>
  <conditionalFormatting sqref="H132:H147 H124:H127">
    <cfRule type="expression" dxfId="2834" priority="142">
      <formula>MOD(ROW(),2)=0</formula>
    </cfRule>
  </conditionalFormatting>
  <conditionalFormatting sqref="H76:H123 H148:H162 H172:H219">
    <cfRule type="expression" dxfId="2833" priority="141">
      <formula>MOD(ROW(),2)=0</formula>
    </cfRule>
  </conditionalFormatting>
  <conditionalFormatting sqref="H128:H131">
    <cfRule type="expression" dxfId="2832" priority="140">
      <formula>MOD(ROW(),2)=0</formula>
    </cfRule>
  </conditionalFormatting>
  <conditionalFormatting sqref="H163:H164">
    <cfRule type="expression" dxfId="2831" priority="139">
      <formula>MOD(ROW(),2)=0</formula>
    </cfRule>
  </conditionalFormatting>
  <conditionalFormatting sqref="H165:H171">
    <cfRule type="expression" dxfId="2830" priority="138">
      <formula>MOD(ROW(),2)=0</formula>
    </cfRule>
  </conditionalFormatting>
  <conditionalFormatting sqref="G204:G205">
    <cfRule type="expression" dxfId="2829" priority="137">
      <formula>MOD(ROW(),2)=0</formula>
    </cfRule>
  </conditionalFormatting>
  <conditionalFormatting sqref="G206:G207">
    <cfRule type="expression" dxfId="2828" priority="136">
      <formula>MOD(ROW(),2)=0</formula>
    </cfRule>
  </conditionalFormatting>
  <conditionalFormatting sqref="G208:G209">
    <cfRule type="expression" dxfId="2827" priority="135">
      <formula>MOD(ROW(),2)=0</formula>
    </cfRule>
  </conditionalFormatting>
  <conditionalFormatting sqref="G210:G211">
    <cfRule type="expression" dxfId="2826" priority="134">
      <formula>MOD(ROW(),2)=0</formula>
    </cfRule>
  </conditionalFormatting>
  <conditionalFormatting sqref="G212:G213">
    <cfRule type="expression" dxfId="2825" priority="133">
      <formula>MOD(ROW(),2)=0</formula>
    </cfRule>
  </conditionalFormatting>
  <conditionalFormatting sqref="G214:G215">
    <cfRule type="expression" dxfId="2824" priority="132">
      <formula>MOD(ROW(),2)=0</formula>
    </cfRule>
  </conditionalFormatting>
  <conditionalFormatting sqref="G216:G217">
    <cfRule type="expression" dxfId="2823" priority="131">
      <formula>MOD(ROW(),2)=0</formula>
    </cfRule>
  </conditionalFormatting>
  <conditionalFormatting sqref="G218:G219">
    <cfRule type="expression" dxfId="2822" priority="130">
      <formula>MOD(ROW(),2)=0</formula>
    </cfRule>
  </conditionalFormatting>
  <conditionalFormatting sqref="G200:G201">
    <cfRule type="expression" dxfId="2821" priority="129">
      <formula>MOD(ROW(),2)=0</formula>
    </cfRule>
  </conditionalFormatting>
  <conditionalFormatting sqref="G202:G203">
    <cfRule type="expression" dxfId="2820" priority="128">
      <formula>MOD(ROW(),2)=0</formula>
    </cfRule>
  </conditionalFormatting>
  <conditionalFormatting sqref="E76:E99">
    <cfRule type="expression" dxfId="2819" priority="127">
      <formula>MOD(ROW(),2)=0</formula>
    </cfRule>
  </conditionalFormatting>
  <conditionalFormatting sqref="G84:G85">
    <cfRule type="expression" dxfId="2818" priority="126">
      <formula>MOD(ROW(),2)=0</formula>
    </cfRule>
  </conditionalFormatting>
  <conditionalFormatting sqref="G86:G87">
    <cfRule type="expression" dxfId="2817" priority="125">
      <formula>MOD(ROW(),2)=0</formula>
    </cfRule>
  </conditionalFormatting>
  <conditionalFormatting sqref="G88:G89">
    <cfRule type="expression" dxfId="2816" priority="124">
      <formula>MOD(ROW(),2)=0</formula>
    </cfRule>
  </conditionalFormatting>
  <conditionalFormatting sqref="G90:G91">
    <cfRule type="expression" dxfId="2815" priority="123">
      <formula>MOD(ROW(),2)=0</formula>
    </cfRule>
  </conditionalFormatting>
  <conditionalFormatting sqref="G92:G93">
    <cfRule type="expression" dxfId="2814" priority="122">
      <formula>MOD(ROW(),2)=0</formula>
    </cfRule>
  </conditionalFormatting>
  <conditionalFormatting sqref="G94:G95">
    <cfRule type="expression" dxfId="2813" priority="121">
      <formula>MOD(ROW(),2)=0</formula>
    </cfRule>
  </conditionalFormatting>
  <conditionalFormatting sqref="G96:G97">
    <cfRule type="expression" dxfId="2812" priority="120">
      <formula>MOD(ROW(),2)=0</formula>
    </cfRule>
  </conditionalFormatting>
  <conditionalFormatting sqref="G98:G99">
    <cfRule type="expression" dxfId="2811" priority="119">
      <formula>MOD(ROW(),2)=0</formula>
    </cfRule>
  </conditionalFormatting>
  <conditionalFormatting sqref="G80:G81">
    <cfRule type="expression" dxfId="2810" priority="118">
      <formula>MOD(ROW(),2)=0</formula>
    </cfRule>
  </conditionalFormatting>
  <conditionalFormatting sqref="G82:G83">
    <cfRule type="expression" dxfId="2809" priority="117">
      <formula>MOD(ROW(),2)=0</formula>
    </cfRule>
  </conditionalFormatting>
  <conditionalFormatting sqref="E100:E119">
    <cfRule type="expression" dxfId="2808" priority="116">
      <formula>MOD(ROW(),2)=0</formula>
    </cfRule>
  </conditionalFormatting>
  <conditionalFormatting sqref="E120:E123">
    <cfRule type="expression" dxfId="2807" priority="115">
      <formula>MOD(ROW(),2)=0</formula>
    </cfRule>
  </conditionalFormatting>
  <conditionalFormatting sqref="G110:G111">
    <cfRule type="expression" dxfId="2806" priority="114">
      <formula>MOD(ROW(),2)=0</formula>
    </cfRule>
  </conditionalFormatting>
  <conditionalFormatting sqref="G112:G113">
    <cfRule type="expression" dxfId="2805" priority="113">
      <formula>MOD(ROW(),2)=0</formula>
    </cfRule>
  </conditionalFormatting>
  <conditionalFormatting sqref="G114:G115">
    <cfRule type="expression" dxfId="2804" priority="112">
      <formula>MOD(ROW(),2)=0</formula>
    </cfRule>
  </conditionalFormatting>
  <conditionalFormatting sqref="G116:G117">
    <cfRule type="expression" dxfId="2803" priority="111">
      <formula>MOD(ROW(),2)=0</formula>
    </cfRule>
  </conditionalFormatting>
  <conditionalFormatting sqref="G120:G121">
    <cfRule type="expression" dxfId="2802" priority="110">
      <formula>MOD(ROW(),2)=0</formula>
    </cfRule>
  </conditionalFormatting>
  <conditionalFormatting sqref="G122:G123">
    <cfRule type="expression" dxfId="2801" priority="109">
      <formula>MOD(ROW(),2)=0</formula>
    </cfRule>
  </conditionalFormatting>
  <conditionalFormatting sqref="G104:G105">
    <cfRule type="expression" dxfId="2800" priority="108">
      <formula>MOD(ROW(),2)=0</formula>
    </cfRule>
  </conditionalFormatting>
  <conditionalFormatting sqref="G106:G107">
    <cfRule type="expression" dxfId="2799" priority="107">
      <formula>MOD(ROW(),2)=0</formula>
    </cfRule>
  </conditionalFormatting>
  <conditionalFormatting sqref="E124:E143">
    <cfRule type="expression" dxfId="2798" priority="106">
      <formula>MOD(ROW(),2)=0</formula>
    </cfRule>
  </conditionalFormatting>
  <conditionalFormatting sqref="E144:E147">
    <cfRule type="expression" dxfId="2797" priority="105">
      <formula>MOD(ROW(),2)=0</formula>
    </cfRule>
  </conditionalFormatting>
  <conditionalFormatting sqref="G134:G135">
    <cfRule type="expression" dxfId="2796" priority="104">
      <formula>MOD(ROW(),2)=0</formula>
    </cfRule>
  </conditionalFormatting>
  <conditionalFormatting sqref="G136:G137">
    <cfRule type="expression" dxfId="2795" priority="103">
      <formula>MOD(ROW(),2)=0</formula>
    </cfRule>
  </conditionalFormatting>
  <conditionalFormatting sqref="G138:G139">
    <cfRule type="expression" dxfId="2794" priority="102">
      <formula>MOD(ROW(),2)=0</formula>
    </cfRule>
  </conditionalFormatting>
  <conditionalFormatting sqref="G140:G141">
    <cfRule type="expression" dxfId="2793" priority="101">
      <formula>MOD(ROW(),2)=0</formula>
    </cfRule>
  </conditionalFormatting>
  <conditionalFormatting sqref="G144:G145">
    <cfRule type="expression" dxfId="2792" priority="100">
      <formula>MOD(ROW(),2)=0</formula>
    </cfRule>
  </conditionalFormatting>
  <conditionalFormatting sqref="G146:G147">
    <cfRule type="expression" dxfId="2791" priority="99">
      <formula>MOD(ROW(),2)=0</formula>
    </cfRule>
  </conditionalFormatting>
  <conditionalFormatting sqref="G128:G129">
    <cfRule type="expression" dxfId="2790" priority="98">
      <formula>MOD(ROW(),2)=0</formula>
    </cfRule>
  </conditionalFormatting>
  <conditionalFormatting sqref="G130:G131">
    <cfRule type="expression" dxfId="2789" priority="97">
      <formula>MOD(ROW(),2)=0</formula>
    </cfRule>
  </conditionalFormatting>
  <conditionalFormatting sqref="G158:G159">
    <cfRule type="expression" dxfId="2788" priority="96">
      <formula>MOD(ROW(),2)=0</formula>
    </cfRule>
  </conditionalFormatting>
  <conditionalFormatting sqref="G160:G161">
    <cfRule type="expression" dxfId="2787" priority="95">
      <formula>MOD(ROW(),2)=0</formula>
    </cfRule>
  </conditionalFormatting>
  <conditionalFormatting sqref="G162:G163">
    <cfRule type="expression" dxfId="2786" priority="94">
      <formula>MOD(ROW(),2)=0</formula>
    </cfRule>
  </conditionalFormatting>
  <conditionalFormatting sqref="G164:G165">
    <cfRule type="expression" dxfId="2785" priority="92">
      <formula>MOD(ROW(),2)=0</formula>
    </cfRule>
  </conditionalFormatting>
  <conditionalFormatting sqref="G168:G169">
    <cfRule type="expression" dxfId="2784" priority="91">
      <formula>MOD(ROW(),2)=0</formula>
    </cfRule>
  </conditionalFormatting>
  <conditionalFormatting sqref="G170:G171">
    <cfRule type="expression" dxfId="2783" priority="90">
      <formula>MOD(ROW(),2)=0</formula>
    </cfRule>
  </conditionalFormatting>
  <conditionalFormatting sqref="G152:G153">
    <cfRule type="expression" dxfId="2782" priority="89">
      <formula>MOD(ROW(),2)=0</formula>
    </cfRule>
  </conditionalFormatting>
  <conditionalFormatting sqref="G154:G155">
    <cfRule type="expression" dxfId="2781" priority="88">
      <formula>MOD(ROW(),2)=0</formula>
    </cfRule>
  </conditionalFormatting>
  <conditionalFormatting sqref="E172:E195">
    <cfRule type="expression" dxfId="2780" priority="87">
      <formula>MOD(ROW(),2)=0</formula>
    </cfRule>
  </conditionalFormatting>
  <conditionalFormatting sqref="G182:G183">
    <cfRule type="expression" dxfId="2779" priority="86">
      <formula>MOD(ROW(),2)=0</formula>
    </cfRule>
  </conditionalFormatting>
  <conditionalFormatting sqref="G184:G185">
    <cfRule type="expression" dxfId="2778" priority="85">
      <formula>MOD(ROW(),2)=0</formula>
    </cfRule>
  </conditionalFormatting>
  <conditionalFormatting sqref="G186:G187">
    <cfRule type="expression" dxfId="2777" priority="84">
      <formula>MOD(ROW(),2)=0</formula>
    </cfRule>
  </conditionalFormatting>
  <conditionalFormatting sqref="G188:G189">
    <cfRule type="expression" dxfId="2776" priority="83">
      <formula>MOD(ROW(),2)=0</formula>
    </cfRule>
  </conditionalFormatting>
  <conditionalFormatting sqref="G192:G193">
    <cfRule type="expression" dxfId="2775" priority="82">
      <formula>MOD(ROW(),2)=0</formula>
    </cfRule>
  </conditionalFormatting>
  <conditionalFormatting sqref="G194:G195">
    <cfRule type="expression" dxfId="2774" priority="81">
      <formula>MOD(ROW(),2)=0</formula>
    </cfRule>
  </conditionalFormatting>
  <conditionalFormatting sqref="G176:G177">
    <cfRule type="expression" dxfId="2773" priority="80">
      <formula>MOD(ROW(),2)=0</formula>
    </cfRule>
  </conditionalFormatting>
  <conditionalFormatting sqref="G178:G179">
    <cfRule type="expression" dxfId="2772" priority="79">
      <formula>MOD(ROW(),2)=0</formula>
    </cfRule>
  </conditionalFormatting>
  <conditionalFormatting sqref="G404:G405">
    <cfRule type="expression" dxfId="2771" priority="78">
      <formula>MOD(ROW(),2)=0</formula>
    </cfRule>
  </conditionalFormatting>
  <conditionalFormatting sqref="G225">
    <cfRule type="expression" dxfId="2770" priority="77">
      <formula>MOD(ROW(),2)=0</formula>
    </cfRule>
  </conditionalFormatting>
  <conditionalFormatting sqref="E225">
    <cfRule type="expression" dxfId="2769" priority="76">
      <formula>MOD(ROW(),2)=0</formula>
    </cfRule>
  </conditionalFormatting>
  <conditionalFormatting sqref="G246">
    <cfRule type="expression" dxfId="2768" priority="75">
      <formula>MOD(ROW(),2)=0</formula>
    </cfRule>
  </conditionalFormatting>
  <conditionalFormatting sqref="E246">
    <cfRule type="expression" dxfId="2767" priority="74">
      <formula>MOD(ROW(),2)=0</formula>
    </cfRule>
  </conditionalFormatting>
  <conditionalFormatting sqref="G66:G67">
    <cfRule type="expression" dxfId="2766" priority="47">
      <formula>MOD(ROW(),2)=0</formula>
    </cfRule>
  </conditionalFormatting>
  <conditionalFormatting sqref="G244">
    <cfRule type="expression" dxfId="2765" priority="64">
      <formula>MOD(ROW(),2)=0</formula>
    </cfRule>
  </conditionalFormatting>
  <conditionalFormatting sqref="E244">
    <cfRule type="expression" dxfId="2764" priority="63">
      <formula>MOD(ROW(),2)=0</formula>
    </cfRule>
  </conditionalFormatting>
  <conditionalFormatting sqref="G248">
    <cfRule type="expression" dxfId="2763" priority="44">
      <formula>MOD(ROW(),2)=0</formula>
    </cfRule>
  </conditionalFormatting>
  <conditionalFormatting sqref="G74:G75">
    <cfRule type="expression" dxfId="2762" priority="69">
      <formula>MOD(ROW(),2)=0</formula>
    </cfRule>
  </conditionalFormatting>
  <conditionalFormatting sqref="E74:E75">
    <cfRule type="expression" dxfId="2761" priority="68">
      <formula>MOD(ROW(),2)=0</formula>
    </cfRule>
  </conditionalFormatting>
  <conditionalFormatting sqref="G400:G401">
    <cfRule type="expression" dxfId="2760" priority="67">
      <formula>MOD(ROW(),2)=0</formula>
    </cfRule>
  </conditionalFormatting>
  <conditionalFormatting sqref="G223">
    <cfRule type="expression" dxfId="2759" priority="66">
      <formula>MOD(ROW(),2)=0</formula>
    </cfRule>
  </conditionalFormatting>
  <conditionalFormatting sqref="E223">
    <cfRule type="expression" dxfId="2758" priority="65">
      <formula>MOD(ROW(),2)=0</formula>
    </cfRule>
  </conditionalFormatting>
  <conditionalFormatting sqref="K251">
    <cfRule type="expression" dxfId="2755" priority="36">
      <formula>MOD(ROW(),2)=0</formula>
    </cfRule>
  </conditionalFormatting>
  <conditionalFormatting sqref="K252">
    <cfRule type="expression" dxfId="2754" priority="35">
      <formula>MOD(ROW(),2)=0</formula>
    </cfRule>
  </conditionalFormatting>
  <conditionalFormatting sqref="E67">
    <cfRule type="expression" dxfId="2753" priority="52">
      <formula>MOD(ROW(),2)=0</formula>
    </cfRule>
  </conditionalFormatting>
  <conditionalFormatting sqref="G242">
    <cfRule type="expression" dxfId="2752" priority="51">
      <formula>MOD(ROW(),2)=0</formula>
    </cfRule>
  </conditionalFormatting>
  <conditionalFormatting sqref="G70:G71">
    <cfRule type="expression" dxfId="2751" priority="58">
      <formula>MOD(ROW(),2)=0</formula>
    </cfRule>
  </conditionalFormatting>
  <conditionalFormatting sqref="E70:E71">
    <cfRule type="expression" dxfId="2750" priority="57">
      <formula>MOD(ROW(),2)=0</formula>
    </cfRule>
  </conditionalFormatting>
  <conditionalFormatting sqref="G396:G397">
    <cfRule type="expression" dxfId="2749" priority="56">
      <formula>MOD(ROW(),2)=0</formula>
    </cfRule>
  </conditionalFormatting>
  <conditionalFormatting sqref="G221">
    <cfRule type="expression" dxfId="2748" priority="55">
      <formula>MOD(ROW(),2)=0</formula>
    </cfRule>
  </conditionalFormatting>
  <conditionalFormatting sqref="G251:G252">
    <cfRule type="expression" dxfId="2747" priority="46">
      <formula>MOD(ROW(),2)=0</formula>
    </cfRule>
  </conditionalFormatting>
  <conditionalFormatting sqref="E66">
    <cfRule type="expression" dxfId="2746" priority="53">
      <formula>MOD(ROW(),2)=0</formula>
    </cfRule>
  </conditionalFormatting>
  <conditionalFormatting sqref="E242">
    <cfRule type="expression" dxfId="2743" priority="50">
      <formula>MOD(ROW(),2)=0</formula>
    </cfRule>
  </conditionalFormatting>
  <conditionalFormatting sqref="E229">
    <cfRule type="expression" dxfId="2742" priority="23">
      <formula>MOD(ROW(),2)=0</formula>
    </cfRule>
  </conditionalFormatting>
  <conditionalFormatting sqref="G250">
    <cfRule type="expression" dxfId="2741" priority="40">
      <formula>MOD(ROW(),2)=0</formula>
    </cfRule>
  </conditionalFormatting>
  <conditionalFormatting sqref="G247">
    <cfRule type="expression" dxfId="2739" priority="43">
      <formula>MOD(ROW(),2)=0</formula>
    </cfRule>
  </conditionalFormatting>
  <conditionalFormatting sqref="G248">
    <cfRule type="expression" dxfId="2738" priority="42">
      <formula>MOD(ROW(),2)=0</formula>
    </cfRule>
  </conditionalFormatting>
  <conditionalFormatting sqref="G249">
    <cfRule type="expression" dxfId="2737" priority="41">
      <formula>MOD(ROW(),2)=0</formula>
    </cfRule>
  </conditionalFormatting>
  <conditionalFormatting sqref="G247">
    <cfRule type="expression" dxfId="2734" priority="45">
      <formula>MOD(ROW(),2)=0</formula>
    </cfRule>
  </conditionalFormatting>
  <conditionalFormatting sqref="G388:G393">
    <cfRule type="expression" dxfId="2732" priority="39">
      <formula>MOD(ROW(),2)=0</formula>
    </cfRule>
  </conditionalFormatting>
  <conditionalFormatting sqref="J247:J252">
    <cfRule type="expression" dxfId="2730" priority="38">
      <formula>MOD(ROW(),2)=0</formula>
    </cfRule>
  </conditionalFormatting>
  <conditionalFormatting sqref="K247:K250">
    <cfRule type="expression" dxfId="2729" priority="37">
      <formula>MOD(ROW(),2)=0</formula>
    </cfRule>
  </conditionalFormatting>
  <conditionalFormatting sqref="G235">
    <cfRule type="expression" dxfId="2727" priority="32">
      <formula>MOD(ROW(),2)=0</formula>
    </cfRule>
  </conditionalFormatting>
  <conditionalFormatting sqref="E237:G237 F240 E239:G239 F238 E235:F236">
    <cfRule type="expression" dxfId="2726" priority="34">
      <formula>MOD(ROW(),2)=0</formula>
    </cfRule>
  </conditionalFormatting>
  <conditionalFormatting sqref="D235:D240">
    <cfRule type="expression" dxfId="2725" priority="33">
      <formula>MOD(ROW(),2)=0</formula>
    </cfRule>
  </conditionalFormatting>
  <conditionalFormatting sqref="G240">
    <cfRule type="expression" dxfId="2724" priority="31">
      <formula>MOD(ROW(),2)=0</formula>
    </cfRule>
  </conditionalFormatting>
  <conditionalFormatting sqref="E240">
    <cfRule type="expression" dxfId="2723" priority="30">
      <formula>MOD(ROW(),2)=0</formula>
    </cfRule>
  </conditionalFormatting>
  <conditionalFormatting sqref="G238">
    <cfRule type="expression" dxfId="2722" priority="29">
      <formula>MOD(ROW(),2)=0</formula>
    </cfRule>
  </conditionalFormatting>
  <conditionalFormatting sqref="E238">
    <cfRule type="expression" dxfId="2721" priority="28">
      <formula>MOD(ROW(),2)=0</formula>
    </cfRule>
  </conditionalFormatting>
  <conditionalFormatting sqref="G236">
    <cfRule type="expression" dxfId="2720" priority="27">
      <formula>MOD(ROW(),2)=0</formula>
    </cfRule>
  </conditionalFormatting>
  <conditionalFormatting sqref="G229">
    <cfRule type="expression" dxfId="2719" priority="24">
      <formula>MOD(ROW(),2)=0</formula>
    </cfRule>
  </conditionalFormatting>
  <conditionalFormatting sqref="F233">
    <cfRule type="expression" dxfId="2717" priority="22">
      <formula>MOD(ROW(),2)=0</formula>
    </cfRule>
  </conditionalFormatting>
  <conditionalFormatting sqref="F234">
    <cfRule type="expression" dxfId="2716" priority="21">
      <formula>MOD(ROW(),2)=0</formula>
    </cfRule>
  </conditionalFormatting>
  <conditionalFormatting sqref="E231">
    <cfRule type="expression" dxfId="2715" priority="19">
      <formula>MOD(ROW(),2)=0</formula>
    </cfRule>
  </conditionalFormatting>
  <conditionalFormatting sqref="F232">
    <cfRule type="expression" dxfId="2714" priority="18">
      <formula>MOD(ROW(),2)=0</formula>
    </cfRule>
  </conditionalFormatting>
  <conditionalFormatting sqref="G231">
    <cfRule type="expression" dxfId="2713" priority="17">
      <formula>MOD(ROW(),2)=0</formula>
    </cfRule>
  </conditionalFormatting>
  <conditionalFormatting sqref="G233">
    <cfRule type="expression" dxfId="2712" priority="16">
      <formula>MOD(ROW(),2)=0</formula>
    </cfRule>
  </conditionalFormatting>
  <conditionalFormatting sqref="E233">
    <cfRule type="expression" dxfId="2711" priority="15">
      <formula>MOD(ROW(),2)=0</formula>
    </cfRule>
  </conditionalFormatting>
  <conditionalFormatting sqref="F229:F230">
    <cfRule type="expression" dxfId="2710" priority="26">
      <formula>MOD(ROW(),2)=0</formula>
    </cfRule>
  </conditionalFormatting>
  <conditionalFormatting sqref="D229:D234">
    <cfRule type="expression" dxfId="2709" priority="25">
      <formula>MOD(ROW(),2)=0</formula>
    </cfRule>
  </conditionalFormatting>
  <conditionalFormatting sqref="F231">
    <cfRule type="expression" dxfId="2708" priority="20">
      <formula>MOD(ROW(),2)=0</formula>
    </cfRule>
  </conditionalFormatting>
  <conditionalFormatting sqref="G234">
    <cfRule type="expression" dxfId="2707" priority="14">
      <formula>MOD(ROW(),2)=0</formula>
    </cfRule>
  </conditionalFormatting>
  <conditionalFormatting sqref="E234">
    <cfRule type="expression" dxfId="2706" priority="13">
      <formula>MOD(ROW(),2)=0</formula>
    </cfRule>
  </conditionalFormatting>
  <conditionalFormatting sqref="G232">
    <cfRule type="expression" dxfId="2705" priority="12">
      <formula>MOD(ROW(),2)=0</formula>
    </cfRule>
  </conditionalFormatting>
  <conditionalFormatting sqref="E232">
    <cfRule type="expression" dxfId="2704" priority="11">
      <formula>MOD(ROW(),2)=0</formula>
    </cfRule>
  </conditionalFormatting>
  <conditionalFormatting sqref="E230">
    <cfRule type="expression" dxfId="2703" priority="10">
      <formula>MOD(ROW(),2)=0</formula>
    </cfRule>
  </conditionalFormatting>
  <conditionalFormatting sqref="G230">
    <cfRule type="expression" dxfId="2702" priority="9">
      <formula>MOD(ROW(),2)=0</formula>
    </cfRule>
  </conditionalFormatting>
  <hyperlinks>
    <hyperlink ref="AN6" location="'0'!A1" tooltip="X stave 0, Front" display="'0'!A1" xr:uid="{00000000-0004-0000-0600-000000000000}"/>
    <hyperlink ref="AN7:AN10" location="'0'!A1" tooltip="X stave 0, Front" display="'0'!A1" xr:uid="{00000000-0004-0000-0600-000001000000}"/>
    <hyperlink ref="AJ6" location="'0'!A1" tooltip="X stave 0, Front" display="'0'!A1" xr:uid="{00000000-0004-0000-0600-000002000000}"/>
    <hyperlink ref="AJ7:AJ10" location="'0'!A1" tooltip="X stave 0, Front" display="'0'!A1" xr:uid="{00000000-0004-0000-0600-000003000000}"/>
    <hyperlink ref="AH6" location="'0'!A1" tooltip="X stave 0, Front" display="'0'!A1" xr:uid="{00000000-0004-0000-0600-000004000000}"/>
    <hyperlink ref="AH7:AH10" location="'0'!A1" tooltip="X stave 0, Front" display="'0'!A1" xr:uid="{00000000-0004-0000-0600-000005000000}"/>
    <hyperlink ref="AJ6:AJ10" location="'2'!A1" tooltip="DCB 2" display="'2'!A1" xr:uid="{00000000-0004-0000-0600-000006000000}"/>
    <hyperlink ref="AN6:AN10" location="'0'!A1" tooltip="DCB 0" display="'0'!A1" xr:uid="{00000000-0004-0000-0600-000007000000}"/>
    <hyperlink ref="AL6" location="'0'!A1" tooltip="X stave 0, Front" display="'0'!A1" xr:uid="{00000000-0004-0000-0600-000008000000}"/>
    <hyperlink ref="AL7:AL10" location="'0'!A1" tooltip="X stave 0, Front" display="'0'!A1" xr:uid="{00000000-0004-0000-0600-000009000000}"/>
    <hyperlink ref="AL6:AL10" location="'1'!A1" tooltip="DCB 1" display="'1'!A1" xr:uid="{00000000-0004-0000-0600-00000A000000}"/>
    <hyperlink ref="AH6:AH10" location="'3'!A1" display="'3'!A1" xr:uid="{00000000-0004-0000-0600-00000B000000}"/>
    <hyperlink ref="AF6" location="'0'!A1" tooltip="X stave 0, Front" display="'0'!A1" xr:uid="{00000000-0004-0000-0600-00000C000000}"/>
    <hyperlink ref="AF7:AF10" location="'0'!A1" tooltip="X stave 0, Front" display="'0'!A1" xr:uid="{00000000-0004-0000-0600-00000D000000}"/>
    <hyperlink ref="AF6:AF10" location="'4'!A1" display="'4'!A1" xr:uid="{00000000-0004-0000-0600-00000E000000}"/>
    <hyperlink ref="AD6" location="'0'!A1" tooltip="X stave 0, Front" display="'0'!A1" xr:uid="{00000000-0004-0000-0600-00000F000000}"/>
    <hyperlink ref="AD7:AD10" location="'0'!A1" tooltip="X stave 0, Front" display="'0'!A1" xr:uid="{00000000-0004-0000-0600-000010000000}"/>
    <hyperlink ref="AD6:AD10" location="'5'!A1" display="'5'!A1" xr:uid="{00000000-0004-0000-0600-000011000000}"/>
    <hyperlink ref="AB6" location="'0'!A1" tooltip="X stave 0, Front" display="'0'!A1" xr:uid="{00000000-0004-0000-0600-000012000000}"/>
    <hyperlink ref="AB7:AB10" location="'0'!A1" tooltip="X stave 0, Front" display="'0'!A1" xr:uid="{00000000-0004-0000-0600-000013000000}"/>
    <hyperlink ref="AB6:AB10" location="'6'!A1" display="'6'!A1" xr:uid="{00000000-0004-0000-0600-000014000000}"/>
    <hyperlink ref="Z6" location="'0'!A1" tooltip="X stave 0, Front" display="'0'!A1" xr:uid="{00000000-0004-0000-0600-000015000000}"/>
    <hyperlink ref="Z7:Z10" location="'0'!A1" tooltip="X stave 0, Front" display="'0'!A1" xr:uid="{00000000-0004-0000-0600-000016000000}"/>
    <hyperlink ref="Z6:Z10" location="'7'!A1" display="'7'!A1" xr:uid="{00000000-0004-0000-0600-000017000000}"/>
    <hyperlink ref="X6" location="'0'!A1" tooltip="X stave 0, Front" display="'0'!A1" xr:uid="{00000000-0004-0000-0600-000018000000}"/>
    <hyperlink ref="X7:X10" location="'0'!A1" tooltip="X stave 0, Front" display="'0'!A1" xr:uid="{00000000-0004-0000-0600-000019000000}"/>
    <hyperlink ref="X6:X10" location="'8'!A1" display="'8'!A1" xr:uid="{00000000-0004-0000-0600-00001A000000}"/>
    <hyperlink ref="V6" location="'0'!A1" tooltip="X stave 0, Front" display="'0'!A1" xr:uid="{00000000-0004-0000-0600-00001B000000}"/>
    <hyperlink ref="V7:V10" location="'0'!A1" tooltip="X stave 0, Front" display="'0'!A1" xr:uid="{00000000-0004-0000-0600-00001C000000}"/>
    <hyperlink ref="V6:V10" location="'9'!A1" display="'9'!A1" xr:uid="{00000000-0004-0000-0600-00001D000000}"/>
    <hyperlink ref="T6" location="'0'!A1" tooltip="X stave 0, Front" display="'0'!A1" xr:uid="{00000000-0004-0000-0600-00001E000000}"/>
    <hyperlink ref="T7:T10" location="'0'!A1" tooltip="X stave 0, Front" display="'0'!A1" xr:uid="{00000000-0004-0000-0600-00001F000000}"/>
    <hyperlink ref="T6:T10" location="'10'!A1" display="'10'!A1" xr:uid="{00000000-0004-0000-0600-000020000000}"/>
    <hyperlink ref="R6" location="'0'!A1" tooltip="X stave 0, Front" display="'0'!A1" xr:uid="{00000000-0004-0000-0600-000021000000}"/>
    <hyperlink ref="R7:R10" location="'0'!A1" tooltip="X stave 0, Front" display="'0'!A1" xr:uid="{00000000-0004-0000-0600-000022000000}"/>
    <hyperlink ref="R6:R10" location="'11'!A1" display="'11'!A1" xr:uid="{00000000-0004-0000-0600-000023000000}"/>
  </hyperlinks>
  <pageMargins left="0.75" right="0.75" top="1" bottom="1" header="0.5" footer="0.5"/>
  <pageSetup orientation="portrait" horizontalDpi="4294967292" verticalDpi="429496729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B1:AV506"/>
  <sheetViews>
    <sheetView zoomScale="85" zoomScaleNormal="85" workbookViewId="0">
      <selection activeCell="AD8" sqref="AD8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473</v>
      </c>
      <c r="E2" s="511"/>
      <c r="F2" s="511"/>
      <c r="G2" s="523" t="s">
        <v>697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19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3" t="s">
        <v>347</v>
      </c>
      <c r="C4" s="514"/>
      <c r="D4" s="514"/>
      <c r="E4" s="514"/>
      <c r="F4" s="514"/>
      <c r="G4" s="52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348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349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345">
        <v>0</v>
      </c>
      <c r="AC6" s="166"/>
      <c r="AD6" s="241">
        <v>0</v>
      </c>
      <c r="AE6" s="166"/>
      <c r="AF6" s="241">
        <v>0</v>
      </c>
      <c r="AG6" s="166"/>
      <c r="AH6" s="238">
        <v>0</v>
      </c>
      <c r="AI6" s="166"/>
      <c r="AJ6" s="345">
        <v>0</v>
      </c>
      <c r="AK6" s="166"/>
      <c r="AL6" s="241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346">
        <v>0</v>
      </c>
      <c r="AC7" s="166"/>
      <c r="AD7" s="242">
        <v>0</v>
      </c>
      <c r="AE7" s="166"/>
      <c r="AF7" s="242">
        <v>0</v>
      </c>
      <c r="AG7" s="166"/>
      <c r="AH7" s="239">
        <v>0</v>
      </c>
      <c r="AI7" s="166"/>
      <c r="AJ7" s="346">
        <v>0</v>
      </c>
      <c r="AK7" s="166"/>
      <c r="AL7" s="242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346">
        <v>0</v>
      </c>
      <c r="AC8" s="166"/>
      <c r="AD8" s="242">
        <v>0</v>
      </c>
      <c r="AE8" s="166"/>
      <c r="AF8" s="242">
        <v>0</v>
      </c>
      <c r="AG8" s="166"/>
      <c r="AH8" s="239">
        <v>0</v>
      </c>
      <c r="AI8" s="166"/>
      <c r="AJ8" s="346">
        <v>0</v>
      </c>
      <c r="AK8" s="166"/>
      <c r="AL8" s="242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346">
        <v>0</v>
      </c>
      <c r="AC9" s="166"/>
      <c r="AD9" s="242">
        <v>0</v>
      </c>
      <c r="AE9" s="166"/>
      <c r="AF9" s="242">
        <v>0</v>
      </c>
      <c r="AG9" s="166"/>
      <c r="AH9" s="239">
        <v>0</v>
      </c>
      <c r="AI9" s="166"/>
      <c r="AJ9" s="346">
        <v>0</v>
      </c>
      <c r="AK9" s="166"/>
      <c r="AL9" s="242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347">
        <v>0</v>
      </c>
      <c r="AC10" s="166"/>
      <c r="AD10" s="243">
        <v>0</v>
      </c>
      <c r="AE10" s="166"/>
      <c r="AF10" s="243">
        <v>0</v>
      </c>
      <c r="AG10" s="166"/>
      <c r="AH10" s="240">
        <v>0</v>
      </c>
      <c r="AI10" s="166"/>
      <c r="AJ10" s="347">
        <v>0</v>
      </c>
      <c r="AK10" s="166"/>
      <c r="AL10" s="243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267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8"/>
      <c r="AA17" s="19"/>
      <c r="AB17" s="509"/>
      <c r="AC17" s="19"/>
      <c r="AD17" s="508"/>
      <c r="AE17" s="19"/>
      <c r="AF17" s="508"/>
      <c r="AG17" s="19"/>
      <c r="AH17" s="508"/>
      <c r="AI17" s="19"/>
      <c r="AJ17" s="509"/>
      <c r="AK17" s="15"/>
      <c r="AL17" s="509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6"/>
      <c r="Q18" s="19"/>
      <c r="R18" s="356"/>
      <c r="S18" s="19"/>
      <c r="T18" s="356"/>
      <c r="U18" s="19"/>
      <c r="V18" s="356"/>
      <c r="W18" s="19"/>
      <c r="X18" s="356"/>
      <c r="Y18" s="19"/>
      <c r="Z18" s="356"/>
      <c r="AA18" s="19"/>
      <c r="AB18" s="510"/>
      <c r="AC18" s="19"/>
      <c r="AD18" s="356"/>
      <c r="AE18" s="19"/>
      <c r="AF18" s="356"/>
      <c r="AG18" s="19"/>
      <c r="AH18" s="356"/>
      <c r="AI18" s="19"/>
      <c r="AJ18" s="510"/>
      <c r="AK18" s="19"/>
      <c r="AL18" s="510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7">
        <v>11</v>
      </c>
      <c r="Q19" s="357"/>
      <c r="R19" s="357">
        <v>10</v>
      </c>
      <c r="S19" s="357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976</v>
      </c>
      <c r="F61" s="5"/>
      <c r="G61" s="217" t="s">
        <v>988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4" t="s">
        <v>997</v>
      </c>
      <c r="F64" s="275"/>
      <c r="G64" s="276" t="s">
        <v>39</v>
      </c>
      <c r="H64" s="339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4" t="s">
        <v>997</v>
      </c>
      <c r="F65" s="275"/>
      <c r="G65" s="276" t="s">
        <v>38</v>
      </c>
      <c r="H65" s="235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993</v>
      </c>
      <c r="F66" s="271"/>
      <c r="G66" s="276" t="s">
        <v>157</v>
      </c>
      <c r="H66" s="235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993</v>
      </c>
      <c r="F67" s="271"/>
      <c r="G67" s="276" t="s">
        <v>158</v>
      </c>
      <c r="H67" s="235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993</v>
      </c>
      <c r="F68" s="271"/>
      <c r="G68" s="270" t="s">
        <v>35</v>
      </c>
      <c r="H68" s="235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993</v>
      </c>
      <c r="F69" s="271"/>
      <c r="G69" s="270" t="s">
        <v>36</v>
      </c>
      <c r="H69" s="235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992</v>
      </c>
      <c r="F70" s="271"/>
      <c r="G70" s="270" t="s">
        <v>157</v>
      </c>
      <c r="H70" s="235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992</v>
      </c>
      <c r="F71" s="271"/>
      <c r="G71" s="270" t="s">
        <v>158</v>
      </c>
      <c r="H71" s="235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992</v>
      </c>
      <c r="F72" s="13"/>
      <c r="G72" s="270" t="s">
        <v>35</v>
      </c>
      <c r="H72" s="235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992</v>
      </c>
      <c r="F73" s="13"/>
      <c r="G73" s="270" t="s">
        <v>36</v>
      </c>
      <c r="H73" s="235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992</v>
      </c>
      <c r="F74" s="13"/>
      <c r="G74" s="272" t="s">
        <v>961</v>
      </c>
      <c r="H74" s="235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992</v>
      </c>
      <c r="F75" s="13"/>
      <c r="G75" s="272" t="s">
        <v>962</v>
      </c>
      <c r="H75" s="235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992</v>
      </c>
      <c r="F76" s="184"/>
      <c r="G76" s="270" t="s">
        <v>93</v>
      </c>
      <c r="H76" s="339" t="s">
        <v>690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992</v>
      </c>
      <c r="F77" s="184"/>
      <c r="G77" s="270" t="s">
        <v>103</v>
      </c>
      <c r="H77" s="235" t="s">
        <v>690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992</v>
      </c>
      <c r="F78" s="13"/>
      <c r="G78" s="270" t="s">
        <v>95</v>
      </c>
      <c r="H78" s="235" t="s">
        <v>690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992</v>
      </c>
      <c r="F79" s="13"/>
      <c r="G79" s="270" t="s">
        <v>94</v>
      </c>
      <c r="H79" s="235" t="s">
        <v>690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992</v>
      </c>
      <c r="F80" s="13"/>
      <c r="G80" s="270" t="s">
        <v>32</v>
      </c>
      <c r="H80" s="235" t="s">
        <v>690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992</v>
      </c>
      <c r="F81" s="13"/>
      <c r="G81" s="270" t="s">
        <v>24</v>
      </c>
      <c r="H81" s="235" t="s">
        <v>690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992</v>
      </c>
      <c r="F82" s="13"/>
      <c r="G82" s="270" t="s">
        <v>52</v>
      </c>
      <c r="H82" s="235" t="s">
        <v>690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992</v>
      </c>
      <c r="F83" s="13"/>
      <c r="G83" s="270" t="s">
        <v>42</v>
      </c>
      <c r="H83" s="235" t="s">
        <v>690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992</v>
      </c>
      <c r="F84" s="13"/>
      <c r="G84" s="270" t="s">
        <v>105</v>
      </c>
      <c r="H84" s="235" t="s">
        <v>690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992</v>
      </c>
      <c r="F85" s="13"/>
      <c r="G85" s="270" t="s">
        <v>104</v>
      </c>
      <c r="H85" s="235" t="s">
        <v>690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992</v>
      </c>
      <c r="F86" s="13"/>
      <c r="G86" s="270" t="s">
        <v>87</v>
      </c>
      <c r="H86" s="235" t="s">
        <v>690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992</v>
      </c>
      <c r="F87" s="13"/>
      <c r="G87" s="270" t="s">
        <v>86</v>
      </c>
      <c r="H87" s="235" t="s">
        <v>690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992</v>
      </c>
      <c r="F88" s="184"/>
      <c r="G88" s="270" t="s">
        <v>115</v>
      </c>
      <c r="H88" s="235" t="s">
        <v>690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992</v>
      </c>
      <c r="F89" s="184"/>
      <c r="G89" s="270" t="s">
        <v>114</v>
      </c>
      <c r="H89" s="235" t="s">
        <v>690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992</v>
      </c>
      <c r="F90" s="13"/>
      <c r="G90" s="270" t="s">
        <v>125</v>
      </c>
      <c r="H90" s="235" t="s">
        <v>690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992</v>
      </c>
      <c r="F91" s="13"/>
      <c r="G91" s="270" t="s">
        <v>124</v>
      </c>
      <c r="H91" s="235" t="s">
        <v>690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992</v>
      </c>
      <c r="F92" s="185"/>
      <c r="G92" s="270" t="s">
        <v>25</v>
      </c>
      <c r="H92" s="235" t="s">
        <v>690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992</v>
      </c>
      <c r="F93" s="13"/>
      <c r="G93" s="270" t="s">
        <v>26</v>
      </c>
      <c r="H93" s="235" t="s">
        <v>690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992</v>
      </c>
      <c r="F94" s="13"/>
      <c r="G94" s="270" t="s">
        <v>33</v>
      </c>
      <c r="H94" s="235" t="s">
        <v>690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992</v>
      </c>
      <c r="F95" s="13"/>
      <c r="G95" s="270" t="s">
        <v>34</v>
      </c>
      <c r="H95" s="235" t="s">
        <v>690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992</v>
      </c>
      <c r="F96" s="184"/>
      <c r="G96" s="270" t="s">
        <v>27</v>
      </c>
      <c r="H96" s="235" t="s">
        <v>690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992</v>
      </c>
      <c r="F97" s="184"/>
      <c r="G97" s="270" t="s">
        <v>28</v>
      </c>
      <c r="H97" s="235" t="s">
        <v>690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992</v>
      </c>
      <c r="F98" s="13"/>
      <c r="G98" s="270" t="s">
        <v>43</v>
      </c>
      <c r="H98" s="235" t="s">
        <v>690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992</v>
      </c>
      <c r="F99" s="13"/>
      <c r="G99" s="270" t="s">
        <v>44</v>
      </c>
      <c r="H99" s="235" t="s">
        <v>690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992</v>
      </c>
      <c r="F100" s="274"/>
      <c r="G100" s="270" t="s">
        <v>211</v>
      </c>
      <c r="H100" s="340" t="s">
        <v>691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992</v>
      </c>
      <c r="F101" s="274"/>
      <c r="G101" s="270" t="s">
        <v>210</v>
      </c>
      <c r="H101" s="235" t="s">
        <v>691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992</v>
      </c>
      <c r="F102" s="274"/>
      <c r="G102" s="270" t="s">
        <v>221</v>
      </c>
      <c r="H102" s="235" t="s">
        <v>691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992</v>
      </c>
      <c r="F103" s="274"/>
      <c r="G103" s="270" t="s">
        <v>220</v>
      </c>
      <c r="H103" s="235" t="s">
        <v>691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992</v>
      </c>
      <c r="F104" s="271"/>
      <c r="G104" s="270" t="s">
        <v>147</v>
      </c>
      <c r="H104" s="235" t="s">
        <v>691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992</v>
      </c>
      <c r="F105" s="271"/>
      <c r="G105" s="270" t="s">
        <v>148</v>
      </c>
      <c r="H105" s="235" t="s">
        <v>691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992</v>
      </c>
      <c r="F106" s="271"/>
      <c r="G106" s="270" t="s">
        <v>155</v>
      </c>
      <c r="H106" s="235" t="s">
        <v>691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992</v>
      </c>
      <c r="F107" s="271"/>
      <c r="G107" s="270" t="s">
        <v>156</v>
      </c>
      <c r="H107" s="235" t="s">
        <v>691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992</v>
      </c>
      <c r="F108" s="271"/>
      <c r="G108" s="270" t="s">
        <v>229</v>
      </c>
      <c r="H108" s="235" t="s">
        <v>691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992</v>
      </c>
      <c r="F109" s="271"/>
      <c r="G109" s="270" t="s">
        <v>228</v>
      </c>
      <c r="H109" s="235" t="s">
        <v>691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992</v>
      </c>
      <c r="F110" s="271"/>
      <c r="G110" s="270" t="s">
        <v>223</v>
      </c>
      <c r="H110" s="235" t="s">
        <v>691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992</v>
      </c>
      <c r="F111" s="271"/>
      <c r="G111" s="270" t="s">
        <v>213</v>
      </c>
      <c r="H111" s="235" t="s">
        <v>691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992</v>
      </c>
      <c r="F112" s="271"/>
      <c r="G112" s="270" t="s">
        <v>202</v>
      </c>
      <c r="H112" s="235" t="s">
        <v>691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992</v>
      </c>
      <c r="F113" s="271"/>
      <c r="G113" s="270" t="s">
        <v>192</v>
      </c>
      <c r="H113" s="235" t="s">
        <v>691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992</v>
      </c>
      <c r="F114" s="274"/>
      <c r="G114" s="270" t="s">
        <v>212</v>
      </c>
      <c r="H114" s="235" t="s">
        <v>691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992</v>
      </c>
      <c r="F115" s="274"/>
      <c r="G115" s="270" t="s">
        <v>222</v>
      </c>
      <c r="H115" s="235" t="s">
        <v>691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992</v>
      </c>
      <c r="F116" s="274"/>
      <c r="G116" s="270" t="s">
        <v>133</v>
      </c>
      <c r="H116" s="235" t="s">
        <v>691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992</v>
      </c>
      <c r="F117" s="274"/>
      <c r="G117" s="270" t="s">
        <v>134</v>
      </c>
      <c r="H117" s="235" t="s">
        <v>691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992</v>
      </c>
      <c r="F118" s="271"/>
      <c r="G118" s="270" t="s">
        <v>141</v>
      </c>
      <c r="H118" s="235" t="s">
        <v>691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992</v>
      </c>
      <c r="F119" s="271"/>
      <c r="G119" s="270" t="s">
        <v>142</v>
      </c>
      <c r="H119" s="235" t="s">
        <v>691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992</v>
      </c>
      <c r="F120" s="271"/>
      <c r="G120" s="270" t="s">
        <v>149</v>
      </c>
      <c r="H120" s="235" t="s">
        <v>691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992</v>
      </c>
      <c r="F121" s="271"/>
      <c r="G121" s="270" t="s">
        <v>150</v>
      </c>
      <c r="H121" s="235" t="s">
        <v>691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992</v>
      </c>
      <c r="F122" s="271"/>
      <c r="G122" s="270" t="s">
        <v>131</v>
      </c>
      <c r="H122" s="235" t="s">
        <v>691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992</v>
      </c>
      <c r="F123" s="271"/>
      <c r="G123" s="270" t="s">
        <v>132</v>
      </c>
      <c r="H123" s="235" t="s">
        <v>691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993</v>
      </c>
      <c r="F124" s="184"/>
      <c r="G124" s="270" t="s">
        <v>93</v>
      </c>
      <c r="H124" s="340" t="s">
        <v>692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993</v>
      </c>
      <c r="F125" s="184"/>
      <c r="G125" s="270" t="s">
        <v>103</v>
      </c>
      <c r="H125" s="235" t="s">
        <v>692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993</v>
      </c>
      <c r="F126" s="184"/>
      <c r="G126" s="270" t="s">
        <v>95</v>
      </c>
      <c r="H126" s="235" t="s">
        <v>692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993</v>
      </c>
      <c r="F127" s="184"/>
      <c r="G127" s="270" t="s">
        <v>94</v>
      </c>
      <c r="H127" s="235" t="s">
        <v>692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993</v>
      </c>
      <c r="F128" s="13"/>
      <c r="G128" s="270" t="s">
        <v>32</v>
      </c>
      <c r="H128" s="235" t="s">
        <v>692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993</v>
      </c>
      <c r="F129" s="13"/>
      <c r="G129" s="270" t="s">
        <v>24</v>
      </c>
      <c r="H129" s="235" t="s">
        <v>692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993</v>
      </c>
      <c r="F130" s="13"/>
      <c r="G130" s="270" t="s">
        <v>52</v>
      </c>
      <c r="H130" s="235" t="s">
        <v>692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993</v>
      </c>
      <c r="F131" s="13"/>
      <c r="G131" s="270" t="s">
        <v>42</v>
      </c>
      <c r="H131" s="235" t="s">
        <v>692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993</v>
      </c>
      <c r="F132" s="13"/>
      <c r="G132" s="270" t="s">
        <v>105</v>
      </c>
      <c r="H132" s="235" t="s">
        <v>692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993</v>
      </c>
      <c r="F133" s="13"/>
      <c r="G133" s="270" t="s">
        <v>104</v>
      </c>
      <c r="H133" s="235" t="s">
        <v>692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993</v>
      </c>
      <c r="F134" s="13"/>
      <c r="G134" s="270" t="s">
        <v>87</v>
      </c>
      <c r="H134" s="235" t="s">
        <v>692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993</v>
      </c>
      <c r="F135" s="13"/>
      <c r="G135" s="270" t="s">
        <v>86</v>
      </c>
      <c r="H135" s="235" t="s">
        <v>692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993</v>
      </c>
      <c r="F136" s="13"/>
      <c r="G136" s="270" t="s">
        <v>115</v>
      </c>
      <c r="H136" s="235" t="s">
        <v>692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993</v>
      </c>
      <c r="F137" s="13"/>
      <c r="G137" s="270" t="s">
        <v>114</v>
      </c>
      <c r="H137" s="235" t="s">
        <v>692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993</v>
      </c>
      <c r="F138" s="184"/>
      <c r="G138" s="270" t="s">
        <v>125</v>
      </c>
      <c r="H138" s="235" t="s">
        <v>692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993</v>
      </c>
      <c r="F139" s="184"/>
      <c r="G139" s="270" t="s">
        <v>124</v>
      </c>
      <c r="H139" s="235" t="s">
        <v>692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993</v>
      </c>
      <c r="F140" s="184"/>
      <c r="G140" s="270" t="s">
        <v>25</v>
      </c>
      <c r="H140" s="235" t="s">
        <v>692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993</v>
      </c>
      <c r="F141" s="184"/>
      <c r="G141" s="270" t="s">
        <v>26</v>
      </c>
      <c r="H141" s="235" t="s">
        <v>692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993</v>
      </c>
      <c r="F142" s="13"/>
      <c r="G142" s="270" t="s">
        <v>33</v>
      </c>
      <c r="H142" s="235" t="s">
        <v>692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993</v>
      </c>
      <c r="F143" s="13"/>
      <c r="G143" s="270" t="s">
        <v>34</v>
      </c>
      <c r="H143" s="235" t="s">
        <v>692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993</v>
      </c>
      <c r="F144" s="13"/>
      <c r="G144" s="270" t="s">
        <v>27</v>
      </c>
      <c r="H144" s="235" t="s">
        <v>692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993</v>
      </c>
      <c r="F145" s="13"/>
      <c r="G145" s="270" t="s">
        <v>28</v>
      </c>
      <c r="H145" s="235" t="s">
        <v>692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993</v>
      </c>
      <c r="F146" s="13"/>
      <c r="G146" s="270" t="s">
        <v>43</v>
      </c>
      <c r="H146" s="235" t="s">
        <v>692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993</v>
      </c>
      <c r="F147" s="13"/>
      <c r="G147" s="270" t="s">
        <v>44</v>
      </c>
      <c r="H147" s="235" t="s">
        <v>692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1" t="s">
        <v>993</v>
      </c>
      <c r="F148" s="184"/>
      <c r="G148" s="276" t="s">
        <v>211</v>
      </c>
      <c r="H148" s="339" t="s">
        <v>693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1" t="s">
        <v>993</v>
      </c>
      <c r="F149" s="184"/>
      <c r="G149" s="276" t="s">
        <v>210</v>
      </c>
      <c r="H149" s="235" t="s">
        <v>693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1" t="s">
        <v>993</v>
      </c>
      <c r="F150" s="13"/>
      <c r="G150" s="276" t="s">
        <v>221</v>
      </c>
      <c r="H150" s="235" t="s">
        <v>693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1" t="s">
        <v>993</v>
      </c>
      <c r="F151" s="13"/>
      <c r="G151" s="276" t="s">
        <v>220</v>
      </c>
      <c r="H151" s="235" t="s">
        <v>693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993</v>
      </c>
      <c r="F152" s="13"/>
      <c r="G152" s="276" t="s">
        <v>147</v>
      </c>
      <c r="H152" s="235" t="s">
        <v>693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993</v>
      </c>
      <c r="F153" s="13"/>
      <c r="G153" s="276" t="s">
        <v>148</v>
      </c>
      <c r="H153" s="235" t="s">
        <v>693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993</v>
      </c>
      <c r="F154" s="13"/>
      <c r="G154" s="276" t="s">
        <v>155</v>
      </c>
      <c r="H154" s="235" t="s">
        <v>693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993</v>
      </c>
      <c r="F155" s="13"/>
      <c r="G155" s="276" t="s">
        <v>156</v>
      </c>
      <c r="H155" s="235" t="s">
        <v>693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 t="s">
        <v>993</v>
      </c>
      <c r="F156" s="13"/>
      <c r="G156" s="276" t="s">
        <v>229</v>
      </c>
      <c r="H156" s="235" t="s">
        <v>693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 t="s">
        <v>993</v>
      </c>
      <c r="F157" s="13"/>
      <c r="G157" s="276" t="s">
        <v>228</v>
      </c>
      <c r="H157" s="235" t="s">
        <v>693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1" t="s">
        <v>993</v>
      </c>
      <c r="F158" s="13"/>
      <c r="G158" s="276" t="s">
        <v>223</v>
      </c>
      <c r="H158" s="235" t="s">
        <v>693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1" t="s">
        <v>993</v>
      </c>
      <c r="F159" s="13"/>
      <c r="G159" s="276" t="s">
        <v>213</v>
      </c>
      <c r="H159" s="235" t="s">
        <v>693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993</v>
      </c>
      <c r="F160" s="184"/>
      <c r="G160" s="276" t="s">
        <v>202</v>
      </c>
      <c r="H160" s="235" t="s">
        <v>693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993</v>
      </c>
      <c r="F161" s="184"/>
      <c r="G161" s="276" t="s">
        <v>192</v>
      </c>
      <c r="H161" s="235" t="s">
        <v>693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993</v>
      </c>
      <c r="F162" s="184"/>
      <c r="G162" s="276" t="s">
        <v>212</v>
      </c>
      <c r="H162" s="235" t="s">
        <v>693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1" t="s">
        <v>993</v>
      </c>
      <c r="F163" s="184"/>
      <c r="G163" s="276" t="s">
        <v>222</v>
      </c>
      <c r="H163" s="235" t="s">
        <v>693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993</v>
      </c>
      <c r="F164" s="184"/>
      <c r="G164" s="276" t="s">
        <v>133</v>
      </c>
      <c r="H164" s="235" t="s">
        <v>693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993</v>
      </c>
      <c r="F165" s="184"/>
      <c r="G165" s="276" t="s">
        <v>134</v>
      </c>
      <c r="H165" s="235" t="s">
        <v>693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 t="s">
        <v>993</v>
      </c>
      <c r="F166" s="184"/>
      <c r="G166" s="276" t="s">
        <v>141</v>
      </c>
      <c r="H166" s="235" t="s">
        <v>693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 t="s">
        <v>993</v>
      </c>
      <c r="F167" s="184"/>
      <c r="G167" s="276" t="s">
        <v>142</v>
      </c>
      <c r="H167" s="235" t="s">
        <v>693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1" t="s">
        <v>993</v>
      </c>
      <c r="F168" s="13"/>
      <c r="G168" s="276" t="s">
        <v>149</v>
      </c>
      <c r="H168" s="235" t="s">
        <v>693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1" t="s">
        <v>993</v>
      </c>
      <c r="F169" s="13"/>
      <c r="G169" s="276" t="s">
        <v>150</v>
      </c>
      <c r="H169" s="235" t="s">
        <v>693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993</v>
      </c>
      <c r="F170" s="13"/>
      <c r="G170" s="276" t="s">
        <v>131</v>
      </c>
      <c r="H170" s="235" t="s">
        <v>693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993</v>
      </c>
      <c r="F171" s="13"/>
      <c r="G171" s="276" t="s">
        <v>132</v>
      </c>
      <c r="H171" s="235" t="s">
        <v>693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4" t="s">
        <v>997</v>
      </c>
      <c r="F172" s="274"/>
      <c r="G172" s="276" t="s">
        <v>300</v>
      </c>
      <c r="H172" s="339" t="s">
        <v>694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4" t="s">
        <v>997</v>
      </c>
      <c r="F173" s="274"/>
      <c r="G173" s="276" t="s">
        <v>299</v>
      </c>
      <c r="H173" s="235" t="s">
        <v>694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4" t="s">
        <v>997</v>
      </c>
      <c r="F174" s="271"/>
      <c r="G174" s="276" t="s">
        <v>307</v>
      </c>
      <c r="H174" s="235" t="s">
        <v>694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4" t="s">
        <v>997</v>
      </c>
      <c r="F175" s="271"/>
      <c r="G175" s="276" t="s">
        <v>298</v>
      </c>
      <c r="H175" s="235" t="s">
        <v>694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997</v>
      </c>
      <c r="F176" s="271"/>
      <c r="G176" s="276" t="s">
        <v>50</v>
      </c>
      <c r="H176" s="235" t="s">
        <v>694</v>
      </c>
      <c r="I176" s="13"/>
      <c r="J176" s="13"/>
      <c r="K176" s="16"/>
    </row>
    <row r="177" spans="2:48">
      <c r="B177" s="26">
        <v>172</v>
      </c>
      <c r="C177" s="228" t="s">
        <v>47</v>
      </c>
      <c r="D177" s="229" t="s">
        <v>610</v>
      </c>
      <c r="E177" s="274" t="s">
        <v>997</v>
      </c>
      <c r="F177" s="271"/>
      <c r="G177" s="276" t="s">
        <v>51</v>
      </c>
      <c r="H177" s="235" t="s">
        <v>694</v>
      </c>
      <c r="I177" s="13"/>
      <c r="J177" s="13"/>
      <c r="K177" s="16"/>
    </row>
    <row r="178" spans="2:48">
      <c r="B178" s="26">
        <v>173</v>
      </c>
      <c r="C178" s="228" t="s">
        <v>77</v>
      </c>
      <c r="D178" s="229" t="s">
        <v>611</v>
      </c>
      <c r="E178" s="274" t="s">
        <v>997</v>
      </c>
      <c r="F178" s="271"/>
      <c r="G178" s="276" t="s">
        <v>40</v>
      </c>
      <c r="H178" s="235" t="s">
        <v>694</v>
      </c>
      <c r="I178" s="13"/>
      <c r="J178" s="13"/>
      <c r="K178" s="16"/>
    </row>
    <row r="179" spans="2:48">
      <c r="B179" s="26">
        <v>174</v>
      </c>
      <c r="C179" s="228" t="s">
        <v>87</v>
      </c>
      <c r="D179" s="229" t="s">
        <v>612</v>
      </c>
      <c r="E179" s="274" t="s">
        <v>997</v>
      </c>
      <c r="F179" s="271"/>
      <c r="G179" s="276" t="s">
        <v>41</v>
      </c>
      <c r="H179" s="235" t="s">
        <v>694</v>
      </c>
      <c r="I179" s="13"/>
      <c r="J179" s="13"/>
      <c r="K179" s="16"/>
    </row>
    <row r="180" spans="2:48">
      <c r="B180" s="26">
        <v>175</v>
      </c>
      <c r="C180" s="228" t="s">
        <v>33</v>
      </c>
      <c r="D180" s="229" t="s">
        <v>511</v>
      </c>
      <c r="E180" s="274" t="s">
        <v>997</v>
      </c>
      <c r="F180" s="271"/>
      <c r="G180" s="276" t="s">
        <v>322</v>
      </c>
      <c r="H180" s="235" t="s">
        <v>694</v>
      </c>
      <c r="I180" s="13"/>
      <c r="J180" s="13"/>
      <c r="K180" s="16"/>
    </row>
    <row r="181" spans="2:48">
      <c r="B181" s="26">
        <v>176</v>
      </c>
      <c r="C181" s="228" t="s">
        <v>43</v>
      </c>
      <c r="D181" s="229" t="s">
        <v>512</v>
      </c>
      <c r="E181" s="274" t="s">
        <v>997</v>
      </c>
      <c r="F181" s="271"/>
      <c r="G181" s="276" t="s">
        <v>315</v>
      </c>
      <c r="H181" s="235" t="s">
        <v>694</v>
      </c>
      <c r="I181" s="13"/>
      <c r="J181" s="13"/>
      <c r="K181" s="16"/>
    </row>
    <row r="182" spans="2:48">
      <c r="B182" s="26">
        <v>177</v>
      </c>
      <c r="C182" s="228" t="s">
        <v>73</v>
      </c>
      <c r="D182" s="229" t="s">
        <v>513</v>
      </c>
      <c r="E182" s="274" t="s">
        <v>997</v>
      </c>
      <c r="F182" s="271"/>
      <c r="G182" s="276" t="s">
        <v>324</v>
      </c>
      <c r="H182" s="235" t="s">
        <v>694</v>
      </c>
      <c r="I182" s="13"/>
      <c r="J182" s="13"/>
      <c r="K182" s="16"/>
    </row>
    <row r="183" spans="2:48">
      <c r="B183" s="26">
        <v>178</v>
      </c>
      <c r="C183" s="228" t="s">
        <v>83</v>
      </c>
      <c r="D183" s="229" t="s">
        <v>514</v>
      </c>
      <c r="E183" s="274" t="s">
        <v>997</v>
      </c>
      <c r="F183" s="271"/>
      <c r="G183" s="276" t="s">
        <v>325</v>
      </c>
      <c r="H183" s="235" t="s">
        <v>694</v>
      </c>
      <c r="I183" s="13"/>
      <c r="J183" s="13"/>
      <c r="K183" s="16"/>
    </row>
    <row r="184" spans="2:48">
      <c r="B184" s="26">
        <v>179</v>
      </c>
      <c r="C184" s="228" t="s">
        <v>18</v>
      </c>
      <c r="D184" s="229" t="s">
        <v>535</v>
      </c>
      <c r="E184" s="274" t="s">
        <v>997</v>
      </c>
      <c r="F184" s="274"/>
      <c r="G184" s="276" t="s">
        <v>316</v>
      </c>
      <c r="H184" s="235" t="s">
        <v>694</v>
      </c>
      <c r="I184" s="13"/>
      <c r="J184" s="13"/>
      <c r="K184" s="16"/>
    </row>
    <row r="185" spans="2:48">
      <c r="B185" s="26">
        <v>180</v>
      </c>
      <c r="C185" s="228" t="s">
        <v>26</v>
      </c>
      <c r="D185" s="230" t="s">
        <v>536</v>
      </c>
      <c r="E185" s="274" t="s">
        <v>997</v>
      </c>
      <c r="F185" s="274"/>
      <c r="G185" s="276" t="s">
        <v>323</v>
      </c>
      <c r="H185" s="235" t="s">
        <v>694</v>
      </c>
      <c r="I185" s="13"/>
      <c r="J185" s="13"/>
      <c r="K185" s="16"/>
    </row>
    <row r="186" spans="2:48">
      <c r="B186" s="26">
        <v>181</v>
      </c>
      <c r="C186" s="228" t="s">
        <v>54</v>
      </c>
      <c r="D186" s="230" t="s">
        <v>537</v>
      </c>
      <c r="E186" s="274" t="s">
        <v>997</v>
      </c>
      <c r="F186" s="271"/>
      <c r="G186" s="276" t="s">
        <v>327</v>
      </c>
      <c r="H186" s="235" t="s">
        <v>694</v>
      </c>
      <c r="I186" s="13"/>
      <c r="J186" s="13"/>
      <c r="K186" s="16"/>
    </row>
    <row r="187" spans="2:48">
      <c r="B187" s="26">
        <v>182</v>
      </c>
      <c r="C187" s="228" t="s">
        <v>64</v>
      </c>
      <c r="D187" s="230" t="s">
        <v>538</v>
      </c>
      <c r="E187" s="274" t="s">
        <v>997</v>
      </c>
      <c r="F187" s="271"/>
      <c r="G187" s="276" t="s">
        <v>326</v>
      </c>
      <c r="H187" s="235" t="s">
        <v>694</v>
      </c>
      <c r="I187" s="13"/>
      <c r="J187" s="13"/>
      <c r="K187" s="16"/>
      <c r="AQ187"/>
      <c r="AR187"/>
      <c r="AS187"/>
      <c r="AT187"/>
      <c r="AU187"/>
      <c r="AV187"/>
    </row>
    <row r="188" spans="2:48">
      <c r="B188" s="26">
        <v>183</v>
      </c>
      <c r="C188" s="228" t="s">
        <v>35</v>
      </c>
      <c r="D188" s="229" t="s">
        <v>559</v>
      </c>
      <c r="E188" s="274" t="s">
        <v>997</v>
      </c>
      <c r="F188" s="271"/>
      <c r="G188" s="276" t="s">
        <v>79</v>
      </c>
      <c r="H188" s="235" t="s">
        <v>694</v>
      </c>
      <c r="I188" s="13"/>
      <c r="J188" s="13"/>
      <c r="K188" s="16"/>
      <c r="AQ188"/>
      <c r="AR188"/>
      <c r="AS188"/>
      <c r="AT188"/>
      <c r="AU188"/>
      <c r="AV188"/>
    </row>
    <row r="189" spans="2:48">
      <c r="B189" s="26">
        <v>184</v>
      </c>
      <c r="C189" s="228" t="s">
        <v>45</v>
      </c>
      <c r="D189" s="229" t="s">
        <v>560</v>
      </c>
      <c r="E189" s="274" t="s">
        <v>997</v>
      </c>
      <c r="F189" s="271"/>
      <c r="G189" s="276" t="s">
        <v>78</v>
      </c>
      <c r="H189" s="235" t="s">
        <v>694</v>
      </c>
      <c r="I189" s="13"/>
      <c r="J189" s="13"/>
      <c r="K189" s="16"/>
      <c r="AQ189"/>
      <c r="AR189"/>
      <c r="AS189"/>
      <c r="AT189"/>
      <c r="AU189"/>
      <c r="AV189"/>
    </row>
    <row r="190" spans="2:48">
      <c r="B190" s="26">
        <v>185</v>
      </c>
      <c r="C190" s="228" t="s">
        <v>75</v>
      </c>
      <c r="D190" s="229" t="s">
        <v>561</v>
      </c>
      <c r="E190" s="274" t="s">
        <v>997</v>
      </c>
      <c r="F190" s="271"/>
      <c r="G190" s="276" t="s">
        <v>59</v>
      </c>
      <c r="H190" s="235" t="s">
        <v>694</v>
      </c>
      <c r="I190" s="13"/>
      <c r="J190" s="13"/>
      <c r="K190" s="16"/>
      <c r="AQ190"/>
      <c r="AR190"/>
      <c r="AS190"/>
      <c r="AT190"/>
      <c r="AU190"/>
      <c r="AV190"/>
    </row>
    <row r="191" spans="2:48">
      <c r="B191" s="26">
        <v>186</v>
      </c>
      <c r="C191" s="228" t="s">
        <v>85</v>
      </c>
      <c r="D191" s="229" t="s">
        <v>562</v>
      </c>
      <c r="E191" s="274" t="s">
        <v>997</v>
      </c>
      <c r="F191" s="271"/>
      <c r="G191" s="276" t="s">
        <v>58</v>
      </c>
      <c r="H191" s="235" t="s">
        <v>694</v>
      </c>
      <c r="I191" s="13"/>
      <c r="J191" s="13"/>
      <c r="K191" s="16"/>
      <c r="AQ191"/>
      <c r="AR191"/>
      <c r="AS191"/>
      <c r="AT191"/>
      <c r="AU191"/>
      <c r="AV191"/>
    </row>
    <row r="192" spans="2:48">
      <c r="B192" s="26">
        <v>187</v>
      </c>
      <c r="C192" s="228" t="s">
        <v>20</v>
      </c>
      <c r="D192" s="229" t="s">
        <v>583</v>
      </c>
      <c r="E192" s="274" t="s">
        <v>997</v>
      </c>
      <c r="F192" s="274"/>
      <c r="G192" s="276" t="s">
        <v>31</v>
      </c>
      <c r="H192" s="235" t="s">
        <v>694</v>
      </c>
      <c r="I192" s="13"/>
      <c r="J192" s="13"/>
      <c r="K192" s="16"/>
      <c r="AQ192"/>
      <c r="AR192"/>
      <c r="AS192"/>
      <c r="AT192"/>
      <c r="AU192"/>
      <c r="AV192"/>
    </row>
    <row r="193" spans="2:48">
      <c r="B193" s="26">
        <v>188</v>
      </c>
      <c r="C193" s="228" t="s">
        <v>28</v>
      </c>
      <c r="D193" s="229" t="s">
        <v>584</v>
      </c>
      <c r="E193" s="274" t="s">
        <v>997</v>
      </c>
      <c r="F193" s="274"/>
      <c r="G193" s="276" t="s">
        <v>30</v>
      </c>
      <c r="H193" s="235" t="s">
        <v>694</v>
      </c>
      <c r="I193" s="13"/>
      <c r="J193" s="13"/>
      <c r="K193" s="16"/>
      <c r="AQ193"/>
      <c r="AR193"/>
      <c r="AS193"/>
      <c r="AT193"/>
      <c r="AU193"/>
      <c r="AV193"/>
    </row>
    <row r="194" spans="2:48">
      <c r="B194" s="26">
        <v>189</v>
      </c>
      <c r="C194" s="228" t="s">
        <v>56</v>
      </c>
      <c r="D194" s="229" t="s">
        <v>585</v>
      </c>
      <c r="E194" s="274" t="s">
        <v>997</v>
      </c>
      <c r="F194" s="271"/>
      <c r="G194" s="276" t="s">
        <v>49</v>
      </c>
      <c r="H194" s="235" t="s">
        <v>694</v>
      </c>
      <c r="I194" s="13"/>
      <c r="J194" s="13"/>
      <c r="K194" s="16"/>
      <c r="AQ194"/>
      <c r="AR194"/>
      <c r="AS194"/>
      <c r="AT194"/>
      <c r="AU194"/>
      <c r="AV194"/>
    </row>
    <row r="195" spans="2:48">
      <c r="B195" s="26">
        <v>190</v>
      </c>
      <c r="C195" s="228" t="s">
        <v>66</v>
      </c>
      <c r="D195" s="229" t="s">
        <v>586</v>
      </c>
      <c r="E195" s="274" t="s">
        <v>997</v>
      </c>
      <c r="F195" s="271"/>
      <c r="G195" s="276" t="s">
        <v>48</v>
      </c>
      <c r="H195" s="235" t="s">
        <v>694</v>
      </c>
      <c r="I195" s="13"/>
      <c r="J195" s="13"/>
      <c r="K195" s="16"/>
      <c r="AQ195"/>
      <c r="AR195"/>
      <c r="AS195"/>
      <c r="AT195"/>
      <c r="AU195"/>
      <c r="AV195"/>
    </row>
    <row r="196" spans="2:48">
      <c r="B196" s="26">
        <v>191</v>
      </c>
      <c r="C196" s="228" t="s">
        <v>806</v>
      </c>
      <c r="D196" s="231" t="s">
        <v>481</v>
      </c>
      <c r="E196" s="271" t="s">
        <v>992</v>
      </c>
      <c r="F196" s="184"/>
      <c r="G196" s="272" t="s">
        <v>16</v>
      </c>
      <c r="H196" s="339" t="s">
        <v>707</v>
      </c>
      <c r="I196" s="13"/>
      <c r="J196" s="13"/>
      <c r="K196" s="16"/>
      <c r="AQ196"/>
      <c r="AR196"/>
      <c r="AS196"/>
      <c r="AT196"/>
      <c r="AU196"/>
      <c r="AV196"/>
    </row>
    <row r="197" spans="2:48">
      <c r="B197" s="26">
        <v>192</v>
      </c>
      <c r="C197" s="228" t="s">
        <v>807</v>
      </c>
      <c r="D197" s="231" t="s">
        <v>482</v>
      </c>
      <c r="E197" s="271" t="s">
        <v>992</v>
      </c>
      <c r="F197" s="184"/>
      <c r="G197" s="272" t="s">
        <v>17</v>
      </c>
      <c r="H197" s="235" t="s">
        <v>707</v>
      </c>
      <c r="I197" s="13"/>
      <c r="J197" s="13"/>
      <c r="K197" s="16"/>
      <c r="AQ197"/>
      <c r="AR197"/>
      <c r="AS197"/>
      <c r="AT197"/>
      <c r="AU197"/>
      <c r="AV197"/>
    </row>
    <row r="198" spans="2:48">
      <c r="B198" s="26">
        <v>193</v>
      </c>
      <c r="C198" s="228" t="s">
        <v>810</v>
      </c>
      <c r="D198" s="229" t="s">
        <v>483</v>
      </c>
      <c r="E198" s="271" t="s">
        <v>992</v>
      </c>
      <c r="F198" s="13"/>
      <c r="G198" s="272" t="s">
        <v>18</v>
      </c>
      <c r="H198" s="235" t="s">
        <v>707</v>
      </c>
      <c r="I198" s="13"/>
      <c r="J198" s="13"/>
      <c r="K198" s="16"/>
      <c r="AQ198"/>
      <c r="AR198"/>
      <c r="AS198"/>
      <c r="AT198"/>
      <c r="AU198"/>
      <c r="AV198"/>
    </row>
    <row r="199" spans="2:48">
      <c r="B199" s="26">
        <v>194</v>
      </c>
      <c r="C199" s="228" t="s">
        <v>811</v>
      </c>
      <c r="D199" s="229" t="s">
        <v>484</v>
      </c>
      <c r="E199" s="271" t="s">
        <v>992</v>
      </c>
      <c r="F199" s="13"/>
      <c r="G199" s="272" t="s">
        <v>19</v>
      </c>
      <c r="H199" s="235" t="s">
        <v>707</v>
      </c>
      <c r="I199" s="13"/>
      <c r="J199" s="13"/>
      <c r="K199" s="16"/>
      <c r="AQ199"/>
      <c r="AR199"/>
      <c r="AS199"/>
      <c r="AT199"/>
      <c r="AU199"/>
      <c r="AV199"/>
    </row>
    <row r="200" spans="2:48">
      <c r="B200" s="26">
        <v>195</v>
      </c>
      <c r="C200" s="228" t="s">
        <v>853</v>
      </c>
      <c r="D200" s="229" t="s">
        <v>605</v>
      </c>
      <c r="E200" s="271" t="s">
        <v>992</v>
      </c>
      <c r="F200" s="13"/>
      <c r="G200" s="272" t="s">
        <v>310</v>
      </c>
      <c r="H200" s="235" t="s">
        <v>707</v>
      </c>
      <c r="I200" s="13"/>
      <c r="J200" s="13"/>
      <c r="K200" s="16"/>
      <c r="AQ200"/>
      <c r="AR200"/>
      <c r="AS200"/>
      <c r="AT200"/>
      <c r="AU200"/>
      <c r="AV200"/>
    </row>
    <row r="201" spans="2:48">
      <c r="B201" s="26">
        <v>196</v>
      </c>
      <c r="C201" s="228" t="s">
        <v>854</v>
      </c>
      <c r="D201" s="229" t="s">
        <v>606</v>
      </c>
      <c r="E201" s="271" t="s">
        <v>992</v>
      </c>
      <c r="F201" s="13"/>
      <c r="G201" s="272" t="s">
        <v>311</v>
      </c>
      <c r="H201" s="235" t="s">
        <v>707</v>
      </c>
      <c r="I201" s="13"/>
      <c r="J201" s="13"/>
      <c r="K201" s="16"/>
      <c r="AQ201"/>
      <c r="AR201"/>
      <c r="AS201"/>
      <c r="AT201"/>
      <c r="AU201"/>
      <c r="AV201"/>
    </row>
    <row r="202" spans="2:48">
      <c r="B202" s="26">
        <v>197</v>
      </c>
      <c r="C202" s="228" t="s">
        <v>857</v>
      </c>
      <c r="D202" s="229" t="s">
        <v>607</v>
      </c>
      <c r="E202" s="271" t="s">
        <v>992</v>
      </c>
      <c r="F202" s="13"/>
      <c r="G202" s="272" t="s">
        <v>317</v>
      </c>
      <c r="H202" s="235" t="s">
        <v>707</v>
      </c>
      <c r="I202" s="13"/>
      <c r="J202" s="13"/>
      <c r="K202" s="16"/>
      <c r="AQ202"/>
      <c r="AR202"/>
      <c r="AS202"/>
      <c r="AT202"/>
      <c r="AU202"/>
      <c r="AV202"/>
    </row>
    <row r="203" spans="2:48">
      <c r="B203" s="26">
        <v>198</v>
      </c>
      <c r="C203" s="228" t="s">
        <v>7</v>
      </c>
      <c r="D203" s="229" t="s">
        <v>608</v>
      </c>
      <c r="E203" s="271" t="s">
        <v>992</v>
      </c>
      <c r="F203" s="13"/>
      <c r="G203" s="272" t="s">
        <v>318</v>
      </c>
      <c r="H203" s="235" t="s">
        <v>707</v>
      </c>
      <c r="I203" s="13"/>
      <c r="J203" s="13"/>
      <c r="K203" s="16"/>
      <c r="AQ203"/>
      <c r="AR203"/>
      <c r="AS203"/>
      <c r="AT203"/>
      <c r="AU203"/>
      <c r="AV203"/>
    </row>
    <row r="204" spans="2:48">
      <c r="B204" s="26">
        <v>199</v>
      </c>
      <c r="C204" s="228" t="s">
        <v>817</v>
      </c>
      <c r="D204" s="229" t="s">
        <v>507</v>
      </c>
      <c r="E204" s="271" t="s">
        <v>992</v>
      </c>
      <c r="F204" s="13"/>
      <c r="G204" s="272" t="s">
        <v>4</v>
      </c>
      <c r="H204" s="235" t="s">
        <v>707</v>
      </c>
      <c r="I204" s="13"/>
      <c r="J204" s="13"/>
      <c r="K204" s="16"/>
      <c r="AQ204"/>
      <c r="AR204"/>
      <c r="AS204"/>
      <c r="AT204"/>
      <c r="AU204"/>
      <c r="AV204"/>
    </row>
    <row r="205" spans="2:48">
      <c r="B205" s="26">
        <v>200</v>
      </c>
      <c r="C205" s="228" t="s">
        <v>818</v>
      </c>
      <c r="D205" s="229" t="s">
        <v>508</v>
      </c>
      <c r="E205" s="271" t="s">
        <v>992</v>
      </c>
      <c r="F205" s="13"/>
      <c r="G205" s="272" t="s">
        <v>5</v>
      </c>
      <c r="H205" s="235" t="s">
        <v>707</v>
      </c>
      <c r="I205" s="13"/>
      <c r="J205" s="13"/>
      <c r="K205" s="16"/>
      <c r="AQ205"/>
      <c r="AR205"/>
      <c r="AS205"/>
      <c r="AT205"/>
      <c r="AU205"/>
      <c r="AV205"/>
    </row>
    <row r="206" spans="2:48">
      <c r="B206" s="26">
        <v>201</v>
      </c>
      <c r="C206" s="228" t="s">
        <v>821</v>
      </c>
      <c r="D206" s="229" t="s">
        <v>509</v>
      </c>
      <c r="E206" s="271" t="s">
        <v>992</v>
      </c>
      <c r="F206" s="13"/>
      <c r="G206" s="272" t="s">
        <v>329</v>
      </c>
      <c r="H206" s="235" t="s">
        <v>707</v>
      </c>
      <c r="I206" s="13"/>
      <c r="J206" s="13"/>
      <c r="K206" s="16"/>
      <c r="AQ206"/>
      <c r="AR206"/>
      <c r="AS206"/>
      <c r="AT206"/>
      <c r="AU206"/>
      <c r="AV206"/>
    </row>
    <row r="207" spans="2:48">
      <c r="B207" s="26">
        <v>202</v>
      </c>
      <c r="C207" s="228" t="s">
        <v>3</v>
      </c>
      <c r="D207" s="229" t="s">
        <v>510</v>
      </c>
      <c r="E207" s="271" t="s">
        <v>992</v>
      </c>
      <c r="F207" s="13"/>
      <c r="G207" s="272" t="s">
        <v>328</v>
      </c>
      <c r="H207" s="235" t="s">
        <v>707</v>
      </c>
      <c r="I207" s="13"/>
      <c r="J207" s="13"/>
      <c r="K207" s="16"/>
      <c r="AQ207"/>
      <c r="AR207"/>
      <c r="AS207"/>
      <c r="AT207"/>
      <c r="AU207"/>
      <c r="AV207"/>
    </row>
    <row r="208" spans="2:48">
      <c r="B208" s="26">
        <v>203</v>
      </c>
      <c r="C208" s="228" t="s">
        <v>824</v>
      </c>
      <c r="D208" s="230" t="s">
        <v>531</v>
      </c>
      <c r="E208" s="271" t="s">
        <v>992</v>
      </c>
      <c r="F208" s="184"/>
      <c r="G208" s="272" t="s">
        <v>331</v>
      </c>
      <c r="H208" s="235" t="s">
        <v>707</v>
      </c>
      <c r="I208" s="13"/>
      <c r="J208" s="13"/>
      <c r="K208" s="16"/>
      <c r="AQ208"/>
      <c r="AR208"/>
      <c r="AS208"/>
      <c r="AT208"/>
      <c r="AU208"/>
      <c r="AV208"/>
    </row>
    <row r="209" spans="2:48">
      <c r="B209" s="26">
        <v>204</v>
      </c>
      <c r="C209" s="228" t="s">
        <v>825</v>
      </c>
      <c r="D209" s="230" t="s">
        <v>532</v>
      </c>
      <c r="E209" s="271" t="s">
        <v>992</v>
      </c>
      <c r="F209" s="184"/>
      <c r="G209" s="272" t="s">
        <v>330</v>
      </c>
      <c r="H209" s="235" t="s">
        <v>707</v>
      </c>
      <c r="I209" s="13"/>
      <c r="J209" s="13"/>
      <c r="K209" s="16"/>
      <c r="AQ209"/>
      <c r="AR209"/>
      <c r="AS209"/>
      <c r="AT209"/>
      <c r="AU209"/>
      <c r="AV209"/>
    </row>
    <row r="210" spans="2:48">
      <c r="B210" s="26">
        <v>205</v>
      </c>
      <c r="C210" s="228" t="s">
        <v>828</v>
      </c>
      <c r="D210" s="230" t="s">
        <v>533</v>
      </c>
      <c r="E210" s="271" t="s">
        <v>992</v>
      </c>
      <c r="F210" s="184"/>
      <c r="G210" s="272" t="s">
        <v>335</v>
      </c>
      <c r="H210" s="235" t="s">
        <v>707</v>
      </c>
      <c r="I210" s="13"/>
      <c r="J210" s="13"/>
      <c r="K210" s="16"/>
      <c r="AQ210"/>
      <c r="AR210"/>
      <c r="AS210"/>
      <c r="AT210"/>
      <c r="AU210"/>
      <c r="AV210"/>
    </row>
    <row r="211" spans="2:48">
      <c r="B211" s="26">
        <v>206</v>
      </c>
      <c r="C211" s="228" t="s">
        <v>829</v>
      </c>
      <c r="D211" s="230" t="s">
        <v>534</v>
      </c>
      <c r="E211" s="271" t="s">
        <v>992</v>
      </c>
      <c r="F211" s="184"/>
      <c r="G211" s="272" t="s">
        <v>334</v>
      </c>
      <c r="H211" s="235" t="s">
        <v>707</v>
      </c>
      <c r="I211" s="13"/>
      <c r="J211" s="13"/>
      <c r="K211" s="16"/>
      <c r="AQ211"/>
      <c r="AR211"/>
      <c r="AS211"/>
      <c r="AT211"/>
      <c r="AU211"/>
      <c r="AV211"/>
    </row>
    <row r="212" spans="2:48">
      <c r="B212" s="26">
        <v>207</v>
      </c>
      <c r="C212" s="228" t="s">
        <v>835</v>
      </c>
      <c r="D212" s="230" t="s">
        <v>555</v>
      </c>
      <c r="E212" s="271" t="s">
        <v>992</v>
      </c>
      <c r="F212" s="184"/>
      <c r="G212" s="272" t="s">
        <v>303</v>
      </c>
      <c r="H212" s="235" t="s">
        <v>707</v>
      </c>
      <c r="I212" s="13"/>
      <c r="J212" s="13"/>
      <c r="K212" s="16"/>
    </row>
    <row r="213" spans="2:48">
      <c r="B213" s="26">
        <v>208</v>
      </c>
      <c r="C213" s="228" t="s">
        <v>836</v>
      </c>
      <c r="D213" s="230" t="s">
        <v>556</v>
      </c>
      <c r="E213" s="271" t="s">
        <v>992</v>
      </c>
      <c r="F213" s="184"/>
      <c r="G213" s="272" t="s">
        <v>294</v>
      </c>
      <c r="H213" s="235" t="s">
        <v>707</v>
      </c>
      <c r="I213" s="13"/>
      <c r="J213" s="13"/>
      <c r="K213" s="16"/>
    </row>
    <row r="214" spans="2:48">
      <c r="B214" s="26">
        <v>209</v>
      </c>
      <c r="C214" s="228" t="s">
        <v>839</v>
      </c>
      <c r="D214" s="229" t="s">
        <v>557</v>
      </c>
      <c r="E214" s="271" t="s">
        <v>992</v>
      </c>
      <c r="F214" s="184"/>
      <c r="G214" s="272" t="s">
        <v>304</v>
      </c>
      <c r="H214" s="235" t="s">
        <v>707</v>
      </c>
      <c r="I214" s="13"/>
      <c r="J214" s="13"/>
      <c r="K214" s="16"/>
    </row>
    <row r="215" spans="2:48">
      <c r="B215" s="26">
        <v>210</v>
      </c>
      <c r="C215" s="228" t="s">
        <v>5</v>
      </c>
      <c r="D215" s="229" t="s">
        <v>558</v>
      </c>
      <c r="E215" s="271" t="s">
        <v>992</v>
      </c>
      <c r="F215" s="184"/>
      <c r="G215" s="272" t="s">
        <v>295</v>
      </c>
      <c r="H215" s="235" t="s">
        <v>707</v>
      </c>
      <c r="I215" s="13"/>
      <c r="J215" s="13"/>
      <c r="K215" s="16"/>
    </row>
    <row r="216" spans="2:48">
      <c r="B216" s="26">
        <v>211</v>
      </c>
      <c r="C216" s="228" t="s">
        <v>842</v>
      </c>
      <c r="D216" s="229" t="s">
        <v>579</v>
      </c>
      <c r="E216" s="271" t="s">
        <v>992</v>
      </c>
      <c r="F216" s="13"/>
      <c r="G216" s="272" t="s">
        <v>313</v>
      </c>
      <c r="H216" s="235" t="s">
        <v>707</v>
      </c>
      <c r="I216" s="13"/>
      <c r="J216" s="13"/>
      <c r="K216" s="16"/>
    </row>
    <row r="217" spans="2:48">
      <c r="B217" s="26">
        <v>212</v>
      </c>
      <c r="C217" s="228" t="s">
        <v>843</v>
      </c>
      <c r="D217" s="229" t="s">
        <v>580</v>
      </c>
      <c r="E217" s="271" t="s">
        <v>992</v>
      </c>
      <c r="F217" s="13"/>
      <c r="G217" s="272" t="s">
        <v>320</v>
      </c>
      <c r="H217" s="235" t="s">
        <v>707</v>
      </c>
      <c r="I217" s="13"/>
      <c r="J217" s="13"/>
      <c r="K217" s="16"/>
    </row>
    <row r="218" spans="2:48">
      <c r="B218" s="26">
        <v>213</v>
      </c>
      <c r="C218" s="228" t="s">
        <v>846</v>
      </c>
      <c r="D218" s="229" t="s">
        <v>581</v>
      </c>
      <c r="E218" s="271" t="s">
        <v>992</v>
      </c>
      <c r="F218" s="13"/>
      <c r="G218" s="272" t="s">
        <v>301</v>
      </c>
      <c r="H218" s="235" t="s">
        <v>707</v>
      </c>
      <c r="I218" s="13"/>
      <c r="J218" s="13"/>
      <c r="K218" s="16"/>
    </row>
    <row r="219" spans="2:48">
      <c r="B219" s="26">
        <v>214</v>
      </c>
      <c r="C219" s="228" t="s">
        <v>847</v>
      </c>
      <c r="D219" s="229" t="s">
        <v>582</v>
      </c>
      <c r="E219" s="271" t="s">
        <v>992</v>
      </c>
      <c r="F219" s="13"/>
      <c r="G219" s="272" t="s">
        <v>302</v>
      </c>
      <c r="H219" s="235" t="s">
        <v>707</v>
      </c>
      <c r="I219" s="13"/>
      <c r="J219" s="13"/>
      <c r="K219" s="16"/>
    </row>
    <row r="220" spans="2:48">
      <c r="B220" s="26">
        <v>215</v>
      </c>
      <c r="C220" s="228" t="s">
        <v>259</v>
      </c>
      <c r="D220" s="280" t="s">
        <v>653</v>
      </c>
      <c r="E220" s="274" t="s">
        <v>997</v>
      </c>
      <c r="F220" s="271"/>
      <c r="G220" s="276" t="s">
        <v>952</v>
      </c>
      <c r="H220" s="13"/>
      <c r="I220" s="13"/>
      <c r="J220" s="13"/>
      <c r="K220" s="16"/>
    </row>
    <row r="221" spans="2:48">
      <c r="B221" s="26">
        <v>216</v>
      </c>
      <c r="C221" s="228" t="s">
        <v>269</v>
      </c>
      <c r="D221" s="280" t="s">
        <v>654</v>
      </c>
      <c r="E221" s="274" t="s">
        <v>993</v>
      </c>
      <c r="F221" s="271"/>
      <c r="G221" s="276" t="s">
        <v>140</v>
      </c>
      <c r="H221" s="13"/>
      <c r="I221" s="13"/>
      <c r="J221" s="13"/>
      <c r="K221" s="16"/>
    </row>
    <row r="222" spans="2:48">
      <c r="B222" s="26">
        <v>217</v>
      </c>
      <c r="C222" s="228" t="s">
        <v>794</v>
      </c>
      <c r="D222" s="280" t="s">
        <v>655</v>
      </c>
      <c r="E222" s="271" t="s">
        <v>993</v>
      </c>
      <c r="F222" s="275"/>
      <c r="G222" s="270" t="s">
        <v>45</v>
      </c>
      <c r="H222" s="13"/>
      <c r="I222" s="13"/>
      <c r="J222" s="13"/>
      <c r="K222" s="16"/>
    </row>
    <row r="223" spans="2:48">
      <c r="B223" s="26">
        <v>218</v>
      </c>
      <c r="C223" s="228" t="s">
        <v>795</v>
      </c>
      <c r="D223" s="280" t="s">
        <v>656</v>
      </c>
      <c r="E223" s="271" t="s">
        <v>992</v>
      </c>
      <c r="F223" s="275"/>
      <c r="G223" s="270" t="s">
        <v>140</v>
      </c>
      <c r="H223" s="13"/>
      <c r="I223" s="13"/>
      <c r="J223" s="13"/>
      <c r="K223" s="16"/>
    </row>
    <row r="224" spans="2:48">
      <c r="B224" s="26">
        <v>219</v>
      </c>
      <c r="C224" s="228" t="s">
        <v>798</v>
      </c>
      <c r="D224" s="280" t="s">
        <v>657</v>
      </c>
      <c r="E224" s="271" t="s">
        <v>992</v>
      </c>
      <c r="F224" s="271"/>
      <c r="G224" s="270" t="s">
        <v>45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992</v>
      </c>
      <c r="F225" s="271"/>
      <c r="G225" s="272" t="s">
        <v>958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274" t="s">
        <v>997</v>
      </c>
      <c r="F229" s="5"/>
      <c r="G229" s="276" t="s">
        <v>955</v>
      </c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4" t="s">
        <v>993</v>
      </c>
      <c r="F230" s="5"/>
      <c r="G230" s="276" t="s">
        <v>172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271" t="s">
        <v>993</v>
      </c>
      <c r="F231" s="5"/>
      <c r="G231" s="270" t="s">
        <v>74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992</v>
      </c>
      <c r="F232" s="5"/>
      <c r="G232" s="270" t="s">
        <v>172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271" t="s">
        <v>992</v>
      </c>
      <c r="F233" s="13"/>
      <c r="G233" s="270" t="s">
        <v>74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992</v>
      </c>
      <c r="F234" s="271"/>
      <c r="G234" s="272" t="s">
        <v>960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274" t="s">
        <v>997</v>
      </c>
      <c r="F235" s="5"/>
      <c r="G235" s="276" t="s">
        <v>954</v>
      </c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4" t="s">
        <v>993</v>
      </c>
      <c r="F236" s="5"/>
      <c r="G236" s="276" t="s">
        <v>173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271" t="s">
        <v>993</v>
      </c>
      <c r="F237" s="5"/>
      <c r="G237" s="270" t="s">
        <v>72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992</v>
      </c>
      <c r="F238" s="5"/>
      <c r="G238" s="270" t="s">
        <v>173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271" t="s">
        <v>992</v>
      </c>
      <c r="F239" s="5"/>
      <c r="G239" s="270" t="s">
        <v>72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992</v>
      </c>
      <c r="F240" s="271"/>
      <c r="G240" s="272" t="s">
        <v>959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274" t="s">
        <v>997</v>
      </c>
      <c r="F241" s="13"/>
      <c r="G241" s="276" t="s">
        <v>953</v>
      </c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4" t="s">
        <v>993</v>
      </c>
      <c r="F242" s="275"/>
      <c r="G242" s="276" t="s">
        <v>200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993</v>
      </c>
      <c r="F243" s="13"/>
      <c r="G243" s="270" t="s">
        <v>113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992</v>
      </c>
      <c r="F244" s="13"/>
      <c r="G244" s="270" t="s">
        <v>200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992</v>
      </c>
      <c r="F245" s="13"/>
      <c r="G245" s="270" t="s">
        <v>113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992</v>
      </c>
      <c r="F246" s="13"/>
      <c r="G246" s="272" t="s">
        <v>0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963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963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963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963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963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963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966</v>
      </c>
      <c r="K388" s="272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966</v>
      </c>
      <c r="K389" s="272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966</v>
      </c>
      <c r="K390" s="272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966</v>
      </c>
      <c r="K391" s="272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966</v>
      </c>
      <c r="K392" s="272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966</v>
      </c>
      <c r="K393" s="272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4" t="s">
        <v>997</v>
      </c>
      <c r="F394" s="263"/>
      <c r="G394" s="276" t="s">
        <v>950</v>
      </c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4" t="s">
        <v>997</v>
      </c>
      <c r="F395" s="263"/>
      <c r="G395" s="276" t="s">
        <v>951</v>
      </c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993</v>
      </c>
      <c r="F396" s="13"/>
      <c r="G396" s="276" t="s">
        <v>203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993</v>
      </c>
      <c r="F397" s="13"/>
      <c r="G397" s="276" t="s">
        <v>193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993</v>
      </c>
      <c r="F398" s="13"/>
      <c r="G398" s="270" t="s">
        <v>85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993</v>
      </c>
      <c r="F399" s="5"/>
      <c r="G399" s="270" t="s">
        <v>84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992</v>
      </c>
      <c r="F400" s="5"/>
      <c r="G400" s="270" t="s">
        <v>203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992</v>
      </c>
      <c r="F401" s="5"/>
      <c r="G401" s="270" t="s">
        <v>193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992</v>
      </c>
      <c r="F402" s="13"/>
      <c r="G402" s="270" t="s">
        <v>85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992</v>
      </c>
      <c r="F403" s="13"/>
      <c r="G403" s="270" t="s">
        <v>84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992</v>
      </c>
      <c r="F404" s="263"/>
      <c r="G404" s="272" t="s">
        <v>956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71" t="s">
        <v>992</v>
      </c>
      <c r="F405" s="297"/>
      <c r="G405" s="272" t="s">
        <v>957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E6:J55 E60:F63 F64 F255:F256 F269:F270 F275:F277 E257:F268 E271:F274 F244 F241:F242 E253:J254 E57:J59 F56:J56 E278:F282 F283 E295:J387 H60:J63 I223:J230 H255:J294 E292:F294 E285:F285 F286:F291 I64:J219 F209:F219 E402:F405 H394:J405 F396:F401 F221:F225 E388:F395 E220:F220 E226:F228 H220:J222 E251:F252 H231:J246 H388:I393 H247:I252">
    <cfRule type="expression" dxfId="2693" priority="410">
      <formula>MOD(ROW(),2)=0</formula>
    </cfRule>
  </conditionalFormatting>
  <conditionalFormatting sqref="B6:B405">
    <cfRule type="expression" dxfId="2692" priority="409">
      <formula>MOD(ROW(),2)=0</formula>
    </cfRule>
  </conditionalFormatting>
  <conditionalFormatting sqref="D6:D228 D235:D405">
    <cfRule type="expression" dxfId="2691" priority="408">
      <formula>MOD(ROW(),2)=0</formula>
    </cfRule>
  </conditionalFormatting>
  <conditionalFormatting sqref="F65:F71 F84:F87 F204:F208 E88:F99 F100:F171 E172:F203">
    <cfRule type="expression" dxfId="2690" priority="407">
      <formula>MOD(ROW(),2)=0</formula>
    </cfRule>
  </conditionalFormatting>
  <conditionalFormatting sqref="E398:E399">
    <cfRule type="expression" dxfId="2689" priority="400">
      <formula>MOD(ROW(),2)=0</formula>
    </cfRule>
  </conditionalFormatting>
  <conditionalFormatting sqref="C401:C405">
    <cfRule type="expression" dxfId="2688" priority="399">
      <formula>MOD(ROW(),2)=0</formula>
    </cfRule>
  </conditionalFormatting>
  <conditionalFormatting sqref="C6:C400">
    <cfRule type="expression" dxfId="2687" priority="398">
      <formula>MOD(ROW(),2)=0</formula>
    </cfRule>
  </conditionalFormatting>
  <conditionalFormatting sqref="G60">
    <cfRule type="expression" dxfId="2686" priority="397">
      <formula>MOD(ROW(),2)=0</formula>
    </cfRule>
  </conditionalFormatting>
  <conditionalFormatting sqref="G62:G63">
    <cfRule type="expression" dxfId="2685" priority="396">
      <formula>MOD(ROW(),2)=0</formula>
    </cfRule>
  </conditionalFormatting>
  <conditionalFormatting sqref="E84:E85">
    <cfRule type="expression" dxfId="2684" priority="376">
      <formula>MOD(ROW(),2)=0</formula>
    </cfRule>
  </conditionalFormatting>
  <conditionalFormatting sqref="E86:E87">
    <cfRule type="expression" dxfId="2683" priority="374">
      <formula>MOD(ROW(),2)=0</formula>
    </cfRule>
  </conditionalFormatting>
  <conditionalFormatting sqref="G255">
    <cfRule type="expression" dxfId="2682" priority="373">
      <formula>MOD(ROW(),2)=0</formula>
    </cfRule>
  </conditionalFormatting>
  <conditionalFormatting sqref="E255">
    <cfRule type="expression" dxfId="2681" priority="372">
      <formula>MOD(ROW(),2)=0</formula>
    </cfRule>
  </conditionalFormatting>
  <conditionalFormatting sqref="G269">
    <cfRule type="expression" dxfId="2680" priority="371">
      <formula>MOD(ROW(),2)=0</formula>
    </cfRule>
  </conditionalFormatting>
  <conditionalFormatting sqref="E269">
    <cfRule type="expression" dxfId="2679" priority="370">
      <formula>MOD(ROW(),2)=0</formula>
    </cfRule>
  </conditionalFormatting>
  <conditionalFormatting sqref="G256">
    <cfRule type="expression" dxfId="2678" priority="369">
      <formula>MOD(ROW(),2)=0</formula>
    </cfRule>
  </conditionalFormatting>
  <conditionalFormatting sqref="E256">
    <cfRule type="expression" dxfId="2677" priority="368">
      <formula>MOD(ROW(),2)=0</formula>
    </cfRule>
  </conditionalFormatting>
  <conditionalFormatting sqref="E270">
    <cfRule type="expression" dxfId="2676" priority="366">
      <formula>MOD(ROW(),2)=0</formula>
    </cfRule>
  </conditionalFormatting>
  <conditionalFormatting sqref="G277">
    <cfRule type="expression" dxfId="2675" priority="358">
      <formula>MOD(ROW(),2)=0</formula>
    </cfRule>
  </conditionalFormatting>
  <conditionalFormatting sqref="E277">
    <cfRule type="expression" dxfId="2674" priority="357">
      <formula>MOD(ROW(),2)=0</formula>
    </cfRule>
  </conditionalFormatting>
  <conditionalFormatting sqref="G264">
    <cfRule type="expression" dxfId="2673" priority="356">
      <formula>MOD(ROW(),2)=0</formula>
    </cfRule>
  </conditionalFormatting>
  <conditionalFormatting sqref="G278">
    <cfRule type="expression" dxfId="2672" priority="355">
      <formula>MOD(ROW(),2)=0</formula>
    </cfRule>
  </conditionalFormatting>
  <conditionalFormatting sqref="G265">
    <cfRule type="expression" dxfId="2671" priority="354">
      <formula>MOD(ROW(),2)=0</formula>
    </cfRule>
  </conditionalFormatting>
  <conditionalFormatting sqref="G279">
    <cfRule type="expression" dxfId="2670" priority="353">
      <formula>MOD(ROW(),2)=0</formula>
    </cfRule>
  </conditionalFormatting>
  <conditionalFormatting sqref="G266">
    <cfRule type="expression" dxfId="2669" priority="352">
      <formula>MOD(ROW(),2)=0</formula>
    </cfRule>
  </conditionalFormatting>
  <conditionalFormatting sqref="G280">
    <cfRule type="expression" dxfId="2668" priority="351">
      <formula>MOD(ROW(),2)=0</formula>
    </cfRule>
  </conditionalFormatting>
  <conditionalFormatting sqref="G267">
    <cfRule type="expression" dxfId="2667" priority="350">
      <formula>MOD(ROW(),2)=0</formula>
    </cfRule>
  </conditionalFormatting>
  <conditionalFormatting sqref="G281">
    <cfRule type="expression" dxfId="2666" priority="349">
      <formula>MOD(ROW(),2)=0</formula>
    </cfRule>
  </conditionalFormatting>
  <conditionalFormatting sqref="G268">
    <cfRule type="expression" dxfId="2665" priority="348">
      <formula>MOD(ROW(),2)=0</formula>
    </cfRule>
  </conditionalFormatting>
  <conditionalFormatting sqref="G282">
    <cfRule type="expression" dxfId="2664" priority="347">
      <formula>MOD(ROW(),2)=0</formula>
    </cfRule>
  </conditionalFormatting>
  <conditionalFormatting sqref="G257">
    <cfRule type="expression" dxfId="2663" priority="346">
      <formula>MOD(ROW(),2)=0</formula>
    </cfRule>
  </conditionalFormatting>
  <conditionalFormatting sqref="G273">
    <cfRule type="expression" dxfId="2662" priority="341">
      <formula>MOD(ROW(),2)=0</formula>
    </cfRule>
  </conditionalFormatting>
  <conditionalFormatting sqref="G260">
    <cfRule type="expression" dxfId="2661" priority="340">
      <formula>MOD(ROW(),2)=0</formula>
    </cfRule>
  </conditionalFormatting>
  <conditionalFormatting sqref="E248">
    <cfRule type="expression" dxfId="2660" priority="322">
      <formula>MOD(ROW(),2)=0</formula>
    </cfRule>
  </conditionalFormatting>
  <conditionalFormatting sqref="G226:H226 H223:H225">
    <cfRule type="expression" dxfId="2659" priority="295">
      <formula>MOD(ROW(),2)=0</formula>
    </cfRule>
  </conditionalFormatting>
  <conditionalFormatting sqref="H227:H230">
    <cfRule type="expression" dxfId="2658" priority="294">
      <formula>MOD(ROW(),2)=0</formula>
    </cfRule>
  </conditionalFormatting>
  <conditionalFormatting sqref="G227:G228">
    <cfRule type="expression" dxfId="2657" priority="293">
      <formula>MOD(ROW(),2)=0</formula>
    </cfRule>
  </conditionalFormatting>
  <conditionalFormatting sqref="F284">
    <cfRule type="expression" dxfId="2656" priority="289">
      <formula>MOD(ROW(),2)=0</formula>
    </cfRule>
  </conditionalFormatting>
  <conditionalFormatting sqref="G284">
    <cfRule type="expression" dxfId="2655" priority="288">
      <formula>MOD(ROW(),2)=0</formula>
    </cfRule>
  </conditionalFormatting>
  <conditionalFormatting sqref="E284">
    <cfRule type="expression" dxfId="2654" priority="287">
      <formula>MOD(ROW(),2)=0</formula>
    </cfRule>
  </conditionalFormatting>
  <conditionalFormatting sqref="G289">
    <cfRule type="expression" dxfId="2653" priority="286">
      <formula>MOD(ROW(),2)=0</formula>
    </cfRule>
  </conditionalFormatting>
  <conditionalFormatting sqref="G290">
    <cfRule type="expression" dxfId="2652" priority="285">
      <formula>MOD(ROW(),2)=0</formula>
    </cfRule>
  </conditionalFormatting>
  <conditionalFormatting sqref="G287">
    <cfRule type="expression" dxfId="2651" priority="284">
      <formula>MOD(ROW(),2)=0</formula>
    </cfRule>
  </conditionalFormatting>
  <conditionalFormatting sqref="E287">
    <cfRule type="expression" dxfId="2650" priority="283">
      <formula>MOD(ROW(),2)=0</formula>
    </cfRule>
  </conditionalFormatting>
  <conditionalFormatting sqref="G288">
    <cfRule type="expression" dxfId="2649" priority="282">
      <formula>MOD(ROW(),2)=0</formula>
    </cfRule>
  </conditionalFormatting>
  <conditionalFormatting sqref="E291">
    <cfRule type="expression" dxfId="2648" priority="281">
      <formula>MOD(ROW(),2)=0</formula>
    </cfRule>
  </conditionalFormatting>
  <conditionalFormatting sqref="G291">
    <cfRule type="expression" dxfId="2647" priority="280">
      <formula>MOD(ROW(),2)=0</formula>
    </cfRule>
  </conditionalFormatting>
  <conditionalFormatting sqref="G292">
    <cfRule type="expression" dxfId="2646" priority="279">
      <formula>MOD(ROW(),2)=0</formula>
    </cfRule>
  </conditionalFormatting>
  <conditionalFormatting sqref="E286">
    <cfRule type="expression" dxfId="2645" priority="274">
      <formula>MOD(ROW(),2)=0</formula>
    </cfRule>
  </conditionalFormatting>
  <conditionalFormatting sqref="F243">
    <cfRule type="expression" dxfId="2644" priority="271">
      <formula>MOD(ROW(),2)=0</formula>
    </cfRule>
  </conditionalFormatting>
  <conditionalFormatting sqref="F245">
    <cfRule type="expression" dxfId="2643" priority="265">
      <formula>MOD(ROW(),2)=0</formula>
    </cfRule>
  </conditionalFormatting>
  <conditionalFormatting sqref="F246">
    <cfRule type="expression" dxfId="2642" priority="263">
      <formula>MOD(ROW(),2)=0</formula>
    </cfRule>
  </conditionalFormatting>
  <conditionalFormatting sqref="E247">
    <cfRule type="expression" dxfId="2641" priority="254">
      <formula>MOD(ROW(),2)=0</formula>
    </cfRule>
  </conditionalFormatting>
  <conditionalFormatting sqref="F249">
    <cfRule type="expression" dxfId="2640" priority="253">
      <formula>MOD(ROW(),2)=0</formula>
    </cfRule>
  </conditionalFormatting>
  <conditionalFormatting sqref="E249">
    <cfRule type="expression" dxfId="2639" priority="252">
      <formula>MOD(ROW(),2)=0</formula>
    </cfRule>
  </conditionalFormatting>
  <conditionalFormatting sqref="F250">
    <cfRule type="expression" dxfId="2638" priority="251">
      <formula>MOD(ROW(),2)=0</formula>
    </cfRule>
  </conditionalFormatting>
  <conditionalFormatting sqref="E250">
    <cfRule type="expression" dxfId="2637" priority="250">
      <formula>MOD(ROW(),2)=0</formula>
    </cfRule>
  </conditionalFormatting>
  <conditionalFormatting sqref="K244:K246 K255:K282 K285:K294 K60:K87 K91:K234 K6:K55 K236:K242 K57 K301:K387 K394:K405">
    <cfRule type="expression" dxfId="2634" priority="239">
      <formula>MOD(ROW(),2)=0</formula>
    </cfRule>
  </conditionalFormatting>
  <conditionalFormatting sqref="K58">
    <cfRule type="expression" dxfId="2633" priority="237">
      <formula>MOD(ROW(),2)=0</formula>
    </cfRule>
  </conditionalFormatting>
  <conditionalFormatting sqref="K253">
    <cfRule type="expression" dxfId="2632" priority="236">
      <formula>MOD(ROW(),2)=0</formula>
    </cfRule>
  </conditionalFormatting>
  <conditionalFormatting sqref="K59">
    <cfRule type="expression" dxfId="2631" priority="235">
      <formula>MOD(ROW(),2)=0</formula>
    </cfRule>
  </conditionalFormatting>
  <conditionalFormatting sqref="K254">
    <cfRule type="expression" dxfId="2630" priority="233">
      <formula>MOD(ROW(),2)=0</formula>
    </cfRule>
  </conditionalFormatting>
  <conditionalFormatting sqref="K235">
    <cfRule type="expression" dxfId="2629" priority="232">
      <formula>MOD(ROW(),2)=0</formula>
    </cfRule>
  </conditionalFormatting>
  <conditionalFormatting sqref="K89">
    <cfRule type="expression" dxfId="2628" priority="231">
      <formula>MOD(ROW(),2)=0</formula>
    </cfRule>
  </conditionalFormatting>
  <conditionalFormatting sqref="K243">
    <cfRule type="expression" dxfId="2627" priority="230">
      <formula>MOD(ROW(),2)=0</formula>
    </cfRule>
  </conditionalFormatting>
  <conditionalFormatting sqref="K90">
    <cfRule type="expression" dxfId="2626" priority="229">
      <formula>MOD(ROW(),2)=0</formula>
    </cfRule>
  </conditionalFormatting>
  <conditionalFormatting sqref="K56">
    <cfRule type="expression" dxfId="2625" priority="228">
      <formula>MOD(ROW(),2)=0</formula>
    </cfRule>
  </conditionalFormatting>
  <conditionalFormatting sqref="K283">
    <cfRule type="expression" dxfId="2624" priority="227">
      <formula>MOD(ROW(),2)=0</formula>
    </cfRule>
  </conditionalFormatting>
  <conditionalFormatting sqref="K284">
    <cfRule type="expression" dxfId="2623" priority="226">
      <formula>MOD(ROW(),2)=0</formula>
    </cfRule>
  </conditionalFormatting>
  <conditionalFormatting sqref="K88">
    <cfRule type="expression" dxfId="2622" priority="225">
      <formula>MOD(ROW(),2)=0</formula>
    </cfRule>
  </conditionalFormatting>
  <conditionalFormatting sqref="K295:K300">
    <cfRule type="expression" dxfId="2621" priority="224">
      <formula>MOD(ROW(),2)=0</formula>
    </cfRule>
  </conditionalFormatting>
  <conditionalFormatting sqref="E68:E69">
    <cfRule type="expression" dxfId="2620" priority="390">
      <formula>MOD(ROW(),2)=0</formula>
    </cfRule>
  </conditionalFormatting>
  <conditionalFormatting sqref="F72:F76">
    <cfRule type="expression" dxfId="2619" priority="388">
      <formula>MOD(ROW(),2)=0</formula>
    </cfRule>
  </conditionalFormatting>
  <conditionalFormatting sqref="F77:F81 E82:F83">
    <cfRule type="expression" dxfId="2618" priority="387">
      <formula>MOD(ROW(),2)=0</formula>
    </cfRule>
  </conditionalFormatting>
  <conditionalFormatting sqref="E76:E77">
    <cfRule type="expression" dxfId="2617" priority="383">
      <formula>MOD(ROW(),2)=0</formula>
    </cfRule>
  </conditionalFormatting>
  <conditionalFormatting sqref="E78:E79">
    <cfRule type="expression" dxfId="2616" priority="381">
      <formula>MOD(ROW(),2)=0</formula>
    </cfRule>
  </conditionalFormatting>
  <conditionalFormatting sqref="E80:E81">
    <cfRule type="expression" dxfId="2615" priority="379">
      <formula>MOD(ROW(),2)=0</formula>
    </cfRule>
  </conditionalFormatting>
  <conditionalFormatting sqref="G270">
    <cfRule type="expression" dxfId="2614" priority="367">
      <formula>MOD(ROW(),2)=0</formula>
    </cfRule>
  </conditionalFormatting>
  <conditionalFormatting sqref="G261">
    <cfRule type="expression" dxfId="2613" priority="365">
      <formula>MOD(ROW(),2)=0</formula>
    </cfRule>
  </conditionalFormatting>
  <conditionalFormatting sqref="G275">
    <cfRule type="expression" dxfId="2612" priority="364">
      <formula>MOD(ROW(),2)=0</formula>
    </cfRule>
  </conditionalFormatting>
  <conditionalFormatting sqref="E275">
    <cfRule type="expression" dxfId="2611" priority="363">
      <formula>MOD(ROW(),2)=0</formula>
    </cfRule>
  </conditionalFormatting>
  <conditionalFormatting sqref="G262">
    <cfRule type="expression" dxfId="2610" priority="362">
      <formula>MOD(ROW(),2)=0</formula>
    </cfRule>
  </conditionalFormatting>
  <conditionalFormatting sqref="G276">
    <cfRule type="expression" dxfId="2609" priority="361">
      <formula>MOD(ROW(),2)=0</formula>
    </cfRule>
  </conditionalFormatting>
  <conditionalFormatting sqref="E276">
    <cfRule type="expression" dxfId="2608" priority="360">
      <formula>MOD(ROW(),2)=0</formula>
    </cfRule>
  </conditionalFormatting>
  <conditionalFormatting sqref="G263">
    <cfRule type="expression" dxfId="2607" priority="359">
      <formula>MOD(ROW(),2)=0</formula>
    </cfRule>
  </conditionalFormatting>
  <conditionalFormatting sqref="G271">
    <cfRule type="expression" dxfId="2606" priority="345">
      <formula>MOD(ROW(),2)=0</formula>
    </cfRule>
  </conditionalFormatting>
  <conditionalFormatting sqref="G258">
    <cfRule type="expression" dxfId="2605" priority="344">
      <formula>MOD(ROW(),2)=0</formula>
    </cfRule>
  </conditionalFormatting>
  <conditionalFormatting sqref="G272">
    <cfRule type="expression" dxfId="2604" priority="343">
      <formula>MOD(ROW(),2)=0</formula>
    </cfRule>
  </conditionalFormatting>
  <conditionalFormatting sqref="G259">
    <cfRule type="expression" dxfId="2603" priority="342">
      <formula>MOD(ROW(),2)=0</formula>
    </cfRule>
  </conditionalFormatting>
  <conditionalFormatting sqref="G274">
    <cfRule type="expression" dxfId="2602" priority="339">
      <formula>MOD(ROW(),2)=0</formula>
    </cfRule>
  </conditionalFormatting>
  <conditionalFormatting sqref="F243">
    <cfRule type="expression" dxfId="2601" priority="334">
      <formula>MOD(ROW(),2)=0</formula>
    </cfRule>
  </conditionalFormatting>
  <conditionalFormatting sqref="F245">
    <cfRule type="expression" dxfId="2600" priority="331">
      <formula>MOD(ROW(),2)=0</formula>
    </cfRule>
  </conditionalFormatting>
  <conditionalFormatting sqref="F246">
    <cfRule type="expression" dxfId="2599" priority="328">
      <formula>MOD(ROW(),2)=0</formula>
    </cfRule>
  </conditionalFormatting>
  <conditionalFormatting sqref="F247">
    <cfRule type="expression" dxfId="2598" priority="325">
      <formula>MOD(ROW(),2)=0</formula>
    </cfRule>
  </conditionalFormatting>
  <conditionalFormatting sqref="E247">
    <cfRule type="expression" dxfId="2597" priority="324">
      <formula>MOD(ROW(),2)=0</formula>
    </cfRule>
  </conditionalFormatting>
  <conditionalFormatting sqref="F248">
    <cfRule type="expression" dxfId="2596" priority="323">
      <formula>MOD(ROW(),2)=0</formula>
    </cfRule>
  </conditionalFormatting>
  <conditionalFormatting sqref="E56">
    <cfRule type="expression" dxfId="2593" priority="313">
      <formula>MOD(ROW(),2)=0</formula>
    </cfRule>
  </conditionalFormatting>
  <conditionalFormatting sqref="G283">
    <cfRule type="expression" dxfId="2592" priority="311">
      <formula>MOD(ROW(),2)=0</formula>
    </cfRule>
  </conditionalFormatting>
  <conditionalFormatting sqref="E283">
    <cfRule type="expression" dxfId="2591" priority="310">
      <formula>MOD(ROW(),2)=0</formula>
    </cfRule>
  </conditionalFormatting>
  <conditionalFormatting sqref="E288">
    <cfRule type="expression" dxfId="2590" priority="309">
      <formula>MOD(ROW(),2)=0</formula>
    </cfRule>
  </conditionalFormatting>
  <conditionalFormatting sqref="G289">
    <cfRule type="expression" dxfId="2589" priority="308">
      <formula>MOD(ROW(),2)=0</formula>
    </cfRule>
  </conditionalFormatting>
  <conditionalFormatting sqref="G290">
    <cfRule type="expression" dxfId="2588" priority="307">
      <formula>MOD(ROW(),2)=0</formula>
    </cfRule>
  </conditionalFormatting>
  <conditionalFormatting sqref="E289">
    <cfRule type="expression" dxfId="2587" priority="306">
      <formula>MOD(ROW(),2)=0</formula>
    </cfRule>
  </conditionalFormatting>
  <conditionalFormatting sqref="E290">
    <cfRule type="expression" dxfId="2586" priority="305">
      <formula>MOD(ROW(),2)=0</formula>
    </cfRule>
  </conditionalFormatting>
  <conditionalFormatting sqref="G293">
    <cfRule type="expression" dxfId="2585" priority="278">
      <formula>MOD(ROW(),2)=0</formula>
    </cfRule>
  </conditionalFormatting>
  <conditionalFormatting sqref="G294">
    <cfRule type="expression" dxfId="2584" priority="277">
      <formula>MOD(ROW(),2)=0</formula>
    </cfRule>
  </conditionalFormatting>
  <conditionalFormatting sqref="G285">
    <cfRule type="expression" dxfId="2583" priority="276">
      <formula>MOD(ROW(),2)=0</formula>
    </cfRule>
  </conditionalFormatting>
  <conditionalFormatting sqref="G286">
    <cfRule type="expression" dxfId="2582" priority="275">
      <formula>MOD(ROW(),2)=0</formula>
    </cfRule>
  </conditionalFormatting>
  <conditionalFormatting sqref="F244">
    <cfRule type="expression" dxfId="2581" priority="268">
      <formula>MOD(ROW(),2)=0</formula>
    </cfRule>
  </conditionalFormatting>
  <conditionalFormatting sqref="F247">
    <cfRule type="expression" dxfId="2580" priority="261">
      <formula>MOD(ROW(),2)=0</formula>
    </cfRule>
  </conditionalFormatting>
  <conditionalFormatting sqref="F248">
    <cfRule type="expression" dxfId="2579" priority="260">
      <formula>MOD(ROW(),2)=0</formula>
    </cfRule>
  </conditionalFormatting>
  <conditionalFormatting sqref="E248">
    <cfRule type="expression" dxfId="2578" priority="259">
      <formula>MOD(ROW(),2)=0</formula>
    </cfRule>
  </conditionalFormatting>
  <conditionalFormatting sqref="H64:H75">
    <cfRule type="expression" dxfId="2577" priority="217">
      <formula>MOD(ROW(),2)=0</formula>
    </cfRule>
  </conditionalFormatting>
  <conditionalFormatting sqref="H132:H147 H124:H127">
    <cfRule type="expression" dxfId="2576" priority="213">
      <formula>MOD(ROW(),2)=0</formula>
    </cfRule>
  </conditionalFormatting>
  <conditionalFormatting sqref="H76:H123 H148:H162 H172:H219">
    <cfRule type="expression" dxfId="2575" priority="212">
      <formula>MOD(ROW(),2)=0</formula>
    </cfRule>
  </conditionalFormatting>
  <conditionalFormatting sqref="H128:H131">
    <cfRule type="expression" dxfId="2574" priority="211">
      <formula>MOD(ROW(),2)=0</formula>
    </cfRule>
  </conditionalFormatting>
  <conditionalFormatting sqref="H163:H164">
    <cfRule type="expression" dxfId="2573" priority="210">
      <formula>MOD(ROW(),2)=0</formula>
    </cfRule>
  </conditionalFormatting>
  <conditionalFormatting sqref="H165:H171">
    <cfRule type="expression" dxfId="2572" priority="209">
      <formula>MOD(ROW(),2)=0</formula>
    </cfRule>
  </conditionalFormatting>
  <conditionalFormatting sqref="G196:G197">
    <cfRule type="expression" dxfId="2571" priority="208">
      <formula>MOD(ROW(),2)=0</formula>
    </cfRule>
  </conditionalFormatting>
  <conditionalFormatting sqref="G198:G199">
    <cfRule type="expression" dxfId="2570" priority="207">
      <formula>MOD(ROW(),2)=0</formula>
    </cfRule>
  </conditionalFormatting>
  <conditionalFormatting sqref="G204:G205">
    <cfRule type="expression" dxfId="2569" priority="206">
      <formula>MOD(ROW(),2)=0</formula>
    </cfRule>
  </conditionalFormatting>
  <conditionalFormatting sqref="G206:G207">
    <cfRule type="expression" dxfId="2568" priority="205">
      <formula>MOD(ROW(),2)=0</formula>
    </cfRule>
  </conditionalFormatting>
  <conditionalFormatting sqref="G208:G209">
    <cfRule type="expression" dxfId="2567" priority="204">
      <formula>MOD(ROW(),2)=0</formula>
    </cfRule>
  </conditionalFormatting>
  <conditionalFormatting sqref="G210:G211">
    <cfRule type="expression" dxfId="2566" priority="203">
      <formula>MOD(ROW(),2)=0</formula>
    </cfRule>
  </conditionalFormatting>
  <conditionalFormatting sqref="G212:G213">
    <cfRule type="expression" dxfId="2565" priority="202">
      <formula>MOD(ROW(),2)=0</formula>
    </cfRule>
  </conditionalFormatting>
  <conditionalFormatting sqref="G214:G215">
    <cfRule type="expression" dxfId="2564" priority="201">
      <formula>MOD(ROW(),2)=0</formula>
    </cfRule>
  </conditionalFormatting>
  <conditionalFormatting sqref="G216:G217">
    <cfRule type="expression" dxfId="2563" priority="200">
      <formula>MOD(ROW(),2)=0</formula>
    </cfRule>
  </conditionalFormatting>
  <conditionalFormatting sqref="G218:G219">
    <cfRule type="expression" dxfId="2562" priority="199">
      <formula>MOD(ROW(),2)=0</formula>
    </cfRule>
  </conditionalFormatting>
  <conditionalFormatting sqref="G200:G201">
    <cfRule type="expression" dxfId="2561" priority="198">
      <formula>MOD(ROW(),2)=0</formula>
    </cfRule>
  </conditionalFormatting>
  <conditionalFormatting sqref="G202:G203">
    <cfRule type="expression" dxfId="2560" priority="197">
      <formula>MOD(ROW(),2)=0</formula>
    </cfRule>
  </conditionalFormatting>
  <conditionalFormatting sqref="E204:E211">
    <cfRule type="expression" dxfId="2559" priority="196">
      <formula>MOD(ROW(),2)=0</formula>
    </cfRule>
  </conditionalFormatting>
  <conditionalFormatting sqref="E212:E219">
    <cfRule type="expression" dxfId="2558" priority="195">
      <formula>MOD(ROW(),2)=0</formula>
    </cfRule>
  </conditionalFormatting>
  <conditionalFormatting sqref="G76:G77">
    <cfRule type="expression" dxfId="2557" priority="194">
      <formula>MOD(ROW(),2)=0</formula>
    </cfRule>
  </conditionalFormatting>
  <conditionalFormatting sqref="G78:G79">
    <cfRule type="expression" dxfId="2556" priority="193">
      <formula>MOD(ROW(),2)=0</formula>
    </cfRule>
  </conditionalFormatting>
  <conditionalFormatting sqref="G84:G85">
    <cfRule type="expression" dxfId="2555" priority="192">
      <formula>MOD(ROW(),2)=0</formula>
    </cfRule>
  </conditionalFormatting>
  <conditionalFormatting sqref="G86:G87">
    <cfRule type="expression" dxfId="2554" priority="191">
      <formula>MOD(ROW(),2)=0</formula>
    </cfRule>
  </conditionalFormatting>
  <conditionalFormatting sqref="G88:G89">
    <cfRule type="expression" dxfId="2553" priority="190">
      <formula>MOD(ROW(),2)=0</formula>
    </cfRule>
  </conditionalFormatting>
  <conditionalFormatting sqref="G90:G91">
    <cfRule type="expression" dxfId="2552" priority="189">
      <formula>MOD(ROW(),2)=0</formula>
    </cfRule>
  </conditionalFormatting>
  <conditionalFormatting sqref="G92:G93">
    <cfRule type="expression" dxfId="2551" priority="188">
      <formula>MOD(ROW(),2)=0</formula>
    </cfRule>
  </conditionalFormatting>
  <conditionalFormatting sqref="G94:G95">
    <cfRule type="expression" dxfId="2550" priority="187">
      <formula>MOD(ROW(),2)=0</formula>
    </cfRule>
  </conditionalFormatting>
  <conditionalFormatting sqref="G96:G97">
    <cfRule type="expression" dxfId="2549" priority="186">
      <formula>MOD(ROW(),2)=0</formula>
    </cfRule>
  </conditionalFormatting>
  <conditionalFormatting sqref="G98:G99">
    <cfRule type="expression" dxfId="2548" priority="185">
      <formula>MOD(ROW(),2)=0</formula>
    </cfRule>
  </conditionalFormatting>
  <conditionalFormatting sqref="G80:G81">
    <cfRule type="expression" dxfId="2547" priority="184">
      <formula>MOD(ROW(),2)=0</formula>
    </cfRule>
  </conditionalFormatting>
  <conditionalFormatting sqref="G82:G83">
    <cfRule type="expression" dxfId="2546" priority="183">
      <formula>MOD(ROW(),2)=0</formula>
    </cfRule>
  </conditionalFormatting>
  <conditionalFormatting sqref="G100:G101">
    <cfRule type="expression" dxfId="2545" priority="182">
      <formula>MOD(ROW(),2)=0</formula>
    </cfRule>
  </conditionalFormatting>
  <conditionalFormatting sqref="E112:E123">
    <cfRule type="expression" dxfId="2544" priority="181">
      <formula>MOD(ROW(),2)=0</formula>
    </cfRule>
  </conditionalFormatting>
  <conditionalFormatting sqref="E108:E109">
    <cfRule type="expression" dxfId="2543" priority="176">
      <formula>MOD(ROW(),2)=0</formula>
    </cfRule>
  </conditionalFormatting>
  <conditionalFormatting sqref="E110:E111">
    <cfRule type="expression" dxfId="2542" priority="175">
      <formula>MOD(ROW(),2)=0</formula>
    </cfRule>
  </conditionalFormatting>
  <conditionalFormatting sqref="E106:E107">
    <cfRule type="expression" dxfId="2541" priority="180">
      <formula>MOD(ROW(),2)=0</formula>
    </cfRule>
  </conditionalFormatting>
  <conditionalFormatting sqref="E100:E101">
    <cfRule type="expression" dxfId="2540" priority="179">
      <formula>MOD(ROW(),2)=0</formula>
    </cfRule>
  </conditionalFormatting>
  <conditionalFormatting sqref="E102:E103">
    <cfRule type="expression" dxfId="2539" priority="178">
      <formula>MOD(ROW(),2)=0</formula>
    </cfRule>
  </conditionalFormatting>
  <conditionalFormatting sqref="E104:E105">
    <cfRule type="expression" dxfId="2538" priority="177">
      <formula>MOD(ROW(),2)=0</formula>
    </cfRule>
  </conditionalFormatting>
  <conditionalFormatting sqref="G102:G103">
    <cfRule type="expression" dxfId="2537" priority="174">
      <formula>MOD(ROW(),2)=0</formula>
    </cfRule>
  </conditionalFormatting>
  <conditionalFormatting sqref="G108:G109">
    <cfRule type="expression" dxfId="2536" priority="173">
      <formula>MOD(ROW(),2)=0</formula>
    </cfRule>
  </conditionalFormatting>
  <conditionalFormatting sqref="G110:G111">
    <cfRule type="expression" dxfId="2535" priority="172">
      <formula>MOD(ROW(),2)=0</formula>
    </cfRule>
  </conditionalFormatting>
  <conditionalFormatting sqref="G112:G113">
    <cfRule type="expression" dxfId="2534" priority="171">
      <formula>MOD(ROW(),2)=0</formula>
    </cfRule>
  </conditionalFormatting>
  <conditionalFormatting sqref="G114:G115">
    <cfRule type="expression" dxfId="2533" priority="170">
      <formula>MOD(ROW(),2)=0</formula>
    </cfRule>
  </conditionalFormatting>
  <conditionalFormatting sqref="G116:G117">
    <cfRule type="expression" dxfId="2532" priority="169">
      <formula>MOD(ROW(),2)=0</formula>
    </cfRule>
  </conditionalFormatting>
  <conditionalFormatting sqref="G118:G119">
    <cfRule type="expression" dxfId="2531" priority="168">
      <formula>MOD(ROW(),2)=0</formula>
    </cfRule>
  </conditionalFormatting>
  <conditionalFormatting sqref="G120:G121">
    <cfRule type="expression" dxfId="2530" priority="167">
      <formula>MOD(ROW(),2)=0</formula>
    </cfRule>
  </conditionalFormatting>
  <conditionalFormatting sqref="G122:G123">
    <cfRule type="expression" dxfId="2529" priority="166">
      <formula>MOD(ROW(),2)=0</formula>
    </cfRule>
  </conditionalFormatting>
  <conditionalFormatting sqref="G104:G105">
    <cfRule type="expression" dxfId="2528" priority="165">
      <formula>MOD(ROW(),2)=0</formula>
    </cfRule>
  </conditionalFormatting>
  <conditionalFormatting sqref="G106:G107">
    <cfRule type="expression" dxfId="2527" priority="164">
      <formula>MOD(ROW(),2)=0</formula>
    </cfRule>
  </conditionalFormatting>
  <conditionalFormatting sqref="E128:E131">
    <cfRule type="expression" dxfId="2526" priority="163">
      <formula>MOD(ROW(),2)=0</formula>
    </cfRule>
  </conditionalFormatting>
  <conditionalFormatting sqref="E138:E139">
    <cfRule type="expression" dxfId="2525" priority="162">
      <formula>MOD(ROW(),2)=0</formula>
    </cfRule>
  </conditionalFormatting>
  <conditionalFormatting sqref="E124:E127">
    <cfRule type="expression" dxfId="2524" priority="161">
      <formula>MOD(ROW(),2)=0</formula>
    </cfRule>
  </conditionalFormatting>
  <conditionalFormatting sqref="E132:E133">
    <cfRule type="expression" dxfId="2523" priority="160">
      <formula>MOD(ROW(),2)=0</formula>
    </cfRule>
  </conditionalFormatting>
  <conditionalFormatting sqref="E134:E137">
    <cfRule type="expression" dxfId="2522" priority="159">
      <formula>MOD(ROW(),2)=0</formula>
    </cfRule>
  </conditionalFormatting>
  <conditionalFormatting sqref="E140:E143">
    <cfRule type="expression" dxfId="2521" priority="158">
      <formula>MOD(ROW(),2)=0</formula>
    </cfRule>
  </conditionalFormatting>
  <conditionalFormatting sqref="E144:E147">
    <cfRule type="expression" dxfId="2520" priority="157">
      <formula>MOD(ROW(),2)=0</formula>
    </cfRule>
  </conditionalFormatting>
  <conditionalFormatting sqref="G124:G125">
    <cfRule type="expression" dxfId="2519" priority="156">
      <formula>MOD(ROW(),2)=0</formula>
    </cfRule>
  </conditionalFormatting>
  <conditionalFormatting sqref="G126:G127">
    <cfRule type="expression" dxfId="2518" priority="155">
      <formula>MOD(ROW(),2)=0</formula>
    </cfRule>
  </conditionalFormatting>
  <conditionalFormatting sqref="G132:G133">
    <cfRule type="expression" dxfId="2517" priority="154">
      <formula>MOD(ROW(),2)=0</formula>
    </cfRule>
  </conditionalFormatting>
  <conditionalFormatting sqref="G134:G135">
    <cfRule type="expression" dxfId="2516" priority="153">
      <formula>MOD(ROW(),2)=0</formula>
    </cfRule>
  </conditionalFormatting>
  <conditionalFormatting sqref="G136:G137">
    <cfRule type="expression" dxfId="2515" priority="152">
      <formula>MOD(ROW(),2)=0</formula>
    </cfRule>
  </conditionalFormatting>
  <conditionalFormatting sqref="G138:G139">
    <cfRule type="expression" dxfId="2514" priority="151">
      <formula>MOD(ROW(),2)=0</formula>
    </cfRule>
  </conditionalFormatting>
  <conditionalFormatting sqref="G140:G141">
    <cfRule type="expression" dxfId="2513" priority="150">
      <formula>MOD(ROW(),2)=0</formula>
    </cfRule>
  </conditionalFormatting>
  <conditionalFormatting sqref="G142:G143">
    <cfRule type="expression" dxfId="2512" priority="149">
      <formula>MOD(ROW(),2)=0</formula>
    </cfRule>
  </conditionalFormatting>
  <conditionalFormatting sqref="G144:G145">
    <cfRule type="expression" dxfId="2511" priority="148">
      <formula>MOD(ROW(),2)=0</formula>
    </cfRule>
  </conditionalFormatting>
  <conditionalFormatting sqref="G146:G147">
    <cfRule type="expression" dxfId="2510" priority="147">
      <formula>MOD(ROW(),2)=0</formula>
    </cfRule>
  </conditionalFormatting>
  <conditionalFormatting sqref="G128:G129">
    <cfRule type="expression" dxfId="2509" priority="146">
      <formula>MOD(ROW(),2)=0</formula>
    </cfRule>
  </conditionalFormatting>
  <conditionalFormatting sqref="G130:G131">
    <cfRule type="expression" dxfId="2508" priority="145">
      <formula>MOD(ROW(),2)=0</formula>
    </cfRule>
  </conditionalFormatting>
  <conditionalFormatting sqref="E152:E155">
    <cfRule type="expression" dxfId="2507" priority="144">
      <formula>MOD(ROW(),2)=0</formula>
    </cfRule>
  </conditionalFormatting>
  <conditionalFormatting sqref="E162:E163">
    <cfRule type="expression" dxfId="2506" priority="143">
      <formula>MOD(ROW(),2)=0</formula>
    </cfRule>
  </conditionalFormatting>
  <conditionalFormatting sqref="E148:E151">
    <cfRule type="expression" dxfId="2505" priority="142">
      <formula>MOD(ROW(),2)=0</formula>
    </cfRule>
  </conditionalFormatting>
  <conditionalFormatting sqref="E156:E157">
    <cfRule type="expression" dxfId="2504" priority="141">
      <formula>MOD(ROW(),2)=0</formula>
    </cfRule>
  </conditionalFormatting>
  <conditionalFormatting sqref="E158:E161">
    <cfRule type="expression" dxfId="2503" priority="140">
      <formula>MOD(ROW(),2)=0</formula>
    </cfRule>
  </conditionalFormatting>
  <conditionalFormatting sqref="E164:E167">
    <cfRule type="expression" dxfId="2502" priority="139">
      <formula>MOD(ROW(),2)=0</formula>
    </cfRule>
  </conditionalFormatting>
  <conditionalFormatting sqref="E168:E171">
    <cfRule type="expression" dxfId="2501" priority="138">
      <formula>MOD(ROW(),2)=0</formula>
    </cfRule>
  </conditionalFormatting>
  <conditionalFormatting sqref="G148:G149">
    <cfRule type="expression" dxfId="2500" priority="137">
      <formula>MOD(ROW(),2)=0</formula>
    </cfRule>
  </conditionalFormatting>
  <conditionalFormatting sqref="G150:G151">
    <cfRule type="expression" dxfId="2499" priority="136">
      <formula>MOD(ROW(),2)=0</formula>
    </cfRule>
  </conditionalFormatting>
  <conditionalFormatting sqref="G156:G157">
    <cfRule type="expression" dxfId="2498" priority="135">
      <formula>MOD(ROW(),2)=0</formula>
    </cfRule>
  </conditionalFormatting>
  <conditionalFormatting sqref="G158:G159">
    <cfRule type="expression" dxfId="2497" priority="134">
      <formula>MOD(ROW(),2)=0</formula>
    </cfRule>
  </conditionalFormatting>
  <conditionalFormatting sqref="G160:G161">
    <cfRule type="expression" dxfId="2496" priority="133">
      <formula>MOD(ROW(),2)=0</formula>
    </cfRule>
  </conditionalFormatting>
  <conditionalFormatting sqref="G162:G163">
    <cfRule type="expression" dxfId="2495" priority="132">
      <formula>MOD(ROW(),2)=0</formula>
    </cfRule>
  </conditionalFormatting>
  <conditionalFormatting sqref="G164:G165">
    <cfRule type="expression" dxfId="2494" priority="130">
      <formula>MOD(ROW(),2)=0</formula>
    </cfRule>
  </conditionalFormatting>
  <conditionalFormatting sqref="G166:G167">
    <cfRule type="expression" dxfId="2493" priority="129">
      <formula>MOD(ROW(),2)=0</formula>
    </cfRule>
  </conditionalFormatting>
  <conditionalFormatting sqref="G168:G169">
    <cfRule type="expression" dxfId="2492" priority="128">
      <formula>MOD(ROW(),2)=0</formula>
    </cfRule>
  </conditionalFormatting>
  <conditionalFormatting sqref="G170:G171">
    <cfRule type="expression" dxfId="2491" priority="127">
      <formula>MOD(ROW(),2)=0</formula>
    </cfRule>
  </conditionalFormatting>
  <conditionalFormatting sqref="G152:G153">
    <cfRule type="expression" dxfId="2490" priority="126">
      <formula>MOD(ROW(),2)=0</formula>
    </cfRule>
  </conditionalFormatting>
  <conditionalFormatting sqref="G154:G155">
    <cfRule type="expression" dxfId="2489" priority="125">
      <formula>MOD(ROW(),2)=0</formula>
    </cfRule>
  </conditionalFormatting>
  <conditionalFormatting sqref="G172:G173">
    <cfRule type="expression" dxfId="2488" priority="124">
      <formula>MOD(ROW(),2)=0</formula>
    </cfRule>
  </conditionalFormatting>
  <conditionalFormatting sqref="G174:G175">
    <cfRule type="expression" dxfId="2487" priority="123">
      <formula>MOD(ROW(),2)=0</formula>
    </cfRule>
  </conditionalFormatting>
  <conditionalFormatting sqref="G180:G181">
    <cfRule type="expression" dxfId="2486" priority="122">
      <formula>MOD(ROW(),2)=0</formula>
    </cfRule>
  </conditionalFormatting>
  <conditionalFormatting sqref="G182:G183">
    <cfRule type="expression" dxfId="2485" priority="121">
      <formula>MOD(ROW(),2)=0</formula>
    </cfRule>
  </conditionalFormatting>
  <conditionalFormatting sqref="G184:G185">
    <cfRule type="expression" dxfId="2484" priority="120">
      <formula>MOD(ROW(),2)=0</formula>
    </cfRule>
  </conditionalFormatting>
  <conditionalFormatting sqref="G186:G187">
    <cfRule type="expression" dxfId="2483" priority="119">
      <formula>MOD(ROW(),2)=0</formula>
    </cfRule>
  </conditionalFormatting>
  <conditionalFormatting sqref="G188:G189">
    <cfRule type="expression" dxfId="2482" priority="118">
      <formula>MOD(ROW(),2)=0</formula>
    </cfRule>
  </conditionalFormatting>
  <conditionalFormatting sqref="G190:G191">
    <cfRule type="expression" dxfId="2481" priority="117">
      <formula>MOD(ROW(),2)=0</formula>
    </cfRule>
  </conditionalFormatting>
  <conditionalFormatting sqref="G192:G193">
    <cfRule type="expression" dxfId="2480" priority="116">
      <formula>MOD(ROW(),2)=0</formula>
    </cfRule>
  </conditionalFormatting>
  <conditionalFormatting sqref="G194:G195">
    <cfRule type="expression" dxfId="2479" priority="115">
      <formula>MOD(ROW(),2)=0</formula>
    </cfRule>
  </conditionalFormatting>
  <conditionalFormatting sqref="G176:G177">
    <cfRule type="expression" dxfId="2478" priority="114">
      <formula>MOD(ROW(),2)=0</formula>
    </cfRule>
  </conditionalFormatting>
  <conditionalFormatting sqref="G178:G179">
    <cfRule type="expression" dxfId="2477" priority="113">
      <formula>MOD(ROW(),2)=0</formula>
    </cfRule>
  </conditionalFormatting>
  <conditionalFormatting sqref="G404:G405">
    <cfRule type="expression" dxfId="2476" priority="112">
      <formula>MOD(ROW(),2)=0</formula>
    </cfRule>
  </conditionalFormatting>
  <conditionalFormatting sqref="G225">
    <cfRule type="expression" dxfId="2475" priority="111">
      <formula>MOD(ROW(),2)=0</formula>
    </cfRule>
  </conditionalFormatting>
  <conditionalFormatting sqref="E225">
    <cfRule type="expression" dxfId="2474" priority="110">
      <formula>MOD(ROW(),2)=0</formula>
    </cfRule>
  </conditionalFormatting>
  <conditionalFormatting sqref="G246">
    <cfRule type="expression" dxfId="2473" priority="109">
      <formula>MOD(ROW(),2)=0</formula>
    </cfRule>
  </conditionalFormatting>
  <conditionalFormatting sqref="E246">
    <cfRule type="expression" dxfId="2472" priority="108">
      <formula>MOD(ROW(),2)=0</formula>
    </cfRule>
  </conditionalFormatting>
  <conditionalFormatting sqref="G223">
    <cfRule type="expression" dxfId="2471" priority="89">
      <formula>MOD(ROW(),2)=0</formula>
    </cfRule>
  </conditionalFormatting>
  <conditionalFormatting sqref="G74:G75">
    <cfRule type="expression" dxfId="2467" priority="103">
      <formula>MOD(ROW(),2)=0</formula>
    </cfRule>
  </conditionalFormatting>
  <conditionalFormatting sqref="E74:E75">
    <cfRule type="expression" dxfId="2466" priority="102">
      <formula>MOD(ROW(),2)=0</formula>
    </cfRule>
  </conditionalFormatting>
  <conditionalFormatting sqref="G402:G403">
    <cfRule type="expression" dxfId="2465" priority="101">
      <formula>MOD(ROW(),2)=0</formula>
    </cfRule>
  </conditionalFormatting>
  <conditionalFormatting sqref="G224">
    <cfRule type="expression" dxfId="2464" priority="100">
      <formula>MOD(ROW(),2)=0</formula>
    </cfRule>
  </conditionalFormatting>
  <conditionalFormatting sqref="G245">
    <cfRule type="expression" dxfId="2463" priority="99">
      <formula>MOD(ROW(),2)=0</formula>
    </cfRule>
  </conditionalFormatting>
  <conditionalFormatting sqref="E244">
    <cfRule type="expression" dxfId="2462" priority="80">
      <formula>MOD(ROW(),2)=0</formula>
    </cfRule>
  </conditionalFormatting>
  <conditionalFormatting sqref="G72:G73">
    <cfRule type="expression" dxfId="2460" priority="96">
      <formula>MOD(ROW(),2)=0</formula>
    </cfRule>
  </conditionalFormatting>
  <conditionalFormatting sqref="E72:E73">
    <cfRule type="expression" dxfId="2459" priority="95">
      <formula>MOD(ROW(),2)=0</formula>
    </cfRule>
  </conditionalFormatting>
  <conditionalFormatting sqref="E224">
    <cfRule type="expression" dxfId="2458" priority="94">
      <formula>MOD(ROW(),2)=0</formula>
    </cfRule>
  </conditionalFormatting>
  <conditionalFormatting sqref="G243">
    <cfRule type="expression" dxfId="2457" priority="75">
      <formula>MOD(ROW(),2)=0</formula>
    </cfRule>
  </conditionalFormatting>
  <conditionalFormatting sqref="E245">
    <cfRule type="expression" dxfId="2455" priority="91">
      <formula>MOD(ROW(),2)=0</formula>
    </cfRule>
  </conditionalFormatting>
  <conditionalFormatting sqref="G400:G401">
    <cfRule type="expression" dxfId="2454" priority="90">
      <formula>MOD(ROW(),2)=0</formula>
    </cfRule>
  </conditionalFormatting>
  <conditionalFormatting sqref="G244">
    <cfRule type="expression" dxfId="2452" priority="88">
      <formula>MOD(ROW(),2)=0</formula>
    </cfRule>
  </conditionalFormatting>
  <conditionalFormatting sqref="G70:G71">
    <cfRule type="expression" dxfId="2449" priority="85">
      <formula>MOD(ROW(),2)=0</formula>
    </cfRule>
  </conditionalFormatting>
  <conditionalFormatting sqref="E70:E71">
    <cfRule type="expression" dxfId="2448" priority="84">
      <formula>MOD(ROW(),2)=0</formula>
    </cfRule>
  </conditionalFormatting>
  <conditionalFormatting sqref="E223">
    <cfRule type="expression" dxfId="2447" priority="83">
      <formula>MOD(ROW(),2)=0</formula>
    </cfRule>
  </conditionalFormatting>
  <conditionalFormatting sqref="E221">
    <cfRule type="expression" dxfId="2446" priority="64">
      <formula>MOD(ROW(),2)=0</formula>
    </cfRule>
  </conditionalFormatting>
  <conditionalFormatting sqref="E400">
    <cfRule type="expression" dxfId="2443" priority="79">
      <formula>MOD(ROW(),2)=0</formula>
    </cfRule>
  </conditionalFormatting>
  <conditionalFormatting sqref="E401">
    <cfRule type="expression" dxfId="2442" priority="78">
      <formula>MOD(ROW(),2)=0</formula>
    </cfRule>
  </conditionalFormatting>
  <conditionalFormatting sqref="G398:G399">
    <cfRule type="expression" dxfId="2441" priority="77">
      <formula>MOD(ROW(),2)=0</formula>
    </cfRule>
  </conditionalFormatting>
  <conditionalFormatting sqref="G222">
    <cfRule type="expression" dxfId="2440" priority="76">
      <formula>MOD(ROW(),2)=0</formula>
    </cfRule>
  </conditionalFormatting>
  <conditionalFormatting sqref="G68:G69">
    <cfRule type="expression" dxfId="2436" priority="72">
      <formula>MOD(ROW(),2)=0</formula>
    </cfRule>
  </conditionalFormatting>
  <conditionalFormatting sqref="E222">
    <cfRule type="expression" dxfId="2435" priority="71">
      <formula>MOD(ROW(),2)=0</formula>
    </cfRule>
  </conditionalFormatting>
  <conditionalFormatting sqref="G220">
    <cfRule type="expression" dxfId="2434" priority="52">
      <formula>MOD(ROW(),2)=0</formula>
    </cfRule>
  </conditionalFormatting>
  <conditionalFormatting sqref="E243">
    <cfRule type="expression" dxfId="2432" priority="68">
      <formula>MOD(ROW(),2)=0</formula>
    </cfRule>
  </conditionalFormatting>
  <conditionalFormatting sqref="G396:G397">
    <cfRule type="expression" dxfId="2431" priority="67">
      <formula>MOD(ROW(),2)=0</formula>
    </cfRule>
  </conditionalFormatting>
  <conditionalFormatting sqref="E396:E397">
    <cfRule type="expression" dxfId="2430" priority="66">
      <formula>MOD(ROW(),2)=0</formula>
    </cfRule>
  </conditionalFormatting>
  <conditionalFormatting sqref="G221">
    <cfRule type="expression" dxfId="2429" priority="65">
      <formula>MOD(ROW(),2)=0</formula>
    </cfRule>
  </conditionalFormatting>
  <conditionalFormatting sqref="G242">
    <cfRule type="expression" dxfId="2427" priority="63">
      <formula>MOD(ROW(),2)=0</formula>
    </cfRule>
  </conditionalFormatting>
  <conditionalFormatting sqref="E242">
    <cfRule type="expression" dxfId="2426" priority="62">
      <formula>MOD(ROW(),2)=0</formula>
    </cfRule>
  </conditionalFormatting>
  <conditionalFormatting sqref="G247">
    <cfRule type="expression" dxfId="2425" priority="43">
      <formula>MOD(ROW(),2)=0</formula>
    </cfRule>
  </conditionalFormatting>
  <conditionalFormatting sqref="G66:G67">
    <cfRule type="expression" dxfId="2423" priority="59">
      <formula>MOD(ROW(),2)=0</formula>
    </cfRule>
  </conditionalFormatting>
  <conditionalFormatting sqref="E66:E67">
    <cfRule type="expression" dxfId="2422" priority="58">
      <formula>MOD(ROW(),2)=0</formula>
    </cfRule>
  </conditionalFormatting>
  <conditionalFormatting sqref="G388:G393">
    <cfRule type="expression" dxfId="2421" priority="39">
      <formula>MOD(ROW(),2)=0</formula>
    </cfRule>
  </conditionalFormatting>
  <conditionalFormatting sqref="G394:G395">
    <cfRule type="expression" dxfId="2419" priority="55">
      <formula>MOD(ROW(),2)=0</formula>
    </cfRule>
  </conditionalFormatting>
  <conditionalFormatting sqref="E241">
    <cfRule type="expression" dxfId="2417" priority="53">
      <formula>MOD(ROW(),2)=0</formula>
    </cfRule>
  </conditionalFormatting>
  <conditionalFormatting sqref="G241">
    <cfRule type="expression" dxfId="2415" priority="51">
      <formula>MOD(ROW(),2)=0</formula>
    </cfRule>
  </conditionalFormatting>
  <conditionalFormatting sqref="G61">
    <cfRule type="expression" dxfId="2414" priority="32">
      <formula>MOD(ROW(),2)=0</formula>
    </cfRule>
  </conditionalFormatting>
  <conditionalFormatting sqref="G64:G65">
    <cfRule type="expression" dxfId="2412" priority="48">
      <formula>MOD(ROW(),2)=0</formula>
    </cfRule>
  </conditionalFormatting>
  <conditionalFormatting sqref="E64:E65">
    <cfRule type="expression" dxfId="2411" priority="47">
      <formula>MOD(ROW(),2)=0</formula>
    </cfRule>
  </conditionalFormatting>
  <conditionalFormatting sqref="G248">
    <cfRule type="expression" dxfId="2409" priority="42">
      <formula>MOD(ROW(),2)=0</formula>
    </cfRule>
  </conditionalFormatting>
  <conditionalFormatting sqref="G249">
    <cfRule type="expression" dxfId="2408" priority="41">
      <formula>MOD(ROW(),2)=0</formula>
    </cfRule>
  </conditionalFormatting>
  <conditionalFormatting sqref="G250">
    <cfRule type="expression" dxfId="2407" priority="40">
      <formula>MOD(ROW(),2)=0</formula>
    </cfRule>
  </conditionalFormatting>
  <conditionalFormatting sqref="G251:G252">
    <cfRule type="expression" dxfId="2406" priority="46">
      <formula>MOD(ROW(),2)=0</formula>
    </cfRule>
  </conditionalFormatting>
  <conditionalFormatting sqref="G247">
    <cfRule type="expression" dxfId="2405" priority="45">
      <formula>MOD(ROW(),2)=0</formula>
    </cfRule>
  </conditionalFormatting>
  <conditionalFormatting sqref="G248">
    <cfRule type="expression" dxfId="2404" priority="44">
      <formula>MOD(ROW(),2)=0</formula>
    </cfRule>
  </conditionalFormatting>
  <conditionalFormatting sqref="J388:J393">
    <cfRule type="expression" dxfId="2402" priority="38">
      <formula>MOD(ROW(),2)=0</formula>
    </cfRule>
  </conditionalFormatting>
  <conditionalFormatting sqref="K388:K393">
    <cfRule type="expression" dxfId="2401" priority="37">
      <formula>MOD(ROW(),2)=0</formula>
    </cfRule>
  </conditionalFormatting>
  <conditionalFormatting sqref="K247:K250">
    <cfRule type="expression" dxfId="2400" priority="36">
      <formula>MOD(ROW(),2)=0</formula>
    </cfRule>
  </conditionalFormatting>
  <conditionalFormatting sqref="K251">
    <cfRule type="expression" dxfId="2399" priority="35">
      <formula>MOD(ROW(),2)=0</formula>
    </cfRule>
  </conditionalFormatting>
  <conditionalFormatting sqref="K252">
    <cfRule type="expression" dxfId="2398" priority="34">
      <formula>MOD(ROW(),2)=0</formula>
    </cfRule>
  </conditionalFormatting>
  <conditionalFormatting sqref="J247:J252">
    <cfRule type="expression" dxfId="2397" priority="33">
      <formula>MOD(ROW(),2)=0</formula>
    </cfRule>
  </conditionalFormatting>
  <conditionalFormatting sqref="F236:F240 E235:F235">
    <cfRule type="expression" dxfId="2395" priority="31">
      <formula>MOD(ROW(),2)=0</formula>
    </cfRule>
  </conditionalFormatting>
  <conditionalFormatting sqref="D235:D240">
    <cfRule type="expression" dxfId="2394" priority="30">
      <formula>MOD(ROW(),2)=0</formula>
    </cfRule>
  </conditionalFormatting>
  <conditionalFormatting sqref="G240">
    <cfRule type="expression" dxfId="2393" priority="29">
      <formula>MOD(ROW(),2)=0</formula>
    </cfRule>
  </conditionalFormatting>
  <conditionalFormatting sqref="E240">
    <cfRule type="expression" dxfId="2392" priority="28">
      <formula>MOD(ROW(),2)=0</formula>
    </cfRule>
  </conditionalFormatting>
  <conditionalFormatting sqref="G239">
    <cfRule type="expression" dxfId="2391" priority="27">
      <formula>MOD(ROW(),2)=0</formula>
    </cfRule>
  </conditionalFormatting>
  <conditionalFormatting sqref="E239">
    <cfRule type="expression" dxfId="2390" priority="26">
      <formula>MOD(ROW(),2)=0</formula>
    </cfRule>
  </conditionalFormatting>
  <conditionalFormatting sqref="G238">
    <cfRule type="expression" dxfId="2389" priority="25">
      <formula>MOD(ROW(),2)=0</formula>
    </cfRule>
  </conditionalFormatting>
  <conditionalFormatting sqref="E238">
    <cfRule type="expression" dxfId="2388" priority="24">
      <formula>MOD(ROW(),2)=0</formula>
    </cfRule>
  </conditionalFormatting>
  <conditionalFormatting sqref="G237">
    <cfRule type="expression" dxfId="2387" priority="23">
      <formula>MOD(ROW(),2)=0</formula>
    </cfRule>
  </conditionalFormatting>
  <conditionalFormatting sqref="E237">
    <cfRule type="expression" dxfId="2386" priority="22">
      <formula>MOD(ROW(),2)=0</formula>
    </cfRule>
  </conditionalFormatting>
  <conditionalFormatting sqref="G236">
    <cfRule type="expression" dxfId="2385" priority="21">
      <formula>MOD(ROW(),2)=0</formula>
    </cfRule>
  </conditionalFormatting>
  <conditionalFormatting sqref="E236">
    <cfRule type="expression" dxfId="2384" priority="20">
      <formula>MOD(ROW(),2)=0</formula>
    </cfRule>
  </conditionalFormatting>
  <conditionalFormatting sqref="G235">
    <cfRule type="expression" dxfId="2383" priority="19">
      <formula>MOD(ROW(),2)=0</formula>
    </cfRule>
  </conditionalFormatting>
  <conditionalFormatting sqref="F229:F230">
    <cfRule type="expression" dxfId="2382" priority="18">
      <formula>MOD(ROW(),2)=0</formula>
    </cfRule>
  </conditionalFormatting>
  <conditionalFormatting sqref="D229:D234">
    <cfRule type="expression" dxfId="2381" priority="17">
      <formula>MOD(ROW(),2)=0</formula>
    </cfRule>
  </conditionalFormatting>
  <conditionalFormatting sqref="F231">
    <cfRule type="expression" dxfId="2380" priority="14">
      <formula>MOD(ROW(),2)=0</formula>
    </cfRule>
  </conditionalFormatting>
  <conditionalFormatting sqref="F232">
    <cfRule type="expression" dxfId="2379" priority="13">
      <formula>MOD(ROW(),2)=0</formula>
    </cfRule>
  </conditionalFormatting>
  <conditionalFormatting sqref="F233">
    <cfRule type="expression" dxfId="2378" priority="16">
      <formula>MOD(ROW(),2)=0</formula>
    </cfRule>
  </conditionalFormatting>
  <conditionalFormatting sqref="F234">
    <cfRule type="expression" dxfId="2377" priority="15">
      <formula>MOD(ROW(),2)=0</formula>
    </cfRule>
  </conditionalFormatting>
  <conditionalFormatting sqref="G234">
    <cfRule type="expression" dxfId="2376" priority="12">
      <formula>MOD(ROW(),2)=0</formula>
    </cfRule>
  </conditionalFormatting>
  <conditionalFormatting sqref="E234">
    <cfRule type="expression" dxfId="2375" priority="11">
      <formula>MOD(ROW(),2)=0</formula>
    </cfRule>
  </conditionalFormatting>
  <conditionalFormatting sqref="G233">
    <cfRule type="expression" dxfId="2374" priority="10">
      <formula>MOD(ROW(),2)=0</formula>
    </cfRule>
  </conditionalFormatting>
  <conditionalFormatting sqref="E233">
    <cfRule type="expression" dxfId="2373" priority="9">
      <formula>MOD(ROW(),2)=0</formula>
    </cfRule>
  </conditionalFormatting>
  <conditionalFormatting sqref="G232">
    <cfRule type="expression" dxfId="2372" priority="8">
      <formula>MOD(ROW(),2)=0</formula>
    </cfRule>
  </conditionalFormatting>
  <conditionalFormatting sqref="E232">
    <cfRule type="expression" dxfId="2371" priority="7">
      <formula>MOD(ROW(),2)=0</formula>
    </cfRule>
  </conditionalFormatting>
  <conditionalFormatting sqref="G231">
    <cfRule type="expression" dxfId="2370" priority="6">
      <formula>MOD(ROW(),2)=0</formula>
    </cfRule>
  </conditionalFormatting>
  <conditionalFormatting sqref="E231">
    <cfRule type="expression" dxfId="2369" priority="5">
      <formula>MOD(ROW(),2)=0</formula>
    </cfRule>
  </conditionalFormatting>
  <conditionalFormatting sqref="G230">
    <cfRule type="expression" dxfId="2368" priority="4">
      <formula>MOD(ROW(),2)=0</formula>
    </cfRule>
  </conditionalFormatting>
  <conditionalFormatting sqref="E230">
    <cfRule type="expression" dxfId="2367" priority="3">
      <formula>MOD(ROW(),2)=0</formula>
    </cfRule>
  </conditionalFormatting>
  <conditionalFormatting sqref="E229">
    <cfRule type="expression" dxfId="2366" priority="2">
      <formula>MOD(ROW(),2)=0</formula>
    </cfRule>
  </conditionalFormatting>
  <conditionalFormatting sqref="G229">
    <cfRule type="expression" dxfId="2365" priority="1">
      <formula>MOD(ROW(),2)=0</formula>
    </cfRule>
  </conditionalFormatting>
  <hyperlinks>
    <hyperlink ref="AN6" location="'0'!A1" tooltip="X stave 0, Front" display="'0'!A1" xr:uid="{00000000-0004-0000-0700-000000000000}"/>
    <hyperlink ref="AN7:AN10" location="'0'!A1" tooltip="X stave 0, Front" display="'0'!A1" xr:uid="{00000000-0004-0000-0700-000001000000}"/>
    <hyperlink ref="AJ6" location="'0'!A1" tooltip="X stave 0, Front" display="'0'!A1" xr:uid="{00000000-0004-0000-0700-000002000000}"/>
    <hyperlink ref="AJ7:AJ10" location="'0'!A1" tooltip="X stave 0, Front" display="'0'!A1" xr:uid="{00000000-0004-0000-0700-000003000000}"/>
    <hyperlink ref="AH6" location="'0'!A1" tooltip="X stave 0, Front" display="'0'!A1" xr:uid="{00000000-0004-0000-0700-000004000000}"/>
    <hyperlink ref="AH7:AH10" location="'0'!A1" tooltip="X stave 0, Front" display="'0'!A1" xr:uid="{00000000-0004-0000-0700-000005000000}"/>
    <hyperlink ref="AJ6:AJ10" location="'2'!A1" tooltip="DCB 2" display="'2'!A1" xr:uid="{00000000-0004-0000-0700-000006000000}"/>
    <hyperlink ref="AN6:AN10" location="'0'!A1" tooltip="DCB 0" display="'0'!A1" xr:uid="{00000000-0004-0000-0700-000007000000}"/>
    <hyperlink ref="AL6" location="'0'!A1" tooltip="X stave 0, Front" display="'0'!A1" xr:uid="{00000000-0004-0000-0700-000008000000}"/>
    <hyperlink ref="AL7:AL10" location="'0'!A1" tooltip="X stave 0, Front" display="'0'!A1" xr:uid="{00000000-0004-0000-0700-000009000000}"/>
    <hyperlink ref="AL6:AL10" location="'1'!A1" tooltip="DCB 1" display="'1'!A1" xr:uid="{00000000-0004-0000-0700-00000A000000}"/>
    <hyperlink ref="AH6:AH10" location="'3'!A1" display="'3'!A1" xr:uid="{00000000-0004-0000-0700-00000B000000}"/>
    <hyperlink ref="AF6" location="'0'!A1" tooltip="X stave 0, Front" display="'0'!A1" xr:uid="{00000000-0004-0000-0700-00000C000000}"/>
    <hyperlink ref="AF7:AF10" location="'0'!A1" tooltip="X stave 0, Front" display="'0'!A1" xr:uid="{00000000-0004-0000-0700-00000D000000}"/>
    <hyperlink ref="AF6:AF10" location="'4'!A1" display="'4'!A1" xr:uid="{00000000-0004-0000-0700-00000E000000}"/>
    <hyperlink ref="AD6" location="'0'!A1" tooltip="X stave 0, Front" display="'0'!A1" xr:uid="{00000000-0004-0000-0700-00000F000000}"/>
    <hyperlink ref="AD7:AD10" location="'0'!A1" tooltip="X stave 0, Front" display="'0'!A1" xr:uid="{00000000-0004-0000-0700-000010000000}"/>
    <hyperlink ref="AD6:AD10" location="'5'!A1" display="'5'!A1" xr:uid="{00000000-0004-0000-0700-000011000000}"/>
    <hyperlink ref="AB6" location="'0'!A1" tooltip="X stave 0, Front" display="'0'!A1" xr:uid="{00000000-0004-0000-0700-000012000000}"/>
    <hyperlink ref="AB7:AB10" location="'0'!A1" tooltip="X stave 0, Front" display="'0'!A1" xr:uid="{00000000-0004-0000-0700-000013000000}"/>
    <hyperlink ref="AB6:AB10" location="'6'!A1" display="'6'!A1" xr:uid="{00000000-0004-0000-0700-000014000000}"/>
    <hyperlink ref="Z6" location="'0'!A1" tooltip="X stave 0, Front" display="'0'!A1" xr:uid="{00000000-0004-0000-0700-000015000000}"/>
    <hyperlink ref="Z7:Z10" location="'0'!A1" tooltip="X stave 0, Front" display="'0'!A1" xr:uid="{00000000-0004-0000-0700-000016000000}"/>
    <hyperlink ref="Z6:Z10" location="'7'!A1" display="'7'!A1" xr:uid="{00000000-0004-0000-0700-000017000000}"/>
    <hyperlink ref="X6" location="'0'!A1" tooltip="X stave 0, Front" display="'0'!A1" xr:uid="{00000000-0004-0000-0700-000018000000}"/>
    <hyperlink ref="X7:X10" location="'0'!A1" tooltip="X stave 0, Front" display="'0'!A1" xr:uid="{00000000-0004-0000-0700-000019000000}"/>
    <hyperlink ref="X6:X10" location="'8'!A1" display="'8'!A1" xr:uid="{00000000-0004-0000-0700-00001A000000}"/>
    <hyperlink ref="V6" location="'0'!A1" tooltip="X stave 0, Front" display="'0'!A1" xr:uid="{00000000-0004-0000-0700-00001B000000}"/>
    <hyperlink ref="V7:V10" location="'0'!A1" tooltip="X stave 0, Front" display="'0'!A1" xr:uid="{00000000-0004-0000-0700-00001C000000}"/>
    <hyperlink ref="V6:V10" location="'9'!A1" display="'9'!A1" xr:uid="{00000000-0004-0000-0700-00001D000000}"/>
    <hyperlink ref="T6" location="'0'!A1" tooltip="X stave 0, Front" display="'0'!A1" xr:uid="{00000000-0004-0000-0700-00001E000000}"/>
    <hyperlink ref="T7:T10" location="'0'!A1" tooltip="X stave 0, Front" display="'0'!A1" xr:uid="{00000000-0004-0000-0700-00001F000000}"/>
    <hyperlink ref="T6:T10" location="'10'!A1" display="'10'!A1" xr:uid="{00000000-0004-0000-0700-000020000000}"/>
    <hyperlink ref="R6" location="'0'!A1" tooltip="X stave 0, Front" display="'0'!A1" xr:uid="{00000000-0004-0000-0700-000021000000}"/>
    <hyperlink ref="R7:R10" location="'0'!A1" tooltip="X stave 0, Front" display="'0'!A1" xr:uid="{00000000-0004-0000-0700-000022000000}"/>
    <hyperlink ref="R6:R10" location="'11'!A1" display="'11'!A1" xr:uid="{00000000-0004-0000-0700-000023000000}"/>
  </hyperlinks>
  <pageMargins left="0.75" right="0.75" top="1" bottom="1" header="0.5" footer="0.5"/>
  <pageSetup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B1:AV506"/>
  <sheetViews>
    <sheetView zoomScale="85" zoomScaleNormal="85" workbookViewId="0">
      <selection activeCell="AB7" sqref="AB7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473</v>
      </c>
      <c r="E2" s="511"/>
      <c r="F2" s="511"/>
      <c r="G2" s="512" t="s">
        <v>698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348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349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345">
        <v>0</v>
      </c>
      <c r="U6" s="166"/>
      <c r="V6" s="238">
        <v>0</v>
      </c>
      <c r="W6" s="166"/>
      <c r="X6" s="238">
        <v>0</v>
      </c>
      <c r="Y6" s="166"/>
      <c r="Z6" s="345">
        <v>0</v>
      </c>
      <c r="AA6" s="166"/>
      <c r="AB6" s="241">
        <v>0</v>
      </c>
      <c r="AC6" s="166"/>
      <c r="AD6" s="241">
        <v>0</v>
      </c>
      <c r="AE6" s="166"/>
      <c r="AF6" s="241">
        <v>0</v>
      </c>
      <c r="AG6" s="166"/>
      <c r="AH6" s="345">
        <v>0</v>
      </c>
      <c r="AI6" s="166"/>
      <c r="AJ6" s="238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346">
        <v>0</v>
      </c>
      <c r="U7" s="166"/>
      <c r="V7" s="239">
        <v>0</v>
      </c>
      <c r="W7" s="166"/>
      <c r="X7" s="239">
        <v>0</v>
      </c>
      <c r="Y7" s="166"/>
      <c r="Z7" s="346">
        <v>0</v>
      </c>
      <c r="AA7" s="166"/>
      <c r="AB7" s="242">
        <v>0</v>
      </c>
      <c r="AC7" s="166"/>
      <c r="AD7" s="242">
        <v>0</v>
      </c>
      <c r="AE7" s="166"/>
      <c r="AF7" s="242">
        <v>0</v>
      </c>
      <c r="AG7" s="166"/>
      <c r="AH7" s="346">
        <v>0</v>
      </c>
      <c r="AI7" s="166"/>
      <c r="AJ7" s="239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346">
        <v>0</v>
      </c>
      <c r="U8" s="166"/>
      <c r="V8" s="239">
        <v>0</v>
      </c>
      <c r="W8" s="166"/>
      <c r="X8" s="239">
        <v>0</v>
      </c>
      <c r="Y8" s="166"/>
      <c r="Z8" s="346">
        <v>0</v>
      </c>
      <c r="AA8" s="166"/>
      <c r="AB8" s="242">
        <v>0</v>
      </c>
      <c r="AC8" s="166"/>
      <c r="AD8" s="242">
        <v>0</v>
      </c>
      <c r="AE8" s="166"/>
      <c r="AF8" s="242">
        <v>0</v>
      </c>
      <c r="AG8" s="166"/>
      <c r="AH8" s="346">
        <v>0</v>
      </c>
      <c r="AI8" s="166"/>
      <c r="AJ8" s="239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346">
        <v>0</v>
      </c>
      <c r="U9" s="166"/>
      <c r="V9" s="239">
        <v>0</v>
      </c>
      <c r="W9" s="166"/>
      <c r="X9" s="239">
        <v>0</v>
      </c>
      <c r="Y9" s="166"/>
      <c r="Z9" s="346">
        <v>0</v>
      </c>
      <c r="AA9" s="166"/>
      <c r="AB9" s="242">
        <v>0</v>
      </c>
      <c r="AC9" s="166"/>
      <c r="AD9" s="242">
        <v>0</v>
      </c>
      <c r="AE9" s="166"/>
      <c r="AF9" s="242">
        <v>0</v>
      </c>
      <c r="AG9" s="166"/>
      <c r="AH9" s="346">
        <v>0</v>
      </c>
      <c r="AI9" s="166"/>
      <c r="AJ9" s="239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347">
        <v>0</v>
      </c>
      <c r="U10" s="166"/>
      <c r="V10" s="240">
        <v>0</v>
      </c>
      <c r="W10" s="166"/>
      <c r="X10" s="240">
        <v>0</v>
      </c>
      <c r="Y10" s="166"/>
      <c r="Z10" s="347">
        <v>0</v>
      </c>
      <c r="AA10" s="166"/>
      <c r="AB10" s="243">
        <v>0</v>
      </c>
      <c r="AC10" s="166"/>
      <c r="AD10" s="243">
        <v>0</v>
      </c>
      <c r="AE10" s="166"/>
      <c r="AF10" s="243">
        <v>0</v>
      </c>
      <c r="AG10" s="166"/>
      <c r="AH10" s="347">
        <v>0</v>
      </c>
      <c r="AI10" s="166"/>
      <c r="AJ10" s="240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267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340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9"/>
      <c r="AA17" s="19"/>
      <c r="AB17" s="508"/>
      <c r="AC17" s="19"/>
      <c r="AD17" s="508"/>
      <c r="AE17" s="19"/>
      <c r="AF17" s="509"/>
      <c r="AG17" s="15"/>
      <c r="AH17" s="509"/>
      <c r="AI17" s="19"/>
      <c r="AJ17" s="508"/>
      <c r="AK17" s="19"/>
      <c r="AL17" s="508"/>
      <c r="AM17" s="166"/>
      <c r="AN17" s="166"/>
      <c r="AO17" s="171"/>
      <c r="AP17" s="172"/>
      <c r="AQ17" s="164" t="s">
        <v>341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6"/>
      <c r="Q18" s="19"/>
      <c r="R18" s="356"/>
      <c r="S18" s="19"/>
      <c r="T18" s="356"/>
      <c r="U18" s="19"/>
      <c r="V18" s="356"/>
      <c r="W18" s="19"/>
      <c r="X18" s="356"/>
      <c r="Y18" s="19"/>
      <c r="Z18" s="510"/>
      <c r="AA18" s="19"/>
      <c r="AB18" s="356"/>
      <c r="AC18" s="19"/>
      <c r="AD18" s="356"/>
      <c r="AE18" s="19"/>
      <c r="AF18" s="510"/>
      <c r="AG18" s="19"/>
      <c r="AH18" s="510"/>
      <c r="AI18" s="19"/>
      <c r="AJ18" s="356"/>
      <c r="AK18" s="19"/>
      <c r="AL18" s="356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7">
        <v>11</v>
      </c>
      <c r="Q19" s="357"/>
      <c r="R19" s="357">
        <v>10</v>
      </c>
      <c r="S19" s="357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977</v>
      </c>
      <c r="F61" s="5"/>
      <c r="G61" s="5" t="s">
        <v>991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 t="s">
        <v>998</v>
      </c>
      <c r="F64" s="275"/>
      <c r="G64" s="276" t="s">
        <v>39</v>
      </c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 t="s">
        <v>998</v>
      </c>
      <c r="F65" s="275"/>
      <c r="G65" s="276" t="s">
        <v>38</v>
      </c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994</v>
      </c>
      <c r="F66" s="271"/>
      <c r="G66" s="276" t="s">
        <v>157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994</v>
      </c>
      <c r="F67" s="271"/>
      <c r="G67" s="276" t="s">
        <v>158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995</v>
      </c>
      <c r="F68" s="271"/>
      <c r="G68" s="270" t="s">
        <v>157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995</v>
      </c>
      <c r="F69" s="271"/>
      <c r="G69" s="270" t="s">
        <v>158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995</v>
      </c>
      <c r="F70" s="271"/>
      <c r="G70" s="270" t="s">
        <v>35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995</v>
      </c>
      <c r="F71" s="271"/>
      <c r="G71" s="270" t="s">
        <v>36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995</v>
      </c>
      <c r="F72" s="13"/>
      <c r="G72" s="272" t="s">
        <v>961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995</v>
      </c>
      <c r="F73" s="13"/>
      <c r="G73" s="272" t="s">
        <v>962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994</v>
      </c>
      <c r="F74" s="13"/>
      <c r="G74" s="270" t="s">
        <v>35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994</v>
      </c>
      <c r="F75" s="13"/>
      <c r="G75" s="270" t="s">
        <v>36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995</v>
      </c>
      <c r="F76" s="184"/>
      <c r="G76" s="272" t="s">
        <v>16</v>
      </c>
      <c r="H76" s="339" t="s">
        <v>904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995</v>
      </c>
      <c r="F77" s="184"/>
      <c r="G77" s="272" t="s">
        <v>17</v>
      </c>
      <c r="H77" s="235" t="s">
        <v>904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995</v>
      </c>
      <c r="F78" s="13"/>
      <c r="G78" s="272" t="s">
        <v>18</v>
      </c>
      <c r="H78" s="235" t="s">
        <v>904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995</v>
      </c>
      <c r="F79" s="13"/>
      <c r="G79" s="272" t="s">
        <v>19</v>
      </c>
      <c r="H79" s="235" t="s">
        <v>904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995</v>
      </c>
      <c r="F80" s="13"/>
      <c r="G80" s="272" t="s">
        <v>310</v>
      </c>
      <c r="H80" s="235" t="s">
        <v>904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995</v>
      </c>
      <c r="F81" s="13"/>
      <c r="G81" s="272" t="s">
        <v>311</v>
      </c>
      <c r="H81" s="235" t="s">
        <v>904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995</v>
      </c>
      <c r="F82" s="13"/>
      <c r="G82" s="272" t="s">
        <v>317</v>
      </c>
      <c r="H82" s="235" t="s">
        <v>904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995</v>
      </c>
      <c r="F83" s="13"/>
      <c r="G83" s="272" t="s">
        <v>318</v>
      </c>
      <c r="H83" s="235" t="s">
        <v>904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995</v>
      </c>
      <c r="F84" s="13"/>
      <c r="G84" s="272" t="s">
        <v>4</v>
      </c>
      <c r="H84" s="235" t="s">
        <v>904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995</v>
      </c>
      <c r="F85" s="13"/>
      <c r="G85" s="272" t="s">
        <v>5</v>
      </c>
      <c r="H85" s="235" t="s">
        <v>904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995</v>
      </c>
      <c r="F86" s="13"/>
      <c r="G86" s="272" t="s">
        <v>329</v>
      </c>
      <c r="H86" s="235" t="s">
        <v>904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995</v>
      </c>
      <c r="F87" s="13"/>
      <c r="G87" s="272" t="s">
        <v>328</v>
      </c>
      <c r="H87" s="235" t="s">
        <v>904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995</v>
      </c>
      <c r="F88" s="184"/>
      <c r="G88" s="272" t="s">
        <v>331</v>
      </c>
      <c r="H88" s="235" t="s">
        <v>904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995</v>
      </c>
      <c r="F89" s="184"/>
      <c r="G89" s="272" t="s">
        <v>330</v>
      </c>
      <c r="H89" s="235" t="s">
        <v>904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995</v>
      </c>
      <c r="F90" s="13"/>
      <c r="G90" s="272" t="s">
        <v>335</v>
      </c>
      <c r="H90" s="235" t="s">
        <v>904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995</v>
      </c>
      <c r="F91" s="13"/>
      <c r="G91" s="272" t="s">
        <v>334</v>
      </c>
      <c r="H91" s="235" t="s">
        <v>904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995</v>
      </c>
      <c r="F92" s="185"/>
      <c r="G92" s="272" t="s">
        <v>303</v>
      </c>
      <c r="H92" s="235" t="s">
        <v>904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995</v>
      </c>
      <c r="F93" s="13"/>
      <c r="G93" s="272" t="s">
        <v>294</v>
      </c>
      <c r="H93" s="235" t="s">
        <v>904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995</v>
      </c>
      <c r="F94" s="13"/>
      <c r="G94" s="272" t="s">
        <v>304</v>
      </c>
      <c r="H94" s="235" t="s">
        <v>904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995</v>
      </c>
      <c r="F95" s="13"/>
      <c r="G95" s="272" t="s">
        <v>295</v>
      </c>
      <c r="H95" s="235" t="s">
        <v>904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995</v>
      </c>
      <c r="F96" s="184"/>
      <c r="G96" s="272" t="s">
        <v>313</v>
      </c>
      <c r="H96" s="235" t="s">
        <v>904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995</v>
      </c>
      <c r="F97" s="184"/>
      <c r="G97" s="272" t="s">
        <v>320</v>
      </c>
      <c r="H97" s="235" t="s">
        <v>904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995</v>
      </c>
      <c r="F98" s="13"/>
      <c r="G98" s="272" t="s">
        <v>301</v>
      </c>
      <c r="H98" s="235" t="s">
        <v>904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995</v>
      </c>
      <c r="F99" s="13"/>
      <c r="G99" s="272" t="s">
        <v>302</v>
      </c>
      <c r="H99" s="235" t="s">
        <v>904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995</v>
      </c>
      <c r="F100" s="184"/>
      <c r="G100" s="270" t="s">
        <v>93</v>
      </c>
      <c r="H100" s="340" t="s">
        <v>905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995</v>
      </c>
      <c r="F101" s="184"/>
      <c r="G101" s="270" t="s">
        <v>103</v>
      </c>
      <c r="H101" s="235" t="s">
        <v>905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995</v>
      </c>
      <c r="F102" s="184"/>
      <c r="G102" s="270" t="s">
        <v>95</v>
      </c>
      <c r="H102" s="235" t="s">
        <v>905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995</v>
      </c>
      <c r="F103" s="184"/>
      <c r="G103" s="270" t="s">
        <v>94</v>
      </c>
      <c r="H103" s="235" t="s">
        <v>905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995</v>
      </c>
      <c r="F104" s="13"/>
      <c r="G104" s="270" t="s">
        <v>32</v>
      </c>
      <c r="H104" s="235" t="s">
        <v>905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995</v>
      </c>
      <c r="F105" s="13"/>
      <c r="G105" s="270" t="s">
        <v>24</v>
      </c>
      <c r="H105" s="235" t="s">
        <v>905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995</v>
      </c>
      <c r="F106" s="13"/>
      <c r="G106" s="270" t="s">
        <v>52</v>
      </c>
      <c r="H106" s="235" t="s">
        <v>905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995</v>
      </c>
      <c r="F107" s="13"/>
      <c r="G107" s="270" t="s">
        <v>42</v>
      </c>
      <c r="H107" s="235" t="s">
        <v>905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995</v>
      </c>
      <c r="F108" s="13"/>
      <c r="G108" s="270" t="s">
        <v>105</v>
      </c>
      <c r="H108" s="235" t="s">
        <v>905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995</v>
      </c>
      <c r="F109" s="13"/>
      <c r="G109" s="270" t="s">
        <v>104</v>
      </c>
      <c r="H109" s="235" t="s">
        <v>905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995</v>
      </c>
      <c r="F110" s="13"/>
      <c r="G110" s="270" t="s">
        <v>87</v>
      </c>
      <c r="H110" s="235" t="s">
        <v>905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995</v>
      </c>
      <c r="F111" s="13"/>
      <c r="G111" s="270" t="s">
        <v>86</v>
      </c>
      <c r="H111" s="235" t="s">
        <v>905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995</v>
      </c>
      <c r="F112" s="13"/>
      <c r="G112" s="270" t="s">
        <v>115</v>
      </c>
      <c r="H112" s="235" t="s">
        <v>905</v>
      </c>
      <c r="I112" s="13"/>
      <c r="J112" s="13"/>
      <c r="K112" s="16"/>
    </row>
    <row r="113" spans="2:48">
      <c r="B113" s="26">
        <v>108</v>
      </c>
      <c r="C113" s="228" t="s">
        <v>246</v>
      </c>
      <c r="D113" s="230" t="s">
        <v>548</v>
      </c>
      <c r="E113" s="271" t="s">
        <v>995</v>
      </c>
      <c r="F113" s="13"/>
      <c r="G113" s="270" t="s">
        <v>114</v>
      </c>
      <c r="H113" s="235" t="s">
        <v>905</v>
      </c>
      <c r="I113" s="13"/>
      <c r="J113" s="13"/>
      <c r="K113" s="16"/>
    </row>
    <row r="114" spans="2:48">
      <c r="B114" s="26">
        <v>109</v>
      </c>
      <c r="C114" s="228" t="s">
        <v>274</v>
      </c>
      <c r="D114" s="230" t="s">
        <v>549</v>
      </c>
      <c r="E114" s="271" t="s">
        <v>995</v>
      </c>
      <c r="F114" s="184"/>
      <c r="G114" s="270" t="s">
        <v>125</v>
      </c>
      <c r="H114" s="235" t="s">
        <v>905</v>
      </c>
      <c r="I114" s="13"/>
      <c r="J114" s="13"/>
      <c r="K114" s="16"/>
    </row>
    <row r="115" spans="2:48">
      <c r="B115" s="26">
        <v>110</v>
      </c>
      <c r="C115" s="228" t="s">
        <v>284</v>
      </c>
      <c r="D115" s="230" t="s">
        <v>550</v>
      </c>
      <c r="E115" s="271" t="s">
        <v>995</v>
      </c>
      <c r="F115" s="184"/>
      <c r="G115" s="270" t="s">
        <v>124</v>
      </c>
      <c r="H115" s="235" t="s">
        <v>905</v>
      </c>
      <c r="I115" s="13"/>
      <c r="J115" s="13"/>
      <c r="K115" s="16"/>
      <c r="AQ115"/>
      <c r="AR115"/>
      <c r="AS115"/>
      <c r="AT115"/>
      <c r="AU115"/>
      <c r="AV115"/>
    </row>
    <row r="116" spans="2:48">
      <c r="B116" s="26">
        <v>111</v>
      </c>
      <c r="C116" s="228" t="s">
        <v>255</v>
      </c>
      <c r="D116" s="229" t="s">
        <v>571</v>
      </c>
      <c r="E116" s="271" t="s">
        <v>995</v>
      </c>
      <c r="F116" s="184"/>
      <c r="G116" s="270" t="s">
        <v>25</v>
      </c>
      <c r="H116" s="235" t="s">
        <v>905</v>
      </c>
      <c r="I116" s="13"/>
      <c r="J116" s="13"/>
      <c r="K116" s="16"/>
      <c r="AQ116"/>
      <c r="AR116"/>
      <c r="AS116"/>
      <c r="AT116"/>
      <c r="AU116"/>
      <c r="AV116"/>
    </row>
    <row r="117" spans="2:48">
      <c r="B117" s="26">
        <v>112</v>
      </c>
      <c r="C117" s="228" t="s">
        <v>265</v>
      </c>
      <c r="D117" s="229" t="s">
        <v>572</v>
      </c>
      <c r="E117" s="271" t="s">
        <v>995</v>
      </c>
      <c r="F117" s="184"/>
      <c r="G117" s="270" t="s">
        <v>26</v>
      </c>
      <c r="H117" s="235" t="s">
        <v>905</v>
      </c>
      <c r="I117" s="13"/>
      <c r="J117" s="13"/>
      <c r="K117" s="16"/>
      <c r="AQ117"/>
      <c r="AR117"/>
      <c r="AS117"/>
      <c r="AT117"/>
      <c r="AU117"/>
      <c r="AV117"/>
    </row>
    <row r="118" spans="2:48">
      <c r="B118" s="26">
        <v>113</v>
      </c>
      <c r="C118" s="228" t="s">
        <v>754</v>
      </c>
      <c r="D118" s="229" t="s">
        <v>573</v>
      </c>
      <c r="E118" s="271" t="s">
        <v>995</v>
      </c>
      <c r="F118" s="13"/>
      <c r="G118" s="270" t="s">
        <v>33</v>
      </c>
      <c r="H118" s="235" t="s">
        <v>905</v>
      </c>
      <c r="I118" s="13"/>
      <c r="J118" s="13"/>
      <c r="K118" s="16"/>
      <c r="AQ118"/>
      <c r="AR118"/>
      <c r="AS118"/>
      <c r="AT118"/>
      <c r="AU118"/>
      <c r="AV118"/>
    </row>
    <row r="119" spans="2:48">
      <c r="B119" s="26">
        <v>114</v>
      </c>
      <c r="C119" s="228" t="s">
        <v>755</v>
      </c>
      <c r="D119" s="229" t="s">
        <v>574</v>
      </c>
      <c r="E119" s="271" t="s">
        <v>995</v>
      </c>
      <c r="F119" s="13"/>
      <c r="G119" s="270" t="s">
        <v>34</v>
      </c>
      <c r="H119" s="235" t="s">
        <v>905</v>
      </c>
      <c r="I119" s="13"/>
      <c r="J119" s="13"/>
      <c r="K119" s="16"/>
      <c r="AQ119"/>
      <c r="AR119"/>
      <c r="AS119"/>
      <c r="AT119"/>
      <c r="AU119"/>
      <c r="AV119"/>
    </row>
    <row r="120" spans="2:48">
      <c r="B120" s="26">
        <v>115</v>
      </c>
      <c r="C120" s="228" t="s">
        <v>240</v>
      </c>
      <c r="D120" s="229" t="s">
        <v>595</v>
      </c>
      <c r="E120" s="271" t="s">
        <v>995</v>
      </c>
      <c r="F120" s="13"/>
      <c r="G120" s="270" t="s">
        <v>27</v>
      </c>
      <c r="H120" s="235" t="s">
        <v>905</v>
      </c>
      <c r="I120" s="13"/>
      <c r="J120" s="13"/>
      <c r="K120" s="16"/>
      <c r="AQ120"/>
      <c r="AR120"/>
      <c r="AS120"/>
      <c r="AT120"/>
      <c r="AU120"/>
      <c r="AV120"/>
    </row>
    <row r="121" spans="2:48">
      <c r="B121" s="26">
        <v>116</v>
      </c>
      <c r="C121" s="228" t="s">
        <v>248</v>
      </c>
      <c r="D121" s="229" t="s">
        <v>596</v>
      </c>
      <c r="E121" s="271" t="s">
        <v>995</v>
      </c>
      <c r="F121" s="13"/>
      <c r="G121" s="270" t="s">
        <v>28</v>
      </c>
      <c r="H121" s="235" t="s">
        <v>905</v>
      </c>
      <c r="I121" s="13"/>
      <c r="J121" s="13"/>
      <c r="K121" s="16"/>
      <c r="AQ121"/>
      <c r="AR121"/>
      <c r="AS121"/>
      <c r="AT121"/>
      <c r="AU121"/>
      <c r="AV121"/>
    </row>
    <row r="122" spans="2:48">
      <c r="B122" s="26">
        <v>117</v>
      </c>
      <c r="C122" s="228" t="s">
        <v>276</v>
      </c>
      <c r="D122" s="229" t="s">
        <v>597</v>
      </c>
      <c r="E122" s="271" t="s">
        <v>995</v>
      </c>
      <c r="F122" s="13"/>
      <c r="G122" s="270" t="s">
        <v>43</v>
      </c>
      <c r="H122" s="235" t="s">
        <v>905</v>
      </c>
      <c r="I122" s="13"/>
      <c r="J122" s="13"/>
      <c r="K122" s="16"/>
      <c r="AQ122"/>
      <c r="AR122"/>
      <c r="AS122"/>
      <c r="AT122"/>
      <c r="AU122"/>
      <c r="AV122"/>
    </row>
    <row r="123" spans="2:48">
      <c r="B123" s="26">
        <v>118</v>
      </c>
      <c r="C123" s="228" t="s">
        <v>286</v>
      </c>
      <c r="D123" s="229" t="s">
        <v>598</v>
      </c>
      <c r="E123" s="271" t="s">
        <v>995</v>
      </c>
      <c r="F123" s="13"/>
      <c r="G123" s="270" t="s">
        <v>44</v>
      </c>
      <c r="H123" s="235" t="s">
        <v>905</v>
      </c>
      <c r="I123" s="13"/>
      <c r="J123" s="13"/>
      <c r="K123" s="16"/>
      <c r="AQ123"/>
      <c r="AR123"/>
      <c r="AS123"/>
      <c r="AT123"/>
      <c r="AU123"/>
      <c r="AV123"/>
    </row>
    <row r="124" spans="2:48">
      <c r="B124" s="26">
        <v>119</v>
      </c>
      <c r="C124" s="228" t="s">
        <v>162</v>
      </c>
      <c r="D124" s="229" t="s">
        <v>493</v>
      </c>
      <c r="E124" s="271" t="s">
        <v>995</v>
      </c>
      <c r="F124" s="274"/>
      <c r="G124" s="270" t="s">
        <v>211</v>
      </c>
      <c r="H124" s="340" t="s">
        <v>906</v>
      </c>
      <c r="I124" s="13"/>
      <c r="J124" s="13"/>
      <c r="K124" s="16"/>
      <c r="AQ124"/>
      <c r="AR124"/>
      <c r="AS124"/>
      <c r="AT124"/>
      <c r="AU124"/>
      <c r="AV124"/>
    </row>
    <row r="125" spans="2:48">
      <c r="B125" s="26">
        <v>120</v>
      </c>
      <c r="C125" s="228" t="s">
        <v>170</v>
      </c>
      <c r="D125" s="229" t="s">
        <v>494</v>
      </c>
      <c r="E125" s="271" t="s">
        <v>995</v>
      </c>
      <c r="F125" s="274"/>
      <c r="G125" s="270" t="s">
        <v>210</v>
      </c>
      <c r="H125" s="235" t="s">
        <v>906</v>
      </c>
      <c r="I125" s="13"/>
      <c r="J125" s="13"/>
      <c r="K125" s="16"/>
      <c r="AQ125"/>
      <c r="AR125"/>
      <c r="AS125"/>
      <c r="AT125"/>
      <c r="AU125"/>
      <c r="AV125"/>
    </row>
    <row r="126" spans="2:48">
      <c r="B126" s="26">
        <v>121</v>
      </c>
      <c r="C126" s="228" t="s">
        <v>200</v>
      </c>
      <c r="D126" s="229" t="s">
        <v>495</v>
      </c>
      <c r="E126" s="271" t="s">
        <v>995</v>
      </c>
      <c r="F126" s="274"/>
      <c r="G126" s="270" t="s">
        <v>221</v>
      </c>
      <c r="H126" s="235" t="s">
        <v>906</v>
      </c>
      <c r="I126" s="13"/>
      <c r="J126" s="13"/>
      <c r="K126" s="16"/>
      <c r="AQ126"/>
      <c r="AR126"/>
      <c r="AS126"/>
      <c r="AT126"/>
      <c r="AU126"/>
      <c r="AV126"/>
    </row>
    <row r="127" spans="2:48">
      <c r="B127" s="26">
        <v>122</v>
      </c>
      <c r="C127" s="228" t="s">
        <v>210</v>
      </c>
      <c r="D127" s="229" t="s">
        <v>496</v>
      </c>
      <c r="E127" s="271" t="s">
        <v>995</v>
      </c>
      <c r="F127" s="274"/>
      <c r="G127" s="270" t="s">
        <v>220</v>
      </c>
      <c r="H127" s="235" t="s">
        <v>906</v>
      </c>
      <c r="I127" s="13"/>
      <c r="J127" s="13"/>
      <c r="K127" s="16"/>
      <c r="AQ127"/>
      <c r="AR127"/>
      <c r="AS127"/>
      <c r="AT127"/>
      <c r="AU127"/>
      <c r="AV127"/>
    </row>
    <row r="128" spans="2:48">
      <c r="B128" s="26">
        <v>123</v>
      </c>
      <c r="C128" s="228" t="s">
        <v>185</v>
      </c>
      <c r="D128" s="229" t="s">
        <v>617</v>
      </c>
      <c r="E128" s="271" t="s">
        <v>995</v>
      </c>
      <c r="F128" s="271"/>
      <c r="G128" s="270" t="s">
        <v>147</v>
      </c>
      <c r="H128" s="235" t="s">
        <v>906</v>
      </c>
      <c r="I128" s="13"/>
      <c r="J128" s="13"/>
      <c r="K128" s="16"/>
      <c r="AQ128"/>
      <c r="AR128"/>
      <c r="AS128"/>
      <c r="AT128"/>
      <c r="AU128"/>
      <c r="AV128"/>
    </row>
    <row r="129" spans="2:48">
      <c r="B129" s="26">
        <v>124</v>
      </c>
      <c r="C129" s="228" t="s">
        <v>195</v>
      </c>
      <c r="D129" s="229" t="s">
        <v>618</v>
      </c>
      <c r="E129" s="271" t="s">
        <v>995</v>
      </c>
      <c r="F129" s="271"/>
      <c r="G129" s="270" t="s">
        <v>148</v>
      </c>
      <c r="H129" s="235" t="s">
        <v>906</v>
      </c>
      <c r="I129" s="13"/>
      <c r="J129" s="13"/>
      <c r="K129" s="16"/>
      <c r="AQ129"/>
      <c r="AR129"/>
      <c r="AS129"/>
      <c r="AT129"/>
      <c r="AU129"/>
      <c r="AV129"/>
    </row>
    <row r="130" spans="2:48">
      <c r="B130" s="26">
        <v>125</v>
      </c>
      <c r="C130" s="228" t="s">
        <v>225</v>
      </c>
      <c r="D130" s="229" t="s">
        <v>619</v>
      </c>
      <c r="E130" s="271" t="s">
        <v>995</v>
      </c>
      <c r="F130" s="271"/>
      <c r="G130" s="270" t="s">
        <v>155</v>
      </c>
      <c r="H130" s="235" t="s">
        <v>906</v>
      </c>
      <c r="I130" s="13"/>
      <c r="J130" s="13"/>
      <c r="K130" s="16"/>
      <c r="AQ130"/>
      <c r="AR130"/>
      <c r="AS130"/>
      <c r="AT130"/>
      <c r="AU130"/>
      <c r="AV130"/>
    </row>
    <row r="131" spans="2:48">
      <c r="B131" s="26">
        <v>126</v>
      </c>
      <c r="C131" s="228" t="s">
        <v>233</v>
      </c>
      <c r="D131" s="229" t="s">
        <v>620</v>
      </c>
      <c r="E131" s="271" t="s">
        <v>995</v>
      </c>
      <c r="F131" s="271"/>
      <c r="G131" s="270" t="s">
        <v>156</v>
      </c>
      <c r="H131" s="235" t="s">
        <v>906</v>
      </c>
      <c r="I131" s="13"/>
      <c r="J131" s="13"/>
      <c r="K131" s="16"/>
      <c r="AQ131"/>
      <c r="AR131"/>
      <c r="AS131"/>
      <c r="AT131"/>
      <c r="AU131"/>
      <c r="AV131"/>
    </row>
    <row r="132" spans="2:48">
      <c r="B132" s="26">
        <v>127</v>
      </c>
      <c r="C132" s="228" t="s">
        <v>181</v>
      </c>
      <c r="D132" s="229" t="s">
        <v>519</v>
      </c>
      <c r="E132" s="271" t="s">
        <v>995</v>
      </c>
      <c r="F132" s="271"/>
      <c r="G132" s="270" t="s">
        <v>229</v>
      </c>
      <c r="H132" s="235" t="s">
        <v>906</v>
      </c>
      <c r="I132" s="13"/>
      <c r="J132" s="13"/>
      <c r="K132" s="16"/>
      <c r="AQ132"/>
      <c r="AR132"/>
      <c r="AS132"/>
      <c r="AT132"/>
      <c r="AU132"/>
      <c r="AV132"/>
    </row>
    <row r="133" spans="2:48">
      <c r="B133" s="26">
        <v>128</v>
      </c>
      <c r="C133" s="228" t="s">
        <v>191</v>
      </c>
      <c r="D133" s="229" t="s">
        <v>520</v>
      </c>
      <c r="E133" s="271" t="s">
        <v>995</v>
      </c>
      <c r="F133" s="271"/>
      <c r="G133" s="270" t="s">
        <v>228</v>
      </c>
      <c r="H133" s="235" t="s">
        <v>906</v>
      </c>
      <c r="I133" s="13"/>
      <c r="J133" s="13"/>
      <c r="K133" s="16"/>
      <c r="AQ133"/>
      <c r="AR133"/>
      <c r="AS133"/>
      <c r="AT133"/>
      <c r="AU133"/>
      <c r="AV133"/>
    </row>
    <row r="134" spans="2:48">
      <c r="B134" s="26">
        <v>129</v>
      </c>
      <c r="C134" s="228" t="s">
        <v>221</v>
      </c>
      <c r="D134" s="230" t="s">
        <v>521</v>
      </c>
      <c r="E134" s="271" t="s">
        <v>995</v>
      </c>
      <c r="F134" s="271"/>
      <c r="G134" s="270" t="s">
        <v>223</v>
      </c>
      <c r="H134" s="235" t="s">
        <v>906</v>
      </c>
      <c r="I134" s="13"/>
      <c r="J134" s="13"/>
      <c r="K134" s="16"/>
      <c r="AQ134"/>
      <c r="AR134"/>
      <c r="AS134"/>
      <c r="AT134"/>
      <c r="AU134"/>
      <c r="AV134"/>
    </row>
    <row r="135" spans="2:48">
      <c r="B135" s="26">
        <v>130</v>
      </c>
      <c r="C135" s="228" t="s">
        <v>229</v>
      </c>
      <c r="D135" s="230" t="s">
        <v>522</v>
      </c>
      <c r="E135" s="271" t="s">
        <v>995</v>
      </c>
      <c r="F135" s="271"/>
      <c r="G135" s="270" t="s">
        <v>213</v>
      </c>
      <c r="H135" s="235" t="s">
        <v>906</v>
      </c>
      <c r="I135" s="13"/>
      <c r="J135" s="13"/>
      <c r="K135" s="16"/>
      <c r="AQ135"/>
      <c r="AR135"/>
      <c r="AS135"/>
      <c r="AT135"/>
      <c r="AU135"/>
      <c r="AV135"/>
    </row>
    <row r="136" spans="2:48">
      <c r="B136" s="26">
        <v>131</v>
      </c>
      <c r="C136" s="228" t="s">
        <v>164</v>
      </c>
      <c r="D136" s="230" t="s">
        <v>543</v>
      </c>
      <c r="E136" s="271" t="s">
        <v>995</v>
      </c>
      <c r="F136" s="271"/>
      <c r="G136" s="270" t="s">
        <v>202</v>
      </c>
      <c r="H136" s="235" t="s">
        <v>906</v>
      </c>
      <c r="I136" s="13"/>
      <c r="J136" s="13"/>
      <c r="K136" s="16"/>
      <c r="AQ136"/>
      <c r="AR136"/>
      <c r="AS136"/>
      <c r="AT136"/>
      <c r="AU136"/>
      <c r="AV136"/>
    </row>
    <row r="137" spans="2:48">
      <c r="B137" s="26">
        <v>132</v>
      </c>
      <c r="C137" s="228" t="s">
        <v>172</v>
      </c>
      <c r="D137" s="230" t="s">
        <v>544</v>
      </c>
      <c r="E137" s="271" t="s">
        <v>995</v>
      </c>
      <c r="F137" s="271"/>
      <c r="G137" s="270" t="s">
        <v>192</v>
      </c>
      <c r="H137" s="235" t="s">
        <v>906</v>
      </c>
      <c r="I137" s="13"/>
      <c r="J137" s="13"/>
      <c r="K137" s="16"/>
      <c r="AQ137"/>
      <c r="AR137"/>
      <c r="AS137"/>
      <c r="AT137"/>
      <c r="AU137"/>
      <c r="AV137"/>
    </row>
    <row r="138" spans="2:48">
      <c r="B138" s="26">
        <v>133</v>
      </c>
      <c r="C138" s="228" t="s">
        <v>202</v>
      </c>
      <c r="D138" s="229" t="s">
        <v>545</v>
      </c>
      <c r="E138" s="271" t="s">
        <v>995</v>
      </c>
      <c r="F138" s="274"/>
      <c r="G138" s="270" t="s">
        <v>212</v>
      </c>
      <c r="H138" s="235" t="s">
        <v>906</v>
      </c>
      <c r="I138" s="13"/>
      <c r="J138" s="13"/>
      <c r="K138" s="16"/>
      <c r="AQ138"/>
      <c r="AR138"/>
      <c r="AS138"/>
      <c r="AT138"/>
      <c r="AU138"/>
      <c r="AV138"/>
    </row>
    <row r="139" spans="2:48">
      <c r="B139" s="26">
        <v>134</v>
      </c>
      <c r="C139" s="228" t="s">
        <v>212</v>
      </c>
      <c r="D139" s="230" t="s">
        <v>546</v>
      </c>
      <c r="E139" s="271" t="s">
        <v>995</v>
      </c>
      <c r="F139" s="274"/>
      <c r="G139" s="270" t="s">
        <v>222</v>
      </c>
      <c r="H139" s="235" t="s">
        <v>906</v>
      </c>
      <c r="I139" s="13"/>
      <c r="J139" s="13"/>
      <c r="K139" s="16"/>
      <c r="AQ139"/>
      <c r="AR139"/>
      <c r="AS139"/>
      <c r="AT139"/>
      <c r="AU139"/>
      <c r="AV139"/>
    </row>
    <row r="140" spans="2:48">
      <c r="B140" s="26">
        <v>135</v>
      </c>
      <c r="C140" s="228" t="s">
        <v>183</v>
      </c>
      <c r="D140" s="229" t="s">
        <v>567</v>
      </c>
      <c r="E140" s="271" t="s">
        <v>995</v>
      </c>
      <c r="F140" s="274"/>
      <c r="G140" s="270" t="s">
        <v>133</v>
      </c>
      <c r="H140" s="235" t="s">
        <v>906</v>
      </c>
      <c r="I140" s="13"/>
      <c r="J140" s="13"/>
      <c r="K140" s="16"/>
    </row>
    <row r="141" spans="2:48">
      <c r="B141" s="26">
        <v>136</v>
      </c>
      <c r="C141" s="228" t="s">
        <v>193</v>
      </c>
      <c r="D141" s="229" t="s">
        <v>568</v>
      </c>
      <c r="E141" s="271" t="s">
        <v>995</v>
      </c>
      <c r="F141" s="274"/>
      <c r="G141" s="270" t="s">
        <v>134</v>
      </c>
      <c r="H141" s="235" t="s">
        <v>906</v>
      </c>
      <c r="I141" s="13"/>
      <c r="J141" s="13"/>
      <c r="K141" s="16"/>
    </row>
    <row r="142" spans="2:48">
      <c r="B142" s="26">
        <v>137</v>
      </c>
      <c r="C142" s="228" t="s">
        <v>223</v>
      </c>
      <c r="D142" s="229" t="s">
        <v>569</v>
      </c>
      <c r="E142" s="271" t="s">
        <v>995</v>
      </c>
      <c r="F142" s="271"/>
      <c r="G142" s="270" t="s">
        <v>141</v>
      </c>
      <c r="H142" s="235" t="s">
        <v>906</v>
      </c>
      <c r="I142" s="13"/>
      <c r="J142" s="13"/>
      <c r="K142" s="16"/>
    </row>
    <row r="143" spans="2:48">
      <c r="B143" s="26">
        <v>138</v>
      </c>
      <c r="C143" s="228" t="s">
        <v>231</v>
      </c>
      <c r="D143" s="229" t="s">
        <v>570</v>
      </c>
      <c r="E143" s="271" t="s">
        <v>995</v>
      </c>
      <c r="F143" s="271"/>
      <c r="G143" s="270" t="s">
        <v>142</v>
      </c>
      <c r="H143" s="235" t="s">
        <v>906</v>
      </c>
      <c r="I143" s="13"/>
      <c r="J143" s="13"/>
      <c r="K143" s="16"/>
    </row>
    <row r="144" spans="2:48">
      <c r="B144" s="26">
        <v>139</v>
      </c>
      <c r="C144" s="228" t="s">
        <v>166</v>
      </c>
      <c r="D144" s="229" t="s">
        <v>591</v>
      </c>
      <c r="E144" s="271" t="s">
        <v>995</v>
      </c>
      <c r="F144" s="271"/>
      <c r="G144" s="270" t="s">
        <v>149</v>
      </c>
      <c r="H144" s="235" t="s">
        <v>906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995</v>
      </c>
      <c r="F145" s="271"/>
      <c r="G145" s="270" t="s">
        <v>150</v>
      </c>
      <c r="H145" s="235" t="s">
        <v>906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995</v>
      </c>
      <c r="F146" s="271"/>
      <c r="G146" s="270" t="s">
        <v>131</v>
      </c>
      <c r="H146" s="235" t="s">
        <v>906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995</v>
      </c>
      <c r="F147" s="271"/>
      <c r="G147" s="270" t="s">
        <v>132</v>
      </c>
      <c r="H147" s="235" t="s">
        <v>906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4" t="s">
        <v>994</v>
      </c>
      <c r="F148" s="184"/>
      <c r="G148" s="276" t="s">
        <v>211</v>
      </c>
      <c r="H148" s="339" t="s">
        <v>907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4" t="s">
        <v>994</v>
      </c>
      <c r="F149" s="184"/>
      <c r="G149" s="276" t="s">
        <v>210</v>
      </c>
      <c r="H149" s="235" t="s">
        <v>907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4" t="s">
        <v>994</v>
      </c>
      <c r="F150" s="13"/>
      <c r="G150" s="276" t="s">
        <v>221</v>
      </c>
      <c r="H150" s="235" t="s">
        <v>907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4" t="s">
        <v>994</v>
      </c>
      <c r="F151" s="13"/>
      <c r="G151" s="276" t="s">
        <v>220</v>
      </c>
      <c r="H151" s="235" t="s">
        <v>907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994</v>
      </c>
      <c r="F152" s="13"/>
      <c r="G152" s="276" t="s">
        <v>147</v>
      </c>
      <c r="H152" s="235" t="s">
        <v>907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994</v>
      </c>
      <c r="F153" s="13"/>
      <c r="G153" s="276" t="s">
        <v>148</v>
      </c>
      <c r="H153" s="235" t="s">
        <v>907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994</v>
      </c>
      <c r="F154" s="13"/>
      <c r="G154" s="276" t="s">
        <v>155</v>
      </c>
      <c r="H154" s="235" t="s">
        <v>907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994</v>
      </c>
      <c r="F155" s="13"/>
      <c r="G155" s="276" t="s">
        <v>156</v>
      </c>
      <c r="H155" s="235" t="s">
        <v>907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 t="s">
        <v>994</v>
      </c>
      <c r="F156" s="13"/>
      <c r="G156" s="276" t="s">
        <v>229</v>
      </c>
      <c r="H156" s="235" t="s">
        <v>907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 t="s">
        <v>994</v>
      </c>
      <c r="F157" s="13"/>
      <c r="G157" s="276" t="s">
        <v>228</v>
      </c>
      <c r="H157" s="235" t="s">
        <v>907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994</v>
      </c>
      <c r="F158" s="13"/>
      <c r="G158" s="276" t="s">
        <v>223</v>
      </c>
      <c r="H158" s="235" t="s">
        <v>907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994</v>
      </c>
      <c r="F159" s="13"/>
      <c r="G159" s="276" t="s">
        <v>213</v>
      </c>
      <c r="H159" s="235" t="s">
        <v>907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994</v>
      </c>
      <c r="F160" s="184"/>
      <c r="G160" s="276" t="s">
        <v>202</v>
      </c>
      <c r="H160" s="235" t="s">
        <v>907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994</v>
      </c>
      <c r="F161" s="184"/>
      <c r="G161" s="276" t="s">
        <v>192</v>
      </c>
      <c r="H161" s="235" t="s">
        <v>907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994</v>
      </c>
      <c r="F162" s="184"/>
      <c r="G162" s="276" t="s">
        <v>212</v>
      </c>
      <c r="H162" s="235" t="s">
        <v>907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994</v>
      </c>
      <c r="F163" s="184"/>
      <c r="G163" s="276" t="s">
        <v>222</v>
      </c>
      <c r="H163" s="235" t="s">
        <v>907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994</v>
      </c>
      <c r="F164" s="184"/>
      <c r="G164" s="276" t="s">
        <v>133</v>
      </c>
      <c r="H164" s="235" t="s">
        <v>907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994</v>
      </c>
      <c r="F165" s="184"/>
      <c r="G165" s="276" t="s">
        <v>134</v>
      </c>
      <c r="H165" s="235" t="s">
        <v>907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 t="s">
        <v>994</v>
      </c>
      <c r="F166" s="184"/>
      <c r="G166" s="276" t="s">
        <v>141</v>
      </c>
      <c r="H166" s="235" t="s">
        <v>907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 t="s">
        <v>994</v>
      </c>
      <c r="F167" s="184"/>
      <c r="G167" s="276" t="s">
        <v>142</v>
      </c>
      <c r="H167" s="235" t="s">
        <v>907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994</v>
      </c>
      <c r="F168" s="13"/>
      <c r="G168" s="276" t="s">
        <v>149</v>
      </c>
      <c r="H168" s="235" t="s">
        <v>907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994</v>
      </c>
      <c r="F169" s="13"/>
      <c r="G169" s="276" t="s">
        <v>150</v>
      </c>
      <c r="H169" s="235" t="s">
        <v>907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994</v>
      </c>
      <c r="F170" s="13"/>
      <c r="G170" s="276" t="s">
        <v>131</v>
      </c>
      <c r="H170" s="235" t="s">
        <v>907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994</v>
      </c>
      <c r="F171" s="13"/>
      <c r="G171" s="276" t="s">
        <v>132</v>
      </c>
      <c r="H171" s="235" t="s">
        <v>907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4" t="s">
        <v>998</v>
      </c>
      <c r="F172" s="274"/>
      <c r="G172" s="276" t="s">
        <v>300</v>
      </c>
      <c r="H172" s="339" t="s">
        <v>900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4" t="s">
        <v>998</v>
      </c>
      <c r="F173" s="274"/>
      <c r="G173" s="276" t="s">
        <v>299</v>
      </c>
      <c r="H173" s="235" t="s">
        <v>900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4" t="s">
        <v>998</v>
      </c>
      <c r="F174" s="271"/>
      <c r="G174" s="276" t="s">
        <v>307</v>
      </c>
      <c r="H174" s="235" t="s">
        <v>900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4" t="s">
        <v>998</v>
      </c>
      <c r="F175" s="271"/>
      <c r="G175" s="276" t="s">
        <v>298</v>
      </c>
      <c r="H175" s="235" t="s">
        <v>900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998</v>
      </c>
      <c r="F176" s="271"/>
      <c r="G176" s="276" t="s">
        <v>50</v>
      </c>
      <c r="H176" s="235" t="s">
        <v>900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4" t="s">
        <v>998</v>
      </c>
      <c r="F177" s="271"/>
      <c r="G177" s="276" t="s">
        <v>51</v>
      </c>
      <c r="H177" s="235" t="s">
        <v>900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4" t="s">
        <v>998</v>
      </c>
      <c r="F178" s="271"/>
      <c r="G178" s="276" t="s">
        <v>40</v>
      </c>
      <c r="H178" s="235" t="s">
        <v>900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4" t="s">
        <v>998</v>
      </c>
      <c r="F179" s="271"/>
      <c r="G179" s="276" t="s">
        <v>41</v>
      </c>
      <c r="H179" s="235" t="s">
        <v>900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4" t="s">
        <v>998</v>
      </c>
      <c r="F180" s="271"/>
      <c r="G180" s="276" t="s">
        <v>322</v>
      </c>
      <c r="H180" s="235" t="s">
        <v>900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4" t="s">
        <v>998</v>
      </c>
      <c r="F181" s="271"/>
      <c r="G181" s="276" t="s">
        <v>315</v>
      </c>
      <c r="H181" s="235" t="s">
        <v>900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998</v>
      </c>
      <c r="F182" s="271"/>
      <c r="G182" s="276" t="s">
        <v>324</v>
      </c>
      <c r="H182" s="235" t="s">
        <v>900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998</v>
      </c>
      <c r="F183" s="271"/>
      <c r="G183" s="276" t="s">
        <v>325</v>
      </c>
      <c r="H183" s="235" t="s">
        <v>900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4" t="s">
        <v>998</v>
      </c>
      <c r="F184" s="274"/>
      <c r="G184" s="276" t="s">
        <v>316</v>
      </c>
      <c r="H184" s="235" t="s">
        <v>900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4" t="s">
        <v>998</v>
      </c>
      <c r="F185" s="274"/>
      <c r="G185" s="276" t="s">
        <v>323</v>
      </c>
      <c r="H185" s="235" t="s">
        <v>900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4" t="s">
        <v>998</v>
      </c>
      <c r="F186" s="271"/>
      <c r="G186" s="276" t="s">
        <v>327</v>
      </c>
      <c r="H186" s="235" t="s">
        <v>900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4" t="s">
        <v>998</v>
      </c>
      <c r="F187" s="271"/>
      <c r="G187" s="276" t="s">
        <v>326</v>
      </c>
      <c r="H187" s="235" t="s">
        <v>900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4" t="s">
        <v>998</v>
      </c>
      <c r="F188" s="271"/>
      <c r="G188" s="276" t="s">
        <v>79</v>
      </c>
      <c r="H188" s="235" t="s">
        <v>900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4" t="s">
        <v>998</v>
      </c>
      <c r="F189" s="271"/>
      <c r="G189" s="276" t="s">
        <v>78</v>
      </c>
      <c r="H189" s="235" t="s">
        <v>900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4" t="s">
        <v>998</v>
      </c>
      <c r="F190" s="271"/>
      <c r="G190" s="276" t="s">
        <v>59</v>
      </c>
      <c r="H190" s="235" t="s">
        <v>900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4" t="s">
        <v>998</v>
      </c>
      <c r="F191" s="271"/>
      <c r="G191" s="276" t="s">
        <v>58</v>
      </c>
      <c r="H191" s="235" t="s">
        <v>900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998</v>
      </c>
      <c r="F192" s="274"/>
      <c r="G192" s="276" t="s">
        <v>31</v>
      </c>
      <c r="H192" s="235" t="s">
        <v>900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998</v>
      </c>
      <c r="F193" s="274"/>
      <c r="G193" s="276" t="s">
        <v>30</v>
      </c>
      <c r="H193" s="235" t="s">
        <v>900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4" t="s">
        <v>998</v>
      </c>
      <c r="F194" s="271"/>
      <c r="G194" s="276" t="s">
        <v>49</v>
      </c>
      <c r="H194" s="235" t="s">
        <v>900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4" t="s">
        <v>998</v>
      </c>
      <c r="F195" s="271"/>
      <c r="G195" s="276" t="s">
        <v>48</v>
      </c>
      <c r="H195" s="235" t="s">
        <v>900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994</v>
      </c>
      <c r="F196" s="184"/>
      <c r="G196" s="270" t="s">
        <v>93</v>
      </c>
      <c r="H196" s="339" t="s">
        <v>908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994</v>
      </c>
      <c r="F197" s="184"/>
      <c r="G197" s="270" t="s">
        <v>103</v>
      </c>
      <c r="H197" s="235" t="s">
        <v>908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994</v>
      </c>
      <c r="F198" s="13"/>
      <c r="G198" s="270" t="s">
        <v>95</v>
      </c>
      <c r="H198" s="235" t="s">
        <v>908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994</v>
      </c>
      <c r="F199" s="13"/>
      <c r="G199" s="270" t="s">
        <v>94</v>
      </c>
      <c r="H199" s="235" t="s">
        <v>908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994</v>
      </c>
      <c r="F200" s="13"/>
      <c r="G200" s="270" t="s">
        <v>32</v>
      </c>
      <c r="H200" s="235" t="s">
        <v>908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994</v>
      </c>
      <c r="F201" s="13"/>
      <c r="G201" s="270" t="s">
        <v>24</v>
      </c>
      <c r="H201" s="235" t="s">
        <v>908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994</v>
      </c>
      <c r="F202" s="13"/>
      <c r="G202" s="270" t="s">
        <v>52</v>
      </c>
      <c r="H202" s="235" t="s">
        <v>908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994</v>
      </c>
      <c r="F203" s="13"/>
      <c r="G203" s="270" t="s">
        <v>42</v>
      </c>
      <c r="H203" s="235" t="s">
        <v>908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994</v>
      </c>
      <c r="F204" s="13"/>
      <c r="G204" s="270" t="s">
        <v>105</v>
      </c>
      <c r="H204" s="235" t="s">
        <v>908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994</v>
      </c>
      <c r="F205" s="13"/>
      <c r="G205" s="270" t="s">
        <v>104</v>
      </c>
      <c r="H205" s="235" t="s">
        <v>908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994</v>
      </c>
      <c r="F206" s="13"/>
      <c r="G206" s="270" t="s">
        <v>87</v>
      </c>
      <c r="H206" s="235" t="s">
        <v>908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994</v>
      </c>
      <c r="F207" s="13"/>
      <c r="G207" s="270" t="s">
        <v>86</v>
      </c>
      <c r="H207" s="235" t="s">
        <v>908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994</v>
      </c>
      <c r="F208" s="184"/>
      <c r="G208" s="270" t="s">
        <v>115</v>
      </c>
      <c r="H208" s="235" t="s">
        <v>908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994</v>
      </c>
      <c r="F209" s="184"/>
      <c r="G209" s="270" t="s">
        <v>114</v>
      </c>
      <c r="H209" s="235" t="s">
        <v>908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994</v>
      </c>
      <c r="F210" s="184"/>
      <c r="G210" s="270" t="s">
        <v>125</v>
      </c>
      <c r="H210" s="235" t="s">
        <v>908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994</v>
      </c>
      <c r="F211" s="184"/>
      <c r="G211" s="270" t="s">
        <v>124</v>
      </c>
      <c r="H211" s="235" t="s">
        <v>908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994</v>
      </c>
      <c r="F212" s="184"/>
      <c r="G212" s="270" t="s">
        <v>25</v>
      </c>
      <c r="H212" s="235" t="s">
        <v>908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994</v>
      </c>
      <c r="F213" s="184"/>
      <c r="G213" s="270" t="s">
        <v>26</v>
      </c>
      <c r="H213" s="235" t="s">
        <v>908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994</v>
      </c>
      <c r="F214" s="184"/>
      <c r="G214" s="270" t="s">
        <v>33</v>
      </c>
      <c r="H214" s="235" t="s">
        <v>908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994</v>
      </c>
      <c r="F215" s="184"/>
      <c r="G215" s="270" t="s">
        <v>34</v>
      </c>
      <c r="H215" s="235" t="s">
        <v>908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994</v>
      </c>
      <c r="F216" s="13"/>
      <c r="G216" s="270" t="s">
        <v>27</v>
      </c>
      <c r="H216" s="235" t="s">
        <v>908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994</v>
      </c>
      <c r="F217" s="13"/>
      <c r="G217" s="270" t="s">
        <v>28</v>
      </c>
      <c r="H217" s="235" t="s">
        <v>908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994</v>
      </c>
      <c r="F218" s="13"/>
      <c r="G218" s="270" t="s">
        <v>43</v>
      </c>
      <c r="H218" s="235" t="s">
        <v>908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994</v>
      </c>
      <c r="F219" s="13"/>
      <c r="G219" s="270" t="s">
        <v>44</v>
      </c>
      <c r="H219" s="235" t="s">
        <v>908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5" t="s">
        <v>998</v>
      </c>
      <c r="F220" s="271"/>
      <c r="G220" s="276" t="s">
        <v>952</v>
      </c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4" t="s">
        <v>994</v>
      </c>
      <c r="F221" s="271"/>
      <c r="G221" s="276" t="s">
        <v>140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995</v>
      </c>
      <c r="F222" s="275"/>
      <c r="G222" s="270" t="s">
        <v>140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995</v>
      </c>
      <c r="F223" s="275"/>
      <c r="G223" s="270" t="s">
        <v>45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995</v>
      </c>
      <c r="F224" s="271"/>
      <c r="G224" s="272" t="s">
        <v>958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994</v>
      </c>
      <c r="F225" s="271"/>
      <c r="G225" s="270" t="s">
        <v>45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275" t="s">
        <v>998</v>
      </c>
      <c r="F229" s="5"/>
      <c r="G229" s="276" t="s">
        <v>955</v>
      </c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4" t="s">
        <v>994</v>
      </c>
      <c r="F230" s="5"/>
      <c r="G230" s="276" t="s">
        <v>172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271" t="s">
        <v>995</v>
      </c>
      <c r="F231" s="5"/>
      <c r="G231" s="270" t="s">
        <v>172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995</v>
      </c>
      <c r="F232" s="5"/>
      <c r="G232" s="270" t="s">
        <v>74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271" t="s">
        <v>995</v>
      </c>
      <c r="F233" s="13"/>
      <c r="G233" s="272" t="s">
        <v>960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994</v>
      </c>
      <c r="F234" s="271"/>
      <c r="G234" s="270" t="s">
        <v>74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275" t="s">
        <v>998</v>
      </c>
      <c r="F235" s="5"/>
      <c r="G235" s="276" t="s">
        <v>954</v>
      </c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4" t="s">
        <v>994</v>
      </c>
      <c r="F236" s="5"/>
      <c r="G236" s="276" t="s">
        <v>173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271" t="s">
        <v>995</v>
      </c>
      <c r="F237" s="5"/>
      <c r="G237" s="270" t="s">
        <v>173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995</v>
      </c>
      <c r="F238" s="5"/>
      <c r="G238" s="270" t="s">
        <v>72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271" t="s">
        <v>995</v>
      </c>
      <c r="F239" s="5"/>
      <c r="G239" s="272" t="s">
        <v>959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994</v>
      </c>
      <c r="F240" s="271"/>
      <c r="G240" s="270" t="s">
        <v>72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275" t="s">
        <v>998</v>
      </c>
      <c r="F241" s="13"/>
      <c r="G241" s="276" t="s">
        <v>953</v>
      </c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4" t="s">
        <v>994</v>
      </c>
      <c r="F242" s="275"/>
      <c r="G242" s="276" t="s">
        <v>200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995</v>
      </c>
      <c r="F243" s="13"/>
      <c r="G243" s="270" t="s">
        <v>200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995</v>
      </c>
      <c r="F244" s="13"/>
      <c r="G244" s="270" t="s">
        <v>113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995</v>
      </c>
      <c r="F245" s="13"/>
      <c r="G245" s="272" t="s">
        <v>0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994</v>
      </c>
      <c r="F246" s="13"/>
      <c r="G246" s="270" t="s">
        <v>113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965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965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965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965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965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965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967</v>
      </c>
      <c r="K388" s="272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967</v>
      </c>
      <c r="K389" s="272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967</v>
      </c>
      <c r="K390" s="272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967</v>
      </c>
      <c r="K391" s="272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967</v>
      </c>
      <c r="K392" s="272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967</v>
      </c>
      <c r="K393" s="272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5" t="s">
        <v>998</v>
      </c>
      <c r="F394" s="263"/>
      <c r="G394" s="276" t="s">
        <v>950</v>
      </c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5" t="s">
        <v>998</v>
      </c>
      <c r="F395" s="263"/>
      <c r="G395" s="276" t="s">
        <v>951</v>
      </c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994</v>
      </c>
      <c r="F396" s="13"/>
      <c r="G396" s="276" t="s">
        <v>203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994</v>
      </c>
      <c r="F397" s="13"/>
      <c r="G397" s="276" t="s">
        <v>193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995</v>
      </c>
      <c r="F398" s="13"/>
      <c r="G398" s="270" t="s">
        <v>203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995</v>
      </c>
      <c r="F399" s="5"/>
      <c r="G399" s="270" t="s">
        <v>193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995</v>
      </c>
      <c r="F400" s="5"/>
      <c r="G400" s="270" t="s">
        <v>85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995</v>
      </c>
      <c r="F401" s="5"/>
      <c r="G401" s="270" t="s">
        <v>84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995</v>
      </c>
      <c r="F402" s="13"/>
      <c r="G402" s="272" t="s">
        <v>956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995</v>
      </c>
      <c r="F403" s="13"/>
      <c r="G403" s="272" t="s">
        <v>957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994</v>
      </c>
      <c r="F404" s="263"/>
      <c r="G404" s="270" t="s">
        <v>85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71" t="s">
        <v>994</v>
      </c>
      <c r="F405" s="297"/>
      <c r="G405" s="270" t="s">
        <v>84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E6:J55 E388:F393 E60:F63 F64 F255:F256 F269:F270 F275:F277 E257:F268 E271:F274 F244 F241:F242 E253:J254 E57:J59 F56:J56 E278:F282 F283 E295:J387 H60:J64 I223:J230 H255:J294 E292:F294 E285:F285 F286:F291 I65:J219 E226:F228 F209:F225 H394:J405 H220:J222 F394:F405 E251:F252 H231:J246 H388:I393 H247:I252">
    <cfRule type="expression" dxfId="2364" priority="417">
      <formula>MOD(ROW(),2)=0</formula>
    </cfRule>
  </conditionalFormatting>
  <conditionalFormatting sqref="B6:B405">
    <cfRule type="expression" dxfId="2363" priority="416">
      <formula>MOD(ROW(),2)=0</formula>
    </cfRule>
  </conditionalFormatting>
  <conditionalFormatting sqref="D6:D228 D241:D405">
    <cfRule type="expression" dxfId="2362" priority="415">
      <formula>MOD(ROW(),2)=0</formula>
    </cfRule>
  </conditionalFormatting>
  <conditionalFormatting sqref="F65:F71 H65:H75 E197:E219 E196:F196 F197:F208 F84:F171 F176:F177 E178:F179 E172:F175 F180:F195">
    <cfRule type="expression" dxfId="2361" priority="414">
      <formula>MOD(ROW(),2)=0</formula>
    </cfRule>
  </conditionalFormatting>
  <conditionalFormatting sqref="C401:C405">
    <cfRule type="expression" dxfId="2360" priority="406">
      <formula>MOD(ROW(),2)=0</formula>
    </cfRule>
  </conditionalFormatting>
  <conditionalFormatting sqref="C6:C400">
    <cfRule type="expression" dxfId="2359" priority="405">
      <formula>MOD(ROW(),2)=0</formula>
    </cfRule>
  </conditionalFormatting>
  <conditionalFormatting sqref="G60:G61">
    <cfRule type="expression" dxfId="2358" priority="404">
      <formula>MOD(ROW(),2)=0</formula>
    </cfRule>
  </conditionalFormatting>
  <conditionalFormatting sqref="G62:G63">
    <cfRule type="expression" dxfId="2357" priority="403">
      <formula>MOD(ROW(),2)=0</formula>
    </cfRule>
  </conditionalFormatting>
  <conditionalFormatting sqref="F76 E72:F75">
    <cfRule type="expression" dxfId="2356" priority="395">
      <formula>MOD(ROW(),2)=0</formula>
    </cfRule>
  </conditionalFormatting>
  <conditionalFormatting sqref="F77:F83">
    <cfRule type="expression" dxfId="2355" priority="394">
      <formula>MOD(ROW(),2)=0</formula>
    </cfRule>
  </conditionalFormatting>
  <conditionalFormatting sqref="G255">
    <cfRule type="expression" dxfId="2354" priority="380">
      <formula>MOD(ROW(),2)=0</formula>
    </cfRule>
  </conditionalFormatting>
  <conditionalFormatting sqref="E255">
    <cfRule type="expression" dxfId="2353" priority="379">
      <formula>MOD(ROW(),2)=0</formula>
    </cfRule>
  </conditionalFormatting>
  <conditionalFormatting sqref="G269">
    <cfRule type="expression" dxfId="2352" priority="378">
      <formula>MOD(ROW(),2)=0</formula>
    </cfRule>
  </conditionalFormatting>
  <conditionalFormatting sqref="E269">
    <cfRule type="expression" dxfId="2351" priority="377">
      <formula>MOD(ROW(),2)=0</formula>
    </cfRule>
  </conditionalFormatting>
  <conditionalFormatting sqref="G256">
    <cfRule type="expression" dxfId="2350" priority="376">
      <formula>MOD(ROW(),2)=0</formula>
    </cfRule>
  </conditionalFormatting>
  <conditionalFormatting sqref="E256">
    <cfRule type="expression" dxfId="2349" priority="375">
      <formula>MOD(ROW(),2)=0</formula>
    </cfRule>
  </conditionalFormatting>
  <conditionalFormatting sqref="G270">
    <cfRule type="expression" dxfId="2348" priority="374">
      <formula>MOD(ROW(),2)=0</formula>
    </cfRule>
  </conditionalFormatting>
  <conditionalFormatting sqref="E270">
    <cfRule type="expression" dxfId="2347" priority="373">
      <formula>MOD(ROW(),2)=0</formula>
    </cfRule>
  </conditionalFormatting>
  <conditionalFormatting sqref="G275">
    <cfRule type="expression" dxfId="2346" priority="371">
      <formula>MOD(ROW(),2)=0</formula>
    </cfRule>
  </conditionalFormatting>
  <conditionalFormatting sqref="E275">
    <cfRule type="expression" dxfId="2345" priority="370">
      <formula>MOD(ROW(),2)=0</formula>
    </cfRule>
  </conditionalFormatting>
  <conditionalFormatting sqref="G262">
    <cfRule type="expression" dxfId="2344" priority="369">
      <formula>MOD(ROW(),2)=0</formula>
    </cfRule>
  </conditionalFormatting>
  <conditionalFormatting sqref="G276">
    <cfRule type="expression" dxfId="2343" priority="368">
      <formula>MOD(ROW(),2)=0</formula>
    </cfRule>
  </conditionalFormatting>
  <conditionalFormatting sqref="E276">
    <cfRule type="expression" dxfId="2342" priority="367">
      <formula>MOD(ROW(),2)=0</formula>
    </cfRule>
  </conditionalFormatting>
  <conditionalFormatting sqref="G263">
    <cfRule type="expression" dxfId="2341" priority="366">
      <formula>MOD(ROW(),2)=0</formula>
    </cfRule>
  </conditionalFormatting>
  <conditionalFormatting sqref="G277">
    <cfRule type="expression" dxfId="2340" priority="365">
      <formula>MOD(ROW(),2)=0</formula>
    </cfRule>
  </conditionalFormatting>
  <conditionalFormatting sqref="E277">
    <cfRule type="expression" dxfId="2339" priority="364">
      <formula>MOD(ROW(),2)=0</formula>
    </cfRule>
  </conditionalFormatting>
  <conditionalFormatting sqref="G264">
    <cfRule type="expression" dxfId="2338" priority="363">
      <formula>MOD(ROW(),2)=0</formula>
    </cfRule>
  </conditionalFormatting>
  <conditionalFormatting sqref="G278">
    <cfRule type="expression" dxfId="2337" priority="362">
      <formula>MOD(ROW(),2)=0</formula>
    </cfRule>
  </conditionalFormatting>
  <conditionalFormatting sqref="G265">
    <cfRule type="expression" dxfId="2336" priority="361">
      <formula>MOD(ROW(),2)=0</formula>
    </cfRule>
  </conditionalFormatting>
  <conditionalFormatting sqref="G279">
    <cfRule type="expression" dxfId="2335" priority="360">
      <formula>MOD(ROW(),2)=0</formula>
    </cfRule>
  </conditionalFormatting>
  <conditionalFormatting sqref="G266">
    <cfRule type="expression" dxfId="2334" priority="359">
      <formula>MOD(ROW(),2)=0</formula>
    </cfRule>
  </conditionalFormatting>
  <conditionalFormatting sqref="G280">
    <cfRule type="expression" dxfId="2333" priority="358">
      <formula>MOD(ROW(),2)=0</formula>
    </cfRule>
  </conditionalFormatting>
  <conditionalFormatting sqref="G267">
    <cfRule type="expression" dxfId="2332" priority="357">
      <formula>MOD(ROW(),2)=0</formula>
    </cfRule>
  </conditionalFormatting>
  <conditionalFormatting sqref="G281">
    <cfRule type="expression" dxfId="2331" priority="356">
      <formula>MOD(ROW(),2)=0</formula>
    </cfRule>
  </conditionalFormatting>
  <conditionalFormatting sqref="G268">
    <cfRule type="expression" dxfId="2330" priority="355">
      <formula>MOD(ROW(),2)=0</formula>
    </cfRule>
  </conditionalFormatting>
  <conditionalFormatting sqref="G282">
    <cfRule type="expression" dxfId="2329" priority="354">
      <formula>MOD(ROW(),2)=0</formula>
    </cfRule>
  </conditionalFormatting>
  <conditionalFormatting sqref="G257">
    <cfRule type="expression" dxfId="2328" priority="353">
      <formula>MOD(ROW(),2)=0</formula>
    </cfRule>
  </conditionalFormatting>
  <conditionalFormatting sqref="G271">
    <cfRule type="expression" dxfId="2327" priority="352">
      <formula>MOD(ROW(),2)=0</formula>
    </cfRule>
  </conditionalFormatting>
  <conditionalFormatting sqref="G258">
    <cfRule type="expression" dxfId="2326" priority="351">
      <formula>MOD(ROW(),2)=0</formula>
    </cfRule>
  </conditionalFormatting>
  <conditionalFormatting sqref="G272">
    <cfRule type="expression" dxfId="2325" priority="350">
      <formula>MOD(ROW(),2)=0</formula>
    </cfRule>
  </conditionalFormatting>
  <conditionalFormatting sqref="G259">
    <cfRule type="expression" dxfId="2324" priority="349">
      <formula>MOD(ROW(),2)=0</formula>
    </cfRule>
  </conditionalFormatting>
  <conditionalFormatting sqref="G273">
    <cfRule type="expression" dxfId="2323" priority="348">
      <formula>MOD(ROW(),2)=0</formula>
    </cfRule>
  </conditionalFormatting>
  <conditionalFormatting sqref="G260">
    <cfRule type="expression" dxfId="2322" priority="347">
      <formula>MOD(ROW(),2)=0</formula>
    </cfRule>
  </conditionalFormatting>
  <conditionalFormatting sqref="F246">
    <cfRule type="expression" dxfId="2321" priority="335">
      <formula>MOD(ROW(),2)=0</formula>
    </cfRule>
  </conditionalFormatting>
  <conditionalFormatting sqref="G283">
    <cfRule type="expression" dxfId="2320" priority="318">
      <formula>MOD(ROW(),2)=0</formula>
    </cfRule>
  </conditionalFormatting>
  <conditionalFormatting sqref="E283">
    <cfRule type="expression" dxfId="2319" priority="317">
      <formula>MOD(ROW(),2)=0</formula>
    </cfRule>
  </conditionalFormatting>
  <conditionalFormatting sqref="E288">
    <cfRule type="expression" dxfId="2318" priority="316">
      <formula>MOD(ROW(),2)=0</formula>
    </cfRule>
  </conditionalFormatting>
  <conditionalFormatting sqref="G289">
    <cfRule type="expression" dxfId="2317" priority="315">
      <formula>MOD(ROW(),2)=0</formula>
    </cfRule>
  </conditionalFormatting>
  <conditionalFormatting sqref="F284">
    <cfRule type="expression" dxfId="2316" priority="296">
      <formula>MOD(ROW(),2)=0</formula>
    </cfRule>
  </conditionalFormatting>
  <conditionalFormatting sqref="G284">
    <cfRule type="expression" dxfId="2315" priority="295">
      <formula>MOD(ROW(),2)=0</formula>
    </cfRule>
  </conditionalFormatting>
  <conditionalFormatting sqref="E284">
    <cfRule type="expression" dxfId="2314" priority="294">
      <formula>MOD(ROW(),2)=0</formula>
    </cfRule>
  </conditionalFormatting>
  <conditionalFormatting sqref="G289">
    <cfRule type="expression" dxfId="2313" priority="293">
      <formula>MOD(ROW(),2)=0</formula>
    </cfRule>
  </conditionalFormatting>
  <conditionalFormatting sqref="G290">
    <cfRule type="expression" dxfId="2312" priority="292">
      <formula>MOD(ROW(),2)=0</formula>
    </cfRule>
  </conditionalFormatting>
  <conditionalFormatting sqref="G287">
    <cfRule type="expression" dxfId="2311" priority="291">
      <formula>MOD(ROW(),2)=0</formula>
    </cfRule>
  </conditionalFormatting>
  <conditionalFormatting sqref="E287">
    <cfRule type="expression" dxfId="2310" priority="290">
      <formula>MOD(ROW(),2)=0</formula>
    </cfRule>
  </conditionalFormatting>
  <conditionalFormatting sqref="G288">
    <cfRule type="expression" dxfId="2309" priority="289">
      <formula>MOD(ROW(),2)=0</formula>
    </cfRule>
  </conditionalFormatting>
  <conditionalFormatting sqref="E291">
    <cfRule type="expression" dxfId="2308" priority="288">
      <formula>MOD(ROW(),2)=0</formula>
    </cfRule>
  </conditionalFormatting>
  <conditionalFormatting sqref="G291">
    <cfRule type="expression" dxfId="2307" priority="287">
      <formula>MOD(ROW(),2)=0</formula>
    </cfRule>
  </conditionalFormatting>
  <conditionalFormatting sqref="G292">
    <cfRule type="expression" dxfId="2306" priority="286">
      <formula>MOD(ROW(),2)=0</formula>
    </cfRule>
  </conditionalFormatting>
  <conditionalFormatting sqref="G293">
    <cfRule type="expression" dxfId="2305" priority="285">
      <formula>MOD(ROW(),2)=0</formula>
    </cfRule>
  </conditionalFormatting>
  <conditionalFormatting sqref="G294">
    <cfRule type="expression" dxfId="2304" priority="284">
      <formula>MOD(ROW(),2)=0</formula>
    </cfRule>
  </conditionalFormatting>
  <conditionalFormatting sqref="G285">
    <cfRule type="expression" dxfId="2303" priority="283">
      <formula>MOD(ROW(),2)=0</formula>
    </cfRule>
  </conditionalFormatting>
  <conditionalFormatting sqref="G286">
    <cfRule type="expression" dxfId="2302" priority="282">
      <formula>MOD(ROW(),2)=0</formula>
    </cfRule>
  </conditionalFormatting>
  <conditionalFormatting sqref="E286">
    <cfRule type="expression" dxfId="2301" priority="281">
      <formula>MOD(ROW(),2)=0</formula>
    </cfRule>
  </conditionalFormatting>
  <conditionalFormatting sqref="F243">
    <cfRule type="expression" dxfId="2300" priority="278">
      <formula>MOD(ROW(),2)=0</formula>
    </cfRule>
  </conditionalFormatting>
  <conditionalFormatting sqref="F246">
    <cfRule type="expression" dxfId="2299" priority="270">
      <formula>MOD(ROW(),2)=0</formula>
    </cfRule>
  </conditionalFormatting>
  <conditionalFormatting sqref="F247">
    <cfRule type="expression" dxfId="2298" priority="268">
      <formula>MOD(ROW(),2)=0</formula>
    </cfRule>
  </conditionalFormatting>
  <conditionalFormatting sqref="F248">
    <cfRule type="expression" dxfId="2297" priority="267">
      <formula>MOD(ROW(),2)=0</formula>
    </cfRule>
  </conditionalFormatting>
  <conditionalFormatting sqref="E248">
    <cfRule type="expression" dxfId="2296" priority="266">
      <formula>MOD(ROW(),2)=0</formula>
    </cfRule>
  </conditionalFormatting>
  <conditionalFormatting sqref="K254">
    <cfRule type="expression" dxfId="2295" priority="240">
      <formula>MOD(ROW(),2)=0</formula>
    </cfRule>
  </conditionalFormatting>
  <conditionalFormatting sqref="K89">
    <cfRule type="expression" dxfId="2294" priority="238">
      <formula>MOD(ROW(),2)=0</formula>
    </cfRule>
  </conditionalFormatting>
  <conditionalFormatting sqref="K244:K246 K255:K282 K285:K294 K60:K87 K91:K234 K6:K55 K236:K242 K57 K301:K387 K394:K405">
    <cfRule type="expression" dxfId="2293" priority="246">
      <formula>MOD(ROW(),2)=0</formula>
    </cfRule>
  </conditionalFormatting>
  <conditionalFormatting sqref="K58">
    <cfRule type="expression" dxfId="2292" priority="244">
      <formula>MOD(ROW(),2)=0</formula>
    </cfRule>
  </conditionalFormatting>
  <conditionalFormatting sqref="K253">
    <cfRule type="expression" dxfId="2291" priority="243">
      <formula>MOD(ROW(),2)=0</formula>
    </cfRule>
  </conditionalFormatting>
  <conditionalFormatting sqref="K59">
    <cfRule type="expression" dxfId="2290" priority="242">
      <formula>MOD(ROW(),2)=0</formula>
    </cfRule>
  </conditionalFormatting>
  <conditionalFormatting sqref="K235">
    <cfRule type="expression" dxfId="2288" priority="239">
      <formula>MOD(ROW(),2)=0</formula>
    </cfRule>
  </conditionalFormatting>
  <conditionalFormatting sqref="K243">
    <cfRule type="expression" dxfId="2286" priority="237">
      <formula>MOD(ROW(),2)=0</formula>
    </cfRule>
  </conditionalFormatting>
  <conditionalFormatting sqref="K90">
    <cfRule type="expression" dxfId="2285" priority="236">
      <formula>MOD(ROW(),2)=0</formula>
    </cfRule>
  </conditionalFormatting>
  <conditionalFormatting sqref="K56">
    <cfRule type="expression" dxfId="2284" priority="235">
      <formula>MOD(ROW(),2)=0</formula>
    </cfRule>
  </conditionalFormatting>
  <conditionalFormatting sqref="K283">
    <cfRule type="expression" dxfId="2283" priority="234">
      <formula>MOD(ROW(),2)=0</formula>
    </cfRule>
  </conditionalFormatting>
  <conditionalFormatting sqref="K284">
    <cfRule type="expression" dxfId="2282" priority="233">
      <formula>MOD(ROW(),2)=0</formula>
    </cfRule>
  </conditionalFormatting>
  <conditionalFormatting sqref="K88">
    <cfRule type="expression" dxfId="2281" priority="232">
      <formula>MOD(ROW(),2)=0</formula>
    </cfRule>
  </conditionalFormatting>
  <conditionalFormatting sqref="K295:K300">
    <cfRule type="expression" dxfId="2280" priority="231">
      <formula>MOD(ROW(),2)=0</formula>
    </cfRule>
  </conditionalFormatting>
  <conditionalFormatting sqref="G261">
    <cfRule type="expression" dxfId="2279" priority="372">
      <formula>MOD(ROW(),2)=0</formula>
    </cfRule>
  </conditionalFormatting>
  <conditionalFormatting sqref="G274">
    <cfRule type="expression" dxfId="2278" priority="346">
      <formula>MOD(ROW(),2)=0</formula>
    </cfRule>
  </conditionalFormatting>
  <conditionalFormatting sqref="F243">
    <cfRule type="expression" dxfId="2277" priority="341">
      <formula>MOD(ROW(),2)=0</formula>
    </cfRule>
  </conditionalFormatting>
  <conditionalFormatting sqref="F245">
    <cfRule type="expression" dxfId="2276" priority="338">
      <formula>MOD(ROW(),2)=0</formula>
    </cfRule>
  </conditionalFormatting>
  <conditionalFormatting sqref="F247">
    <cfRule type="expression" dxfId="2275" priority="332">
      <formula>MOD(ROW(),2)=0</formula>
    </cfRule>
  </conditionalFormatting>
  <conditionalFormatting sqref="E247">
    <cfRule type="expression" dxfId="2274" priority="331">
      <formula>MOD(ROW(),2)=0</formula>
    </cfRule>
  </conditionalFormatting>
  <conditionalFormatting sqref="F248">
    <cfRule type="expression" dxfId="2273" priority="330">
      <formula>MOD(ROW(),2)=0</formula>
    </cfRule>
  </conditionalFormatting>
  <conditionalFormatting sqref="E248">
    <cfRule type="expression" dxfId="2272" priority="329">
      <formula>MOD(ROW(),2)=0</formula>
    </cfRule>
  </conditionalFormatting>
  <conditionalFormatting sqref="G290">
    <cfRule type="expression" dxfId="2271" priority="314">
      <formula>MOD(ROW(),2)=0</formula>
    </cfRule>
  </conditionalFormatting>
  <conditionalFormatting sqref="E289">
    <cfRule type="expression" dxfId="2270" priority="313">
      <formula>MOD(ROW(),2)=0</formula>
    </cfRule>
  </conditionalFormatting>
  <conditionalFormatting sqref="E56">
    <cfRule type="expression" dxfId="2269" priority="320">
      <formula>MOD(ROW(),2)=0</formula>
    </cfRule>
  </conditionalFormatting>
  <conditionalFormatting sqref="E290">
    <cfRule type="expression" dxfId="2266" priority="312">
      <formula>MOD(ROW(),2)=0</formula>
    </cfRule>
  </conditionalFormatting>
  <conditionalFormatting sqref="G226:H226 H223:H225">
    <cfRule type="expression" dxfId="2265" priority="302">
      <formula>MOD(ROW(),2)=0</formula>
    </cfRule>
  </conditionalFormatting>
  <conditionalFormatting sqref="H227:H230">
    <cfRule type="expression" dxfId="2264" priority="301">
      <formula>MOD(ROW(),2)=0</formula>
    </cfRule>
  </conditionalFormatting>
  <conditionalFormatting sqref="G227:G228">
    <cfRule type="expression" dxfId="2263" priority="300">
      <formula>MOD(ROW(),2)=0</formula>
    </cfRule>
  </conditionalFormatting>
  <conditionalFormatting sqref="F244">
    <cfRule type="expression" dxfId="2262" priority="275">
      <formula>MOD(ROW(),2)=0</formula>
    </cfRule>
  </conditionalFormatting>
  <conditionalFormatting sqref="F245">
    <cfRule type="expression" dxfId="2261" priority="272">
      <formula>MOD(ROW(),2)=0</formula>
    </cfRule>
  </conditionalFormatting>
  <conditionalFormatting sqref="E247">
    <cfRule type="expression" dxfId="2260" priority="261">
      <formula>MOD(ROW(),2)=0</formula>
    </cfRule>
  </conditionalFormatting>
  <conditionalFormatting sqref="F249">
    <cfRule type="expression" dxfId="2259" priority="260">
      <formula>MOD(ROW(),2)=0</formula>
    </cfRule>
  </conditionalFormatting>
  <conditionalFormatting sqref="E249">
    <cfRule type="expression" dxfId="2258" priority="259">
      <formula>MOD(ROW(),2)=0</formula>
    </cfRule>
  </conditionalFormatting>
  <conditionalFormatting sqref="F250">
    <cfRule type="expression" dxfId="2257" priority="258">
      <formula>MOD(ROW(),2)=0</formula>
    </cfRule>
  </conditionalFormatting>
  <conditionalFormatting sqref="E250">
    <cfRule type="expression" dxfId="2256" priority="257">
      <formula>MOD(ROW(),2)=0</formula>
    </cfRule>
  </conditionalFormatting>
  <conditionalFormatting sqref="H132:H147 H124:H127">
    <cfRule type="expression" dxfId="2255" priority="225">
      <formula>MOD(ROW(),2)=0</formula>
    </cfRule>
  </conditionalFormatting>
  <conditionalFormatting sqref="H76:H123 H148:H162 H172:H219">
    <cfRule type="expression" dxfId="2254" priority="224">
      <formula>MOD(ROW(),2)=0</formula>
    </cfRule>
  </conditionalFormatting>
  <conditionalFormatting sqref="H128:H131">
    <cfRule type="expression" dxfId="2253" priority="223">
      <formula>MOD(ROW(),2)=0</formula>
    </cfRule>
  </conditionalFormatting>
  <conditionalFormatting sqref="H163:H164">
    <cfRule type="expression" dxfId="2252" priority="222">
      <formula>MOD(ROW(),2)=0</formula>
    </cfRule>
  </conditionalFormatting>
  <conditionalFormatting sqref="H165:H171">
    <cfRule type="expression" dxfId="2251" priority="221">
      <formula>MOD(ROW(),2)=0</formula>
    </cfRule>
  </conditionalFormatting>
  <conditionalFormatting sqref="G196:G197">
    <cfRule type="expression" dxfId="2250" priority="220">
      <formula>MOD(ROW(),2)=0</formula>
    </cfRule>
  </conditionalFormatting>
  <conditionalFormatting sqref="G198:G199">
    <cfRule type="expression" dxfId="2249" priority="219">
      <formula>MOD(ROW(),2)=0</formula>
    </cfRule>
  </conditionalFormatting>
  <conditionalFormatting sqref="G204:G205">
    <cfRule type="expression" dxfId="2248" priority="218">
      <formula>MOD(ROW(),2)=0</formula>
    </cfRule>
  </conditionalFormatting>
  <conditionalFormatting sqref="G206:G207">
    <cfRule type="expression" dxfId="2247" priority="217">
      <formula>MOD(ROW(),2)=0</formula>
    </cfRule>
  </conditionalFormatting>
  <conditionalFormatting sqref="G208:G209">
    <cfRule type="expression" dxfId="2246" priority="216">
      <formula>MOD(ROW(),2)=0</formula>
    </cfRule>
  </conditionalFormatting>
  <conditionalFormatting sqref="G210:G211">
    <cfRule type="expression" dxfId="2245" priority="215">
      <formula>MOD(ROW(),2)=0</formula>
    </cfRule>
  </conditionalFormatting>
  <conditionalFormatting sqref="G212:G213">
    <cfRule type="expression" dxfId="2244" priority="214">
      <formula>MOD(ROW(),2)=0</formula>
    </cfRule>
  </conditionalFormatting>
  <conditionalFormatting sqref="G214:G215">
    <cfRule type="expression" dxfId="2243" priority="213">
      <formula>MOD(ROW(),2)=0</formula>
    </cfRule>
  </conditionalFormatting>
  <conditionalFormatting sqref="G216:G217">
    <cfRule type="expression" dxfId="2242" priority="212">
      <formula>MOD(ROW(),2)=0</formula>
    </cfRule>
  </conditionalFormatting>
  <conditionalFormatting sqref="G218:G219">
    <cfRule type="expression" dxfId="2241" priority="211">
      <formula>MOD(ROW(),2)=0</formula>
    </cfRule>
  </conditionalFormatting>
  <conditionalFormatting sqref="G200:G201">
    <cfRule type="expression" dxfId="2240" priority="210">
      <formula>MOD(ROW(),2)=0</formula>
    </cfRule>
  </conditionalFormatting>
  <conditionalFormatting sqref="G202:G203">
    <cfRule type="expression" dxfId="2239" priority="209">
      <formula>MOD(ROW(),2)=0</formula>
    </cfRule>
  </conditionalFormatting>
  <conditionalFormatting sqref="E148:E171">
    <cfRule type="expression" dxfId="2238" priority="208">
      <formula>MOD(ROW(),2)=0</formula>
    </cfRule>
  </conditionalFormatting>
  <conditionalFormatting sqref="G148:G149">
    <cfRule type="expression" dxfId="2237" priority="207">
      <formula>MOD(ROW(),2)=0</formula>
    </cfRule>
  </conditionalFormatting>
  <conditionalFormatting sqref="G150:G151">
    <cfRule type="expression" dxfId="2236" priority="206">
      <formula>MOD(ROW(),2)=0</formula>
    </cfRule>
  </conditionalFormatting>
  <conditionalFormatting sqref="G156:G157">
    <cfRule type="expression" dxfId="2235" priority="205">
      <formula>MOD(ROW(),2)=0</formula>
    </cfRule>
  </conditionalFormatting>
  <conditionalFormatting sqref="G158:G159">
    <cfRule type="expression" dxfId="2234" priority="204">
      <formula>MOD(ROW(),2)=0</formula>
    </cfRule>
  </conditionalFormatting>
  <conditionalFormatting sqref="G160:G161">
    <cfRule type="expression" dxfId="2233" priority="203">
      <formula>MOD(ROW(),2)=0</formula>
    </cfRule>
  </conditionalFormatting>
  <conditionalFormatting sqref="G162:G163">
    <cfRule type="expression" dxfId="2232" priority="202">
      <formula>MOD(ROW(),2)=0</formula>
    </cfRule>
  </conditionalFormatting>
  <conditionalFormatting sqref="G164:G165">
    <cfRule type="expression" dxfId="2231" priority="201">
      <formula>MOD(ROW(),2)=0</formula>
    </cfRule>
  </conditionalFormatting>
  <conditionalFormatting sqref="G166:G167">
    <cfRule type="expression" dxfId="2230" priority="200">
      <formula>MOD(ROW(),2)=0</formula>
    </cfRule>
  </conditionalFormatting>
  <conditionalFormatting sqref="G168:G169">
    <cfRule type="expression" dxfId="2229" priority="199">
      <formula>MOD(ROW(),2)=0</formula>
    </cfRule>
  </conditionalFormatting>
  <conditionalFormatting sqref="G170:G171">
    <cfRule type="expression" dxfId="2228" priority="198">
      <formula>MOD(ROW(),2)=0</formula>
    </cfRule>
  </conditionalFormatting>
  <conditionalFormatting sqref="G152:G153">
    <cfRule type="expression" dxfId="2227" priority="197">
      <formula>MOD(ROW(),2)=0</formula>
    </cfRule>
  </conditionalFormatting>
  <conditionalFormatting sqref="G154:G155">
    <cfRule type="expression" dxfId="2226" priority="196">
      <formula>MOD(ROW(),2)=0</formula>
    </cfRule>
  </conditionalFormatting>
  <conditionalFormatting sqref="E76:E99">
    <cfRule type="expression" dxfId="2225" priority="195">
      <formula>MOD(ROW(),2)=0</formula>
    </cfRule>
  </conditionalFormatting>
  <conditionalFormatting sqref="G76:G77">
    <cfRule type="expression" dxfId="2224" priority="194">
      <formula>MOD(ROW(),2)=0</formula>
    </cfRule>
  </conditionalFormatting>
  <conditionalFormatting sqref="G78:G79">
    <cfRule type="expression" dxfId="2223" priority="193">
      <formula>MOD(ROW(),2)=0</formula>
    </cfRule>
  </conditionalFormatting>
  <conditionalFormatting sqref="G84:G85">
    <cfRule type="expression" dxfId="2222" priority="191">
      <formula>MOD(ROW(),2)=0</formula>
    </cfRule>
  </conditionalFormatting>
  <conditionalFormatting sqref="G86:G87">
    <cfRule type="expression" dxfId="2221" priority="190">
      <formula>MOD(ROW(),2)=0</formula>
    </cfRule>
  </conditionalFormatting>
  <conditionalFormatting sqref="G88:G89">
    <cfRule type="expression" dxfId="2220" priority="189">
      <formula>MOD(ROW(),2)=0</formula>
    </cfRule>
  </conditionalFormatting>
  <conditionalFormatting sqref="G90:G91">
    <cfRule type="expression" dxfId="2219" priority="188">
      <formula>MOD(ROW(),2)=0</formula>
    </cfRule>
  </conditionalFormatting>
  <conditionalFormatting sqref="G92:G93">
    <cfRule type="expression" dxfId="2218" priority="187">
      <formula>MOD(ROW(),2)=0</formula>
    </cfRule>
  </conditionalFormatting>
  <conditionalFormatting sqref="G94:G95">
    <cfRule type="expression" dxfId="2217" priority="186">
      <formula>MOD(ROW(),2)=0</formula>
    </cfRule>
  </conditionalFormatting>
  <conditionalFormatting sqref="G96:G97">
    <cfRule type="expression" dxfId="2216" priority="185">
      <formula>MOD(ROW(),2)=0</formula>
    </cfRule>
  </conditionalFormatting>
  <conditionalFormatting sqref="G98:G99">
    <cfRule type="expression" dxfId="2215" priority="184">
      <formula>MOD(ROW(),2)=0</formula>
    </cfRule>
  </conditionalFormatting>
  <conditionalFormatting sqref="G80:G81">
    <cfRule type="expression" dxfId="2214" priority="183">
      <formula>MOD(ROW(),2)=0</formula>
    </cfRule>
  </conditionalFormatting>
  <conditionalFormatting sqref="G82:G83">
    <cfRule type="expression" dxfId="2213" priority="182">
      <formula>MOD(ROW(),2)=0</formula>
    </cfRule>
  </conditionalFormatting>
  <conditionalFormatting sqref="G100:G101">
    <cfRule type="expression" dxfId="2212" priority="180">
      <formula>MOD(ROW(),2)=0</formula>
    </cfRule>
  </conditionalFormatting>
  <conditionalFormatting sqref="G102:G103">
    <cfRule type="expression" dxfId="2211" priority="179">
      <formula>MOD(ROW(),2)=0</formula>
    </cfRule>
  </conditionalFormatting>
  <conditionalFormatting sqref="G108:G109">
    <cfRule type="expression" dxfId="2210" priority="178">
      <formula>MOD(ROW(),2)=0</formula>
    </cfRule>
  </conditionalFormatting>
  <conditionalFormatting sqref="G110:G111">
    <cfRule type="expression" dxfId="2209" priority="177">
      <formula>MOD(ROW(),2)=0</formula>
    </cfRule>
  </conditionalFormatting>
  <conditionalFormatting sqref="G112:G113">
    <cfRule type="expression" dxfId="2208" priority="176">
      <formula>MOD(ROW(),2)=0</formula>
    </cfRule>
  </conditionalFormatting>
  <conditionalFormatting sqref="G114:G115">
    <cfRule type="expression" dxfId="2207" priority="175">
      <formula>MOD(ROW(),2)=0</formula>
    </cfRule>
  </conditionalFormatting>
  <conditionalFormatting sqref="G116:G117">
    <cfRule type="expression" dxfId="2206" priority="174">
      <formula>MOD(ROW(),2)=0</formula>
    </cfRule>
  </conditionalFormatting>
  <conditionalFormatting sqref="G118:G119">
    <cfRule type="expression" dxfId="2205" priority="173">
      <formula>MOD(ROW(),2)=0</formula>
    </cfRule>
  </conditionalFormatting>
  <conditionalFormatting sqref="G120:G121">
    <cfRule type="expression" dxfId="2204" priority="172">
      <formula>MOD(ROW(),2)=0</formula>
    </cfRule>
  </conditionalFormatting>
  <conditionalFormatting sqref="G122:G123">
    <cfRule type="expression" dxfId="2203" priority="171">
      <formula>MOD(ROW(),2)=0</formula>
    </cfRule>
  </conditionalFormatting>
  <conditionalFormatting sqref="G104:G105">
    <cfRule type="expression" dxfId="2202" priority="170">
      <formula>MOD(ROW(),2)=0</formula>
    </cfRule>
  </conditionalFormatting>
  <conditionalFormatting sqref="G106:G107">
    <cfRule type="expression" dxfId="2201" priority="169">
      <formula>MOD(ROW(),2)=0</formula>
    </cfRule>
  </conditionalFormatting>
  <conditionalFormatting sqref="G124:G125">
    <cfRule type="expression" dxfId="2200" priority="167">
      <formula>MOD(ROW(),2)=0</formula>
    </cfRule>
  </conditionalFormatting>
  <conditionalFormatting sqref="G126:G127">
    <cfRule type="expression" dxfId="2199" priority="166">
      <formula>MOD(ROW(),2)=0</formula>
    </cfRule>
  </conditionalFormatting>
  <conditionalFormatting sqref="G132:G133">
    <cfRule type="expression" dxfId="2198" priority="165">
      <formula>MOD(ROW(),2)=0</formula>
    </cfRule>
  </conditionalFormatting>
  <conditionalFormatting sqref="G134:G135">
    <cfRule type="expression" dxfId="2197" priority="164">
      <formula>MOD(ROW(),2)=0</formula>
    </cfRule>
  </conditionalFormatting>
  <conditionalFormatting sqref="G136:G137">
    <cfRule type="expression" dxfId="2196" priority="163">
      <formula>MOD(ROW(),2)=0</formula>
    </cfRule>
  </conditionalFormatting>
  <conditionalFormatting sqref="G138:G139">
    <cfRule type="expression" dxfId="2195" priority="162">
      <formula>MOD(ROW(),2)=0</formula>
    </cfRule>
  </conditionalFormatting>
  <conditionalFormatting sqref="G140:G141">
    <cfRule type="expression" dxfId="2194" priority="161">
      <formula>MOD(ROW(),2)=0</formula>
    </cfRule>
  </conditionalFormatting>
  <conditionalFormatting sqref="G142:G143">
    <cfRule type="expression" dxfId="2193" priority="160">
      <formula>MOD(ROW(),2)=0</formula>
    </cfRule>
  </conditionalFormatting>
  <conditionalFormatting sqref="G144:G145">
    <cfRule type="expression" dxfId="2192" priority="159">
      <formula>MOD(ROW(),2)=0</formula>
    </cfRule>
  </conditionalFormatting>
  <conditionalFormatting sqref="G146:G147">
    <cfRule type="expression" dxfId="2191" priority="158">
      <formula>MOD(ROW(),2)=0</formula>
    </cfRule>
  </conditionalFormatting>
  <conditionalFormatting sqref="G128:G129">
    <cfRule type="expression" dxfId="2190" priority="157">
      <formula>MOD(ROW(),2)=0</formula>
    </cfRule>
  </conditionalFormatting>
  <conditionalFormatting sqref="G130:G131">
    <cfRule type="expression" dxfId="2189" priority="156">
      <formula>MOD(ROW(),2)=0</formula>
    </cfRule>
  </conditionalFormatting>
  <conditionalFormatting sqref="E100:E123">
    <cfRule type="expression" dxfId="2188" priority="155">
      <formula>MOD(ROW(),2)=0</formula>
    </cfRule>
  </conditionalFormatting>
  <conditionalFormatting sqref="E124:E147">
    <cfRule type="expression" dxfId="2187" priority="154">
      <formula>MOD(ROW(),2)=0</formula>
    </cfRule>
  </conditionalFormatting>
  <conditionalFormatting sqref="E176:E177">
    <cfRule type="expression" dxfId="2186" priority="153">
      <formula>MOD(ROW(),2)=0</formula>
    </cfRule>
  </conditionalFormatting>
  <conditionalFormatting sqref="E180:E183 E186:E187">
    <cfRule type="expression" dxfId="2185" priority="152">
      <formula>MOD(ROW(),2)=0</formula>
    </cfRule>
  </conditionalFormatting>
  <conditionalFormatting sqref="E184:E185">
    <cfRule type="expression" dxfId="2184" priority="151">
      <formula>MOD(ROW(),2)=0</formula>
    </cfRule>
  </conditionalFormatting>
  <conditionalFormatting sqref="E188:E191 E194:E195">
    <cfRule type="expression" dxfId="2183" priority="150">
      <formula>MOD(ROW(),2)=0</formula>
    </cfRule>
  </conditionalFormatting>
  <conditionalFormatting sqref="E192:E193">
    <cfRule type="expression" dxfId="2182" priority="149">
      <formula>MOD(ROW(),2)=0</formula>
    </cfRule>
  </conditionalFormatting>
  <conditionalFormatting sqref="G172:G173">
    <cfRule type="expression" dxfId="2181" priority="148">
      <formula>MOD(ROW(),2)=0</formula>
    </cfRule>
  </conditionalFormatting>
  <conditionalFormatting sqref="G174:G175">
    <cfRule type="expression" dxfId="2180" priority="147">
      <formula>MOD(ROW(),2)=0</formula>
    </cfRule>
  </conditionalFormatting>
  <conditionalFormatting sqref="G180:G181">
    <cfRule type="expression" dxfId="2179" priority="146">
      <formula>MOD(ROW(),2)=0</formula>
    </cfRule>
  </conditionalFormatting>
  <conditionalFormatting sqref="G182:G183">
    <cfRule type="expression" dxfId="2178" priority="145">
      <formula>MOD(ROW(),2)=0</formula>
    </cfRule>
  </conditionalFormatting>
  <conditionalFormatting sqref="G184:G185">
    <cfRule type="expression" dxfId="2177" priority="144">
      <formula>MOD(ROW(),2)=0</formula>
    </cfRule>
  </conditionalFormatting>
  <conditionalFormatting sqref="G186:G187">
    <cfRule type="expression" dxfId="2176" priority="143">
      <formula>MOD(ROW(),2)=0</formula>
    </cfRule>
  </conditionalFormatting>
  <conditionalFormatting sqref="G188:G189">
    <cfRule type="expression" dxfId="2175" priority="142">
      <formula>MOD(ROW(),2)=0</formula>
    </cfRule>
  </conditionalFormatting>
  <conditionalFormatting sqref="G190:G191">
    <cfRule type="expression" dxfId="2174" priority="141">
      <formula>MOD(ROW(),2)=0</formula>
    </cfRule>
  </conditionalFormatting>
  <conditionalFormatting sqref="G192:G193">
    <cfRule type="expression" dxfId="2173" priority="140">
      <formula>MOD(ROW(),2)=0</formula>
    </cfRule>
  </conditionalFormatting>
  <conditionalFormatting sqref="G194:G195">
    <cfRule type="expression" dxfId="2172" priority="139">
      <formula>MOD(ROW(),2)=0</formula>
    </cfRule>
  </conditionalFormatting>
  <conditionalFormatting sqref="G176:G177">
    <cfRule type="expression" dxfId="2171" priority="138">
      <formula>MOD(ROW(),2)=0</formula>
    </cfRule>
  </conditionalFormatting>
  <conditionalFormatting sqref="G178:G179">
    <cfRule type="expression" dxfId="2170" priority="137">
      <formula>MOD(ROW(),2)=0</formula>
    </cfRule>
  </conditionalFormatting>
  <conditionalFormatting sqref="G404:G405">
    <cfRule type="expression" dxfId="2169" priority="136">
      <formula>MOD(ROW(),2)=0</formula>
    </cfRule>
  </conditionalFormatting>
  <conditionalFormatting sqref="G225">
    <cfRule type="expression" dxfId="2168" priority="135">
      <formula>MOD(ROW(),2)=0</formula>
    </cfRule>
  </conditionalFormatting>
  <conditionalFormatting sqref="G246">
    <cfRule type="expression" dxfId="2167" priority="134">
      <formula>MOD(ROW(),2)=0</formula>
    </cfRule>
  </conditionalFormatting>
  <conditionalFormatting sqref="E402">
    <cfRule type="expression" dxfId="2166" priority="101">
      <formula>MOD(ROW(),2)=0</formula>
    </cfRule>
  </conditionalFormatting>
  <conditionalFormatting sqref="E66:E67">
    <cfRule type="expression" dxfId="2165" priority="118">
      <formula>MOD(ROW(),2)=0</formula>
    </cfRule>
  </conditionalFormatting>
  <conditionalFormatting sqref="G74:G75">
    <cfRule type="expression" dxfId="2164" priority="131">
      <formula>MOD(ROW(),2)=0</formula>
    </cfRule>
  </conditionalFormatting>
  <conditionalFormatting sqref="G244">
    <cfRule type="expression" dxfId="2162" priority="97">
      <formula>MOD(ROW(),2)=0</formula>
    </cfRule>
  </conditionalFormatting>
  <conditionalFormatting sqref="E225">
    <cfRule type="expression" dxfId="2161" priority="128">
      <formula>MOD(ROW(),2)=0</formula>
    </cfRule>
  </conditionalFormatting>
  <conditionalFormatting sqref="E246">
    <cfRule type="expression" dxfId="2160" priority="127">
      <formula>MOD(ROW(),2)=0</formula>
    </cfRule>
  </conditionalFormatting>
  <conditionalFormatting sqref="E404">
    <cfRule type="expression" dxfId="2159" priority="126">
      <formula>MOD(ROW(),2)=0</formula>
    </cfRule>
  </conditionalFormatting>
  <conditionalFormatting sqref="E405">
    <cfRule type="expression" dxfId="2158" priority="125">
      <formula>MOD(ROW(),2)=0</formula>
    </cfRule>
  </conditionalFormatting>
  <conditionalFormatting sqref="G396:G397">
    <cfRule type="expression" dxfId="2157" priority="124">
      <formula>MOD(ROW(),2)=0</formula>
    </cfRule>
  </conditionalFormatting>
  <conditionalFormatting sqref="G221">
    <cfRule type="expression" dxfId="2156" priority="123">
      <formula>MOD(ROW(),2)=0</formula>
    </cfRule>
  </conditionalFormatting>
  <conditionalFormatting sqref="G242">
    <cfRule type="expression" dxfId="2155" priority="122">
      <formula>MOD(ROW(),2)=0</formula>
    </cfRule>
  </conditionalFormatting>
  <conditionalFormatting sqref="E244">
    <cfRule type="expression" dxfId="2154" priority="89">
      <formula>MOD(ROW(),2)=0</formula>
    </cfRule>
  </conditionalFormatting>
  <conditionalFormatting sqref="G72:G73">
    <cfRule type="expression" dxfId="2153" priority="106">
      <formula>MOD(ROW(),2)=0</formula>
    </cfRule>
  </conditionalFormatting>
  <conditionalFormatting sqref="G66:G67">
    <cfRule type="expression" dxfId="2152" priority="119">
      <formula>MOD(ROW(),2)=0</formula>
    </cfRule>
  </conditionalFormatting>
  <conditionalFormatting sqref="E221">
    <cfRule type="expression" dxfId="2150" priority="117">
      <formula>MOD(ROW(),2)=0</formula>
    </cfRule>
  </conditionalFormatting>
  <conditionalFormatting sqref="G243">
    <cfRule type="expression" dxfId="2149" priority="84">
      <formula>MOD(ROW(),2)=0</formula>
    </cfRule>
  </conditionalFormatting>
  <conditionalFormatting sqref="E242">
    <cfRule type="expression" dxfId="2147" priority="114">
      <formula>MOD(ROW(),2)=0</formula>
    </cfRule>
  </conditionalFormatting>
  <conditionalFormatting sqref="E397">
    <cfRule type="expression" dxfId="2146" priority="113">
      <formula>MOD(ROW(),2)=0</formula>
    </cfRule>
  </conditionalFormatting>
  <conditionalFormatting sqref="E396">
    <cfRule type="expression" dxfId="2145" priority="112">
      <formula>MOD(ROW(),2)=0</formula>
    </cfRule>
  </conditionalFormatting>
  <conditionalFormatting sqref="G402:G403">
    <cfRule type="expression" dxfId="2144" priority="111">
      <formula>MOD(ROW(),2)=0</formula>
    </cfRule>
  </conditionalFormatting>
  <conditionalFormatting sqref="G224">
    <cfRule type="expression" dxfId="2143" priority="110">
      <formula>MOD(ROW(),2)=0</formula>
    </cfRule>
  </conditionalFormatting>
  <conditionalFormatting sqref="G245">
    <cfRule type="expression" dxfId="2142" priority="109">
      <formula>MOD(ROW(),2)=0</formula>
    </cfRule>
  </conditionalFormatting>
  <conditionalFormatting sqref="E243">
    <cfRule type="expression" dxfId="2141" priority="76">
      <formula>MOD(ROW(),2)=0</formula>
    </cfRule>
  </conditionalFormatting>
  <conditionalFormatting sqref="E70:E71">
    <cfRule type="expression" dxfId="2140" priority="93">
      <formula>MOD(ROW(),2)=0</formula>
    </cfRule>
  </conditionalFormatting>
  <conditionalFormatting sqref="E224">
    <cfRule type="expression" dxfId="2138" priority="105">
      <formula>MOD(ROW(),2)=0</formula>
    </cfRule>
  </conditionalFormatting>
  <conditionalFormatting sqref="G220">
    <cfRule type="expression" dxfId="2137" priority="72">
      <formula>MOD(ROW(),2)=0</formula>
    </cfRule>
  </conditionalFormatting>
  <conditionalFormatting sqref="E245">
    <cfRule type="expression" dxfId="2135" priority="102">
      <formula>MOD(ROW(),2)=0</formula>
    </cfRule>
  </conditionalFormatting>
  <conditionalFormatting sqref="E403">
    <cfRule type="expression" dxfId="2133" priority="100">
      <formula>MOD(ROW(),2)=0</formula>
    </cfRule>
  </conditionalFormatting>
  <conditionalFormatting sqref="G400:G401">
    <cfRule type="expression" dxfId="2132" priority="99">
      <formula>MOD(ROW(),2)=0</formula>
    </cfRule>
  </conditionalFormatting>
  <conditionalFormatting sqref="G223">
    <cfRule type="expression" dxfId="2131" priority="98">
      <formula>MOD(ROW(),2)=0</formula>
    </cfRule>
  </conditionalFormatting>
  <conditionalFormatting sqref="G68:G69">
    <cfRule type="expression" dxfId="2128" priority="81">
      <formula>MOD(ROW(),2)=0</formula>
    </cfRule>
  </conditionalFormatting>
  <conditionalFormatting sqref="G70:G71">
    <cfRule type="expression" dxfId="2127" priority="94">
      <formula>MOD(ROW(),2)=0</formula>
    </cfRule>
  </conditionalFormatting>
  <conditionalFormatting sqref="E223">
    <cfRule type="expression" dxfId="2125" priority="92">
      <formula>MOD(ROW(),2)=0</formula>
    </cfRule>
  </conditionalFormatting>
  <conditionalFormatting sqref="G247">
    <cfRule type="expression" dxfId="2124" priority="59">
      <formula>MOD(ROW(),2)=0</formula>
    </cfRule>
  </conditionalFormatting>
  <conditionalFormatting sqref="E400">
    <cfRule type="expression" dxfId="2121" priority="88">
      <formula>MOD(ROW(),2)=0</formula>
    </cfRule>
  </conditionalFormatting>
  <conditionalFormatting sqref="E401">
    <cfRule type="expression" dxfId="2120" priority="87">
      <formula>MOD(ROW(),2)=0</formula>
    </cfRule>
  </conditionalFormatting>
  <conditionalFormatting sqref="G398:G399">
    <cfRule type="expression" dxfId="2119" priority="86">
      <formula>MOD(ROW(),2)=0</formula>
    </cfRule>
  </conditionalFormatting>
  <conditionalFormatting sqref="G222">
    <cfRule type="expression" dxfId="2118" priority="85">
      <formula>MOD(ROW(),2)=0</formula>
    </cfRule>
  </conditionalFormatting>
  <conditionalFormatting sqref="K388:K393">
    <cfRule type="expression" dxfId="2116" priority="51">
      <formula>MOD(ROW(),2)=0</formula>
    </cfRule>
  </conditionalFormatting>
  <conditionalFormatting sqref="G64:G65">
    <cfRule type="expression" dxfId="2115" priority="68">
      <formula>MOD(ROW(),2)=0</formula>
    </cfRule>
  </conditionalFormatting>
  <conditionalFormatting sqref="E68:E69">
    <cfRule type="expression" dxfId="2113" priority="80">
      <formula>MOD(ROW(),2)=0</formula>
    </cfRule>
  </conditionalFormatting>
  <conditionalFormatting sqref="E222">
    <cfRule type="expression" dxfId="2112" priority="79">
      <formula>MOD(ROW(),2)=0</formula>
    </cfRule>
  </conditionalFormatting>
  <conditionalFormatting sqref="F235:F240">
    <cfRule type="expression" dxfId="2111" priority="46">
      <formula>MOD(ROW(),2)=0</formula>
    </cfRule>
  </conditionalFormatting>
  <conditionalFormatting sqref="E241">
    <cfRule type="expression" dxfId="2110" priority="63">
      <formula>MOD(ROW(),2)=0</formula>
    </cfRule>
  </conditionalFormatting>
  <conditionalFormatting sqref="E398">
    <cfRule type="expression" dxfId="2108" priority="75">
      <formula>MOD(ROW(),2)=0</formula>
    </cfRule>
  </conditionalFormatting>
  <conditionalFormatting sqref="E399">
    <cfRule type="expression" dxfId="2107" priority="74">
      <formula>MOD(ROW(),2)=0</formula>
    </cfRule>
  </conditionalFormatting>
  <conditionalFormatting sqref="G394:G395">
    <cfRule type="expression" dxfId="2106" priority="73">
      <formula>MOD(ROW(),2)=0</formula>
    </cfRule>
  </conditionalFormatting>
  <conditionalFormatting sqref="G241">
    <cfRule type="expression" dxfId="2104" priority="71">
      <formula>MOD(ROW(),2)=0</formula>
    </cfRule>
  </conditionalFormatting>
  <conditionalFormatting sqref="G238">
    <cfRule type="expression" dxfId="2103" priority="38">
      <formula>MOD(ROW(),2)=0</formula>
    </cfRule>
  </conditionalFormatting>
  <conditionalFormatting sqref="G249">
    <cfRule type="expression" dxfId="2102" priority="55">
      <formula>MOD(ROW(),2)=0</formula>
    </cfRule>
  </conditionalFormatting>
  <conditionalFormatting sqref="E394:E395">
    <cfRule type="expression" dxfId="2100" priority="67">
      <formula>MOD(ROW(),2)=0</formula>
    </cfRule>
  </conditionalFormatting>
  <conditionalFormatting sqref="E220">
    <cfRule type="expression" dxfId="2099" priority="66">
      <formula>MOD(ROW(),2)=0</formula>
    </cfRule>
  </conditionalFormatting>
  <conditionalFormatting sqref="E235">
    <cfRule type="expression" dxfId="2098" priority="33">
      <formula>MOD(ROW(),2)=0</formula>
    </cfRule>
  </conditionalFormatting>
  <conditionalFormatting sqref="K247:K250">
    <cfRule type="expression" dxfId="2097" priority="50">
      <formula>MOD(ROW(),2)=0</formula>
    </cfRule>
  </conditionalFormatting>
  <conditionalFormatting sqref="E64">
    <cfRule type="expression" dxfId="2095" priority="62">
      <formula>MOD(ROW(),2)=0</formula>
    </cfRule>
  </conditionalFormatting>
  <conditionalFormatting sqref="E65">
    <cfRule type="expression" dxfId="2094" priority="61">
      <formula>MOD(ROW(),2)=0</formula>
    </cfRule>
  </conditionalFormatting>
  <conditionalFormatting sqref="G247">
    <cfRule type="expression" dxfId="2093" priority="57">
      <formula>MOD(ROW(),2)=0</formula>
    </cfRule>
  </conditionalFormatting>
  <conditionalFormatting sqref="G248">
    <cfRule type="expression" dxfId="2092" priority="56">
      <formula>MOD(ROW(),2)=0</formula>
    </cfRule>
  </conditionalFormatting>
  <conditionalFormatting sqref="G250">
    <cfRule type="expression" dxfId="2090" priority="54">
      <formula>MOD(ROW(),2)=0</formula>
    </cfRule>
  </conditionalFormatting>
  <conditionalFormatting sqref="G251:G252">
    <cfRule type="expression" dxfId="2089" priority="60">
      <formula>MOD(ROW(),2)=0</formula>
    </cfRule>
  </conditionalFormatting>
  <conditionalFormatting sqref="G248">
    <cfRule type="expression" dxfId="2087" priority="58">
      <formula>MOD(ROW(),2)=0</formula>
    </cfRule>
  </conditionalFormatting>
  <conditionalFormatting sqref="G388:G393">
    <cfRule type="expression" dxfId="2086" priority="53">
      <formula>MOD(ROW(),2)=0</formula>
    </cfRule>
  </conditionalFormatting>
  <conditionalFormatting sqref="J388:J393">
    <cfRule type="expression" dxfId="2085" priority="52">
      <formula>MOD(ROW(),2)=0</formula>
    </cfRule>
  </conditionalFormatting>
  <conditionalFormatting sqref="K251">
    <cfRule type="expression" dxfId="2082" priority="49">
      <formula>MOD(ROW(),2)=0</formula>
    </cfRule>
  </conditionalFormatting>
  <conditionalFormatting sqref="K252">
    <cfRule type="expression" dxfId="2081" priority="48">
      <formula>MOD(ROW(),2)=0</formula>
    </cfRule>
  </conditionalFormatting>
  <conditionalFormatting sqref="J247:J252">
    <cfRule type="expression" dxfId="2080" priority="47">
      <formula>MOD(ROW(),2)=0</formula>
    </cfRule>
  </conditionalFormatting>
  <conditionalFormatting sqref="D235:D240">
    <cfRule type="expression" dxfId="2078" priority="45">
      <formula>MOD(ROW(),2)=0</formula>
    </cfRule>
  </conditionalFormatting>
  <conditionalFormatting sqref="G240">
    <cfRule type="expression" dxfId="2077" priority="44">
      <formula>MOD(ROW(),2)=0</formula>
    </cfRule>
  </conditionalFormatting>
  <conditionalFormatting sqref="E240">
    <cfRule type="expression" dxfId="2076" priority="43">
      <formula>MOD(ROW(),2)=0</formula>
    </cfRule>
  </conditionalFormatting>
  <conditionalFormatting sqref="G236">
    <cfRule type="expression" dxfId="2075" priority="42">
      <formula>MOD(ROW(),2)=0</formula>
    </cfRule>
  </conditionalFormatting>
  <conditionalFormatting sqref="E236">
    <cfRule type="expression" dxfId="2074" priority="41">
      <formula>MOD(ROW(),2)=0</formula>
    </cfRule>
  </conditionalFormatting>
  <conditionalFormatting sqref="G239">
    <cfRule type="expression" dxfId="2073" priority="40">
      <formula>MOD(ROW(),2)=0</formula>
    </cfRule>
  </conditionalFormatting>
  <conditionalFormatting sqref="E239">
    <cfRule type="expression" dxfId="2072" priority="39">
      <formula>MOD(ROW(),2)=0</formula>
    </cfRule>
  </conditionalFormatting>
  <conditionalFormatting sqref="E238">
    <cfRule type="expression" dxfId="2070" priority="37">
      <formula>MOD(ROW(),2)=0</formula>
    </cfRule>
  </conditionalFormatting>
  <conditionalFormatting sqref="G237">
    <cfRule type="expression" dxfId="2069" priority="36">
      <formula>MOD(ROW(),2)=0</formula>
    </cfRule>
  </conditionalFormatting>
  <conditionalFormatting sqref="E237">
    <cfRule type="expression" dxfId="2068" priority="35">
      <formula>MOD(ROW(),2)=0</formula>
    </cfRule>
  </conditionalFormatting>
  <conditionalFormatting sqref="G235">
    <cfRule type="expression" dxfId="2067" priority="34">
      <formula>MOD(ROW(),2)=0</formula>
    </cfRule>
  </conditionalFormatting>
  <conditionalFormatting sqref="F229:F230">
    <cfRule type="expression" dxfId="2065" priority="32">
      <formula>MOD(ROW(),2)=0</formula>
    </cfRule>
  </conditionalFormatting>
  <conditionalFormatting sqref="D229:D234">
    <cfRule type="expression" dxfId="2064" priority="31">
      <formula>MOD(ROW(),2)=0</formula>
    </cfRule>
  </conditionalFormatting>
  <conditionalFormatting sqref="F231">
    <cfRule type="expression" dxfId="2063" priority="28">
      <formula>MOD(ROW(),2)=0</formula>
    </cfRule>
  </conditionalFormatting>
  <conditionalFormatting sqref="F232">
    <cfRule type="expression" dxfId="2062" priority="27">
      <formula>MOD(ROW(),2)=0</formula>
    </cfRule>
  </conditionalFormatting>
  <conditionalFormatting sqref="F233">
    <cfRule type="expression" dxfId="2061" priority="30">
      <formula>MOD(ROW(),2)=0</formula>
    </cfRule>
  </conditionalFormatting>
  <conditionalFormatting sqref="F234">
    <cfRule type="expression" dxfId="2060" priority="29">
      <formula>MOD(ROW(),2)=0</formula>
    </cfRule>
  </conditionalFormatting>
  <conditionalFormatting sqref="G234">
    <cfRule type="expression" dxfId="2059" priority="26">
      <formula>MOD(ROW(),2)=0</formula>
    </cfRule>
  </conditionalFormatting>
  <conditionalFormatting sqref="E234">
    <cfRule type="expression" dxfId="2058" priority="25">
      <formula>MOD(ROW(),2)=0</formula>
    </cfRule>
  </conditionalFormatting>
  <conditionalFormatting sqref="G230">
    <cfRule type="expression" dxfId="2057" priority="24">
      <formula>MOD(ROW(),2)=0</formula>
    </cfRule>
  </conditionalFormatting>
  <conditionalFormatting sqref="E230">
    <cfRule type="expression" dxfId="2056" priority="23">
      <formula>MOD(ROW(),2)=0</formula>
    </cfRule>
  </conditionalFormatting>
  <conditionalFormatting sqref="G233">
    <cfRule type="expression" dxfId="2055" priority="22">
      <formula>MOD(ROW(),2)=0</formula>
    </cfRule>
  </conditionalFormatting>
  <conditionalFormatting sqref="E233">
    <cfRule type="expression" dxfId="2054" priority="21">
      <formula>MOD(ROW(),2)=0</formula>
    </cfRule>
  </conditionalFormatting>
  <conditionalFormatting sqref="G232">
    <cfRule type="expression" dxfId="2053" priority="20">
      <formula>MOD(ROW(),2)=0</formula>
    </cfRule>
  </conditionalFormatting>
  <conditionalFormatting sqref="E232">
    <cfRule type="expression" dxfId="2052" priority="19">
      <formula>MOD(ROW(),2)=0</formula>
    </cfRule>
  </conditionalFormatting>
  <conditionalFormatting sqref="G231">
    <cfRule type="expression" dxfId="2051" priority="18">
      <formula>MOD(ROW(),2)=0</formula>
    </cfRule>
  </conditionalFormatting>
  <conditionalFormatting sqref="E231">
    <cfRule type="expression" dxfId="2050" priority="17">
      <formula>MOD(ROW(),2)=0</formula>
    </cfRule>
  </conditionalFormatting>
  <conditionalFormatting sqref="G229">
    <cfRule type="expression" dxfId="2049" priority="16">
      <formula>MOD(ROW(),2)=0</formula>
    </cfRule>
  </conditionalFormatting>
  <conditionalFormatting sqref="E229">
    <cfRule type="expression" dxfId="2048" priority="15">
      <formula>MOD(ROW(),2)=0</formula>
    </cfRule>
  </conditionalFormatting>
  <hyperlinks>
    <hyperlink ref="AN6" location="'0'!A1" tooltip="X stave 0, Front" display="'0'!A1" xr:uid="{00000000-0004-0000-0800-000000000000}"/>
    <hyperlink ref="AN7:AN10" location="'0'!A1" tooltip="X stave 0, Front" display="'0'!A1" xr:uid="{00000000-0004-0000-0800-000001000000}"/>
    <hyperlink ref="AJ6" location="'0'!A1" tooltip="X stave 0, Front" display="'0'!A1" xr:uid="{00000000-0004-0000-0800-000002000000}"/>
    <hyperlink ref="AJ7:AJ10" location="'0'!A1" tooltip="X stave 0, Front" display="'0'!A1" xr:uid="{00000000-0004-0000-0800-000003000000}"/>
    <hyperlink ref="AH6" location="'0'!A1" tooltip="X stave 0, Front" display="'0'!A1" xr:uid="{00000000-0004-0000-0800-000004000000}"/>
    <hyperlink ref="AH7:AH10" location="'0'!A1" tooltip="X stave 0, Front" display="'0'!A1" xr:uid="{00000000-0004-0000-0800-000005000000}"/>
    <hyperlink ref="AJ6:AJ10" location="'2'!A1" tooltip="DCB 2" display="'2'!A1" xr:uid="{00000000-0004-0000-0800-000006000000}"/>
    <hyperlink ref="AN6:AN10" location="'0'!A1" tooltip="DCB 0" display="'0'!A1" xr:uid="{00000000-0004-0000-0800-000007000000}"/>
    <hyperlink ref="AL6" location="'0'!A1" tooltip="X stave 0, Front" display="'0'!A1" xr:uid="{00000000-0004-0000-0800-000008000000}"/>
    <hyperlink ref="AL7:AL10" location="'0'!A1" tooltip="X stave 0, Front" display="'0'!A1" xr:uid="{00000000-0004-0000-0800-000009000000}"/>
    <hyperlink ref="AL6:AL10" location="'1'!A1" tooltip="DCB 1" display="'1'!A1" xr:uid="{00000000-0004-0000-0800-00000A000000}"/>
    <hyperlink ref="AH6:AH10" location="'3'!A1" display="'3'!A1" xr:uid="{00000000-0004-0000-0800-00000B000000}"/>
    <hyperlink ref="AF6" location="'0'!A1" tooltip="X stave 0, Front" display="'0'!A1" xr:uid="{00000000-0004-0000-0800-00000C000000}"/>
    <hyperlink ref="AF7:AF10" location="'0'!A1" tooltip="X stave 0, Front" display="'0'!A1" xr:uid="{00000000-0004-0000-0800-00000D000000}"/>
    <hyperlink ref="AF6:AF10" location="'4'!A1" display="'4'!A1" xr:uid="{00000000-0004-0000-0800-00000E000000}"/>
    <hyperlink ref="AD6" location="'0'!A1" tooltip="X stave 0, Front" display="'0'!A1" xr:uid="{00000000-0004-0000-0800-00000F000000}"/>
    <hyperlink ref="AD7:AD10" location="'0'!A1" tooltip="X stave 0, Front" display="'0'!A1" xr:uid="{00000000-0004-0000-0800-000010000000}"/>
    <hyperlink ref="AD6:AD10" location="'5'!A1" display="'5'!A1" xr:uid="{00000000-0004-0000-0800-000011000000}"/>
    <hyperlink ref="AB6" location="'0'!A1" tooltip="X stave 0, Front" display="'0'!A1" xr:uid="{00000000-0004-0000-0800-000012000000}"/>
    <hyperlink ref="AB7:AB10" location="'0'!A1" tooltip="X stave 0, Front" display="'0'!A1" xr:uid="{00000000-0004-0000-0800-000013000000}"/>
    <hyperlink ref="AB6:AB10" location="'6'!A1" display="'6'!A1" xr:uid="{00000000-0004-0000-0800-000014000000}"/>
    <hyperlink ref="Z6" location="'0'!A1" tooltip="X stave 0, Front" display="'0'!A1" xr:uid="{00000000-0004-0000-0800-000015000000}"/>
    <hyperlink ref="Z7:Z10" location="'0'!A1" tooltip="X stave 0, Front" display="'0'!A1" xr:uid="{00000000-0004-0000-0800-000016000000}"/>
    <hyperlink ref="Z6:Z10" location="'7'!A1" display="'7'!A1" xr:uid="{00000000-0004-0000-0800-000017000000}"/>
    <hyperlink ref="X6" location="'0'!A1" tooltip="X stave 0, Front" display="'0'!A1" xr:uid="{00000000-0004-0000-0800-000018000000}"/>
    <hyperlink ref="X7:X10" location="'0'!A1" tooltip="X stave 0, Front" display="'0'!A1" xr:uid="{00000000-0004-0000-0800-000019000000}"/>
    <hyperlink ref="X6:X10" location="'8'!A1" display="'8'!A1" xr:uid="{00000000-0004-0000-0800-00001A000000}"/>
    <hyperlink ref="V6" location="'0'!A1" tooltip="X stave 0, Front" display="'0'!A1" xr:uid="{00000000-0004-0000-0800-00001B000000}"/>
    <hyperlink ref="V7:V10" location="'0'!A1" tooltip="X stave 0, Front" display="'0'!A1" xr:uid="{00000000-0004-0000-0800-00001C000000}"/>
    <hyperlink ref="V6:V10" location="'9'!A1" display="'9'!A1" xr:uid="{00000000-0004-0000-0800-00001D000000}"/>
    <hyperlink ref="T6" location="'0'!A1" tooltip="X stave 0, Front" display="'0'!A1" xr:uid="{00000000-0004-0000-0800-00001E000000}"/>
    <hyperlink ref="T7:T10" location="'0'!A1" tooltip="X stave 0, Front" display="'0'!A1" xr:uid="{00000000-0004-0000-0800-00001F000000}"/>
    <hyperlink ref="T6:T10" location="'10'!A1" display="'10'!A1" xr:uid="{00000000-0004-0000-0800-000020000000}"/>
    <hyperlink ref="R6" location="'0'!A1" tooltip="X stave 0, Front" display="'0'!A1" xr:uid="{00000000-0004-0000-0800-000021000000}"/>
    <hyperlink ref="R7:R10" location="'0'!A1" tooltip="X stave 0, Front" display="'0'!A1" xr:uid="{00000000-0004-0000-0800-000022000000}"/>
    <hyperlink ref="R6:R10" location="'11'!A1" display="'11'!A1" xr:uid="{00000000-0004-0000-0800-000023000000}"/>
  </hyperlinks>
  <pageMargins left="0.75" right="0.75" top="1" bottom="1" header="0.5" footer="0.5"/>
  <pageSetup orientation="portrait" horizontalDpi="4294967292" verticalDpi="429496729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B1:AV506"/>
  <sheetViews>
    <sheetView zoomScale="85" zoomScaleNormal="85" workbookViewId="0">
      <selection activeCell="Z7" sqref="Z7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453</v>
      </c>
      <c r="E2" s="511"/>
      <c r="F2" s="511"/>
      <c r="G2" s="512" t="s">
        <v>699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348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349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41">
        <v>0</v>
      </c>
      <c r="AA6" s="166"/>
      <c r="AB6" s="241">
        <v>0</v>
      </c>
      <c r="AC6" s="166"/>
      <c r="AD6" s="241">
        <v>0</v>
      </c>
      <c r="AE6" s="166"/>
      <c r="AF6" s="345">
        <v>0</v>
      </c>
      <c r="AG6" s="166"/>
      <c r="AH6" s="238">
        <v>0</v>
      </c>
      <c r="AI6" s="166"/>
      <c r="AJ6" s="238">
        <v>0</v>
      </c>
      <c r="AK6" s="166"/>
      <c r="AL6" s="345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42">
        <v>0</v>
      </c>
      <c r="AA7" s="166"/>
      <c r="AB7" s="242">
        <v>0</v>
      </c>
      <c r="AC7" s="166"/>
      <c r="AD7" s="242">
        <v>0</v>
      </c>
      <c r="AE7" s="166"/>
      <c r="AF7" s="346">
        <v>0</v>
      </c>
      <c r="AG7" s="166"/>
      <c r="AH7" s="239">
        <v>0</v>
      </c>
      <c r="AI7" s="166"/>
      <c r="AJ7" s="239">
        <v>0</v>
      </c>
      <c r="AK7" s="166"/>
      <c r="AL7" s="346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42">
        <v>0</v>
      </c>
      <c r="AA8" s="166"/>
      <c r="AB8" s="242">
        <v>0</v>
      </c>
      <c r="AC8" s="166"/>
      <c r="AD8" s="242">
        <v>0</v>
      </c>
      <c r="AE8" s="166"/>
      <c r="AF8" s="346">
        <v>0</v>
      </c>
      <c r="AG8" s="166"/>
      <c r="AH8" s="239">
        <v>0</v>
      </c>
      <c r="AI8" s="166"/>
      <c r="AJ8" s="239">
        <v>0</v>
      </c>
      <c r="AK8" s="166"/>
      <c r="AL8" s="346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42">
        <v>0</v>
      </c>
      <c r="AA9" s="166"/>
      <c r="AB9" s="242">
        <v>0</v>
      </c>
      <c r="AC9" s="166"/>
      <c r="AD9" s="242">
        <v>0</v>
      </c>
      <c r="AE9" s="166"/>
      <c r="AF9" s="346">
        <v>0</v>
      </c>
      <c r="AG9" s="166"/>
      <c r="AH9" s="239">
        <v>0</v>
      </c>
      <c r="AI9" s="166"/>
      <c r="AJ9" s="239">
        <v>0</v>
      </c>
      <c r="AK9" s="166"/>
      <c r="AL9" s="346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3">
        <v>0</v>
      </c>
      <c r="AA10" s="166"/>
      <c r="AB10" s="243">
        <v>0</v>
      </c>
      <c r="AC10" s="166"/>
      <c r="AD10" s="243">
        <v>0</v>
      </c>
      <c r="AE10" s="166"/>
      <c r="AF10" s="347">
        <v>0</v>
      </c>
      <c r="AG10" s="166"/>
      <c r="AH10" s="240">
        <v>0</v>
      </c>
      <c r="AI10" s="166"/>
      <c r="AJ10" s="240">
        <v>0</v>
      </c>
      <c r="AK10" s="166"/>
      <c r="AL10" s="347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267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8"/>
      <c r="AA17" s="19"/>
      <c r="AB17" s="509"/>
      <c r="AC17" s="19"/>
      <c r="AD17" s="509"/>
      <c r="AE17" s="19"/>
      <c r="AF17" s="508"/>
      <c r="AG17" s="15"/>
      <c r="AH17" s="508"/>
      <c r="AI17" s="19"/>
      <c r="AJ17" s="508"/>
      <c r="AK17" s="19"/>
      <c r="AL17" s="508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6"/>
      <c r="Q18" s="19"/>
      <c r="R18" s="356"/>
      <c r="S18" s="19"/>
      <c r="T18" s="356"/>
      <c r="U18" s="19"/>
      <c r="V18" s="356"/>
      <c r="W18" s="19"/>
      <c r="X18" s="356"/>
      <c r="Y18" s="19"/>
      <c r="Z18" s="356"/>
      <c r="AA18" s="19"/>
      <c r="AB18" s="510"/>
      <c r="AC18" s="19"/>
      <c r="AD18" s="510"/>
      <c r="AE18" s="19"/>
      <c r="AF18" s="356"/>
      <c r="AG18" s="19"/>
      <c r="AH18" s="356"/>
      <c r="AI18" s="19"/>
      <c r="AJ18" s="356"/>
      <c r="AK18" s="19"/>
      <c r="AL18" s="356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7">
        <v>11</v>
      </c>
      <c r="Q19" s="357"/>
      <c r="R19" s="357">
        <v>10</v>
      </c>
      <c r="S19" s="357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978</v>
      </c>
      <c r="F61" s="5"/>
      <c r="G61" s="5" t="s">
        <v>990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996</v>
      </c>
      <c r="F66" s="271"/>
      <c r="G66" s="276" t="s">
        <v>39</v>
      </c>
      <c r="H66" s="276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996</v>
      </c>
      <c r="F67" s="271"/>
      <c r="G67" s="276" t="s">
        <v>38</v>
      </c>
      <c r="H67" s="276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997</v>
      </c>
      <c r="F68" s="271"/>
      <c r="G68" s="270" t="s">
        <v>168</v>
      </c>
      <c r="H68" s="270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997</v>
      </c>
      <c r="F69" s="271"/>
      <c r="G69" s="270" t="s">
        <v>169</v>
      </c>
      <c r="H69" s="270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996</v>
      </c>
      <c r="F70" s="271"/>
      <c r="G70" s="272" t="s">
        <v>961</v>
      </c>
      <c r="H70" s="272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996</v>
      </c>
      <c r="F71" s="271"/>
      <c r="G71" s="272" t="s">
        <v>962</v>
      </c>
      <c r="H71" s="272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996</v>
      </c>
      <c r="F74" s="13"/>
      <c r="G74" s="270" t="s">
        <v>168</v>
      </c>
      <c r="H74" s="270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996</v>
      </c>
      <c r="F75" s="13"/>
      <c r="G75" s="270" t="s">
        <v>169</v>
      </c>
      <c r="H75" s="270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909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909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909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909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996</v>
      </c>
      <c r="F80" s="271"/>
      <c r="G80" s="270" t="s">
        <v>188</v>
      </c>
      <c r="H80" s="235" t="s">
        <v>909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996</v>
      </c>
      <c r="F81" s="271"/>
      <c r="G81" s="270" t="s">
        <v>189</v>
      </c>
      <c r="H81" s="235" t="s">
        <v>909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996</v>
      </c>
      <c r="F82" s="271"/>
      <c r="G82" s="270" t="s">
        <v>178</v>
      </c>
      <c r="H82" s="235" t="s">
        <v>909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996</v>
      </c>
      <c r="F83" s="271"/>
      <c r="G83" s="270" t="s">
        <v>179</v>
      </c>
      <c r="H83" s="235" t="s">
        <v>909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4" t="s">
        <v>996</v>
      </c>
      <c r="F84" s="271"/>
      <c r="G84" s="276" t="s">
        <v>216</v>
      </c>
      <c r="H84" s="235" t="s">
        <v>909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4" t="s">
        <v>996</v>
      </c>
      <c r="F85" s="271"/>
      <c r="G85" s="276" t="s">
        <v>217</v>
      </c>
      <c r="H85" s="235" t="s">
        <v>909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996</v>
      </c>
      <c r="F86" s="271"/>
      <c r="G86" s="276" t="s">
        <v>206</v>
      </c>
      <c r="H86" s="235" t="s">
        <v>909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996</v>
      </c>
      <c r="F87" s="271"/>
      <c r="G87" s="276" t="s">
        <v>207</v>
      </c>
      <c r="H87" s="235" t="s">
        <v>909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996</v>
      </c>
      <c r="F88" s="274"/>
      <c r="G88" s="270" t="s">
        <v>196</v>
      </c>
      <c r="H88" s="235" t="s">
        <v>909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996</v>
      </c>
      <c r="F89" s="274"/>
      <c r="G89" s="270" t="s">
        <v>197</v>
      </c>
      <c r="H89" s="235" t="s">
        <v>909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996</v>
      </c>
      <c r="F90" s="271"/>
      <c r="G90" s="270" t="s">
        <v>186</v>
      </c>
      <c r="H90" s="235" t="s">
        <v>909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996</v>
      </c>
      <c r="F91" s="271"/>
      <c r="G91" s="270" t="s">
        <v>187</v>
      </c>
      <c r="H91" s="235" t="s">
        <v>909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996</v>
      </c>
      <c r="F92" s="342"/>
      <c r="G92" s="270" t="s">
        <v>176</v>
      </c>
      <c r="H92" s="235" t="s">
        <v>909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996</v>
      </c>
      <c r="F93" s="271"/>
      <c r="G93" s="270" t="s">
        <v>177</v>
      </c>
      <c r="H93" s="235" t="s">
        <v>909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4" t="s">
        <v>996</v>
      </c>
      <c r="F94" s="271"/>
      <c r="G94" s="276" t="s">
        <v>218</v>
      </c>
      <c r="H94" s="235" t="s">
        <v>909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4" t="s">
        <v>996</v>
      </c>
      <c r="F95" s="271"/>
      <c r="G95" s="276" t="s">
        <v>219</v>
      </c>
      <c r="H95" s="235" t="s">
        <v>909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996</v>
      </c>
      <c r="F96" s="274"/>
      <c r="G96" s="276" t="s">
        <v>208</v>
      </c>
      <c r="H96" s="235" t="s">
        <v>909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996</v>
      </c>
      <c r="F97" s="274"/>
      <c r="G97" s="276" t="s">
        <v>209</v>
      </c>
      <c r="H97" s="235" t="s">
        <v>909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996</v>
      </c>
      <c r="F98" s="271"/>
      <c r="G98" s="270" t="s">
        <v>198</v>
      </c>
      <c r="H98" s="235" t="s">
        <v>909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996</v>
      </c>
      <c r="F99" s="271"/>
      <c r="G99" s="270" t="s">
        <v>199</v>
      </c>
      <c r="H99" s="235" t="s">
        <v>909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996</v>
      </c>
      <c r="F100" s="184"/>
      <c r="G100" s="272" t="s">
        <v>16</v>
      </c>
      <c r="H100" s="340" t="s">
        <v>910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996</v>
      </c>
      <c r="F101" s="184"/>
      <c r="G101" s="272" t="s">
        <v>17</v>
      </c>
      <c r="H101" s="235" t="s">
        <v>910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996</v>
      </c>
      <c r="F102" s="184"/>
      <c r="G102" s="272" t="s">
        <v>18</v>
      </c>
      <c r="H102" s="235" t="s">
        <v>910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996</v>
      </c>
      <c r="F103" s="184"/>
      <c r="G103" s="272" t="s">
        <v>19</v>
      </c>
      <c r="H103" s="235" t="s">
        <v>910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996</v>
      </c>
      <c r="F104" s="13"/>
      <c r="G104" s="272" t="s">
        <v>310</v>
      </c>
      <c r="H104" s="235" t="s">
        <v>910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996</v>
      </c>
      <c r="F105" s="13"/>
      <c r="G105" s="272" t="s">
        <v>311</v>
      </c>
      <c r="H105" s="235" t="s">
        <v>910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996</v>
      </c>
      <c r="F106" s="13"/>
      <c r="G106" s="272" t="s">
        <v>317</v>
      </c>
      <c r="H106" s="235" t="s">
        <v>910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996</v>
      </c>
      <c r="F107" s="13"/>
      <c r="G107" s="272" t="s">
        <v>318</v>
      </c>
      <c r="H107" s="235" t="s">
        <v>910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996</v>
      </c>
      <c r="F108" s="13"/>
      <c r="G108" s="272" t="s">
        <v>4</v>
      </c>
      <c r="H108" s="235" t="s">
        <v>910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996</v>
      </c>
      <c r="F109" s="13"/>
      <c r="G109" s="272" t="s">
        <v>5</v>
      </c>
      <c r="H109" s="235" t="s">
        <v>910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996</v>
      </c>
      <c r="F110" s="13"/>
      <c r="G110" s="272" t="s">
        <v>329</v>
      </c>
      <c r="H110" s="235" t="s">
        <v>910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996</v>
      </c>
      <c r="F111" s="13"/>
      <c r="G111" s="272" t="s">
        <v>328</v>
      </c>
      <c r="H111" s="235" t="s">
        <v>910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996</v>
      </c>
      <c r="F112" s="13"/>
      <c r="G112" s="272" t="s">
        <v>331</v>
      </c>
      <c r="H112" s="235" t="s">
        <v>910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996</v>
      </c>
      <c r="F113" s="13"/>
      <c r="G113" s="272" t="s">
        <v>330</v>
      </c>
      <c r="H113" s="235" t="s">
        <v>910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996</v>
      </c>
      <c r="F114" s="184"/>
      <c r="G114" s="272" t="s">
        <v>335</v>
      </c>
      <c r="H114" s="235" t="s">
        <v>910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996</v>
      </c>
      <c r="F115" s="184"/>
      <c r="G115" s="272" t="s">
        <v>334</v>
      </c>
      <c r="H115" s="235" t="s">
        <v>910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996</v>
      </c>
      <c r="F116" s="184"/>
      <c r="G116" s="272" t="s">
        <v>303</v>
      </c>
      <c r="H116" s="235" t="s">
        <v>910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996</v>
      </c>
      <c r="F117" s="184"/>
      <c r="G117" s="272" t="s">
        <v>294</v>
      </c>
      <c r="H117" s="235" t="s">
        <v>910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996</v>
      </c>
      <c r="F118" s="13"/>
      <c r="G118" s="272" t="s">
        <v>304</v>
      </c>
      <c r="H118" s="235" t="s">
        <v>910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996</v>
      </c>
      <c r="F119" s="13"/>
      <c r="G119" s="272" t="s">
        <v>295</v>
      </c>
      <c r="H119" s="235" t="s">
        <v>910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996</v>
      </c>
      <c r="F120" s="13"/>
      <c r="G120" s="272" t="s">
        <v>313</v>
      </c>
      <c r="H120" s="235" t="s">
        <v>910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996</v>
      </c>
      <c r="F121" s="13"/>
      <c r="G121" s="272" t="s">
        <v>320</v>
      </c>
      <c r="H121" s="235" t="s">
        <v>910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996</v>
      </c>
      <c r="F122" s="13"/>
      <c r="G122" s="272" t="s">
        <v>301</v>
      </c>
      <c r="H122" s="235" t="s">
        <v>910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996</v>
      </c>
      <c r="F123" s="13"/>
      <c r="G123" s="272" t="s">
        <v>302</v>
      </c>
      <c r="H123" s="235" t="s">
        <v>910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997</v>
      </c>
      <c r="F124" s="274"/>
      <c r="G124" s="270" t="s">
        <v>137</v>
      </c>
      <c r="H124" s="340" t="s">
        <v>911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997</v>
      </c>
      <c r="F125" s="274"/>
      <c r="G125" s="270" t="s">
        <v>136</v>
      </c>
      <c r="H125" s="235" t="s">
        <v>911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997</v>
      </c>
      <c r="F126" s="274"/>
      <c r="G126" s="270" t="s">
        <v>118</v>
      </c>
      <c r="H126" s="235" t="s">
        <v>911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997</v>
      </c>
      <c r="F127" s="274"/>
      <c r="G127" s="270" t="s">
        <v>119</v>
      </c>
      <c r="H127" s="235" t="s">
        <v>911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997</v>
      </c>
      <c r="F128" s="271"/>
      <c r="G128" s="270" t="s">
        <v>188</v>
      </c>
      <c r="H128" s="235" t="s">
        <v>911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997</v>
      </c>
      <c r="F129" s="271"/>
      <c r="G129" s="270" t="s">
        <v>189</v>
      </c>
      <c r="H129" s="235" t="s">
        <v>911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997</v>
      </c>
      <c r="F130" s="271"/>
      <c r="G130" s="270" t="s">
        <v>178</v>
      </c>
      <c r="H130" s="235" t="s">
        <v>911</v>
      </c>
      <c r="I130" s="13"/>
      <c r="J130" s="13"/>
      <c r="K130" s="16"/>
    </row>
    <row r="131" spans="2:11" ht="16.2" thickBot="1">
      <c r="B131" s="26">
        <v>126</v>
      </c>
      <c r="C131" s="228" t="s">
        <v>233</v>
      </c>
      <c r="D131" s="229" t="s">
        <v>620</v>
      </c>
      <c r="E131" s="271" t="s">
        <v>997</v>
      </c>
      <c r="F131" s="271"/>
      <c r="G131" s="270" t="s">
        <v>179</v>
      </c>
      <c r="H131" s="235" t="s">
        <v>911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997</v>
      </c>
      <c r="F132" s="271"/>
      <c r="G132" s="337" t="s">
        <v>110</v>
      </c>
      <c r="H132" s="235" t="s">
        <v>911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997</v>
      </c>
      <c r="F133" s="271"/>
      <c r="G133" s="270" t="s">
        <v>111</v>
      </c>
      <c r="H133" s="235" t="s">
        <v>911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997</v>
      </c>
      <c r="F134" s="271"/>
      <c r="G134" s="270" t="s">
        <v>128</v>
      </c>
      <c r="H134" s="235" t="s">
        <v>911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997</v>
      </c>
      <c r="F135" s="271"/>
      <c r="G135" s="270" t="s">
        <v>129</v>
      </c>
      <c r="H135" s="235" t="s">
        <v>911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997</v>
      </c>
      <c r="F136" s="271"/>
      <c r="G136" s="270" t="s">
        <v>121</v>
      </c>
      <c r="H136" s="235" t="s">
        <v>911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997</v>
      </c>
      <c r="F137" s="271"/>
      <c r="G137" s="270" t="s">
        <v>120</v>
      </c>
      <c r="H137" s="235" t="s">
        <v>911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997</v>
      </c>
      <c r="F138" s="274"/>
      <c r="G138" s="270" t="s">
        <v>108</v>
      </c>
      <c r="H138" s="235" t="s">
        <v>911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997</v>
      </c>
      <c r="F139" s="274"/>
      <c r="G139" s="270" t="s">
        <v>109</v>
      </c>
      <c r="H139" s="235" t="s">
        <v>911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997</v>
      </c>
      <c r="F140" s="274"/>
      <c r="G140" s="270" t="s">
        <v>196</v>
      </c>
      <c r="H140" s="235" t="s">
        <v>911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997</v>
      </c>
      <c r="F141" s="274"/>
      <c r="G141" s="270" t="s">
        <v>197</v>
      </c>
      <c r="H141" s="235" t="s">
        <v>911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997</v>
      </c>
      <c r="F142" s="271"/>
      <c r="G142" s="270" t="s">
        <v>186</v>
      </c>
      <c r="H142" s="235" t="s">
        <v>911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997</v>
      </c>
      <c r="F143" s="271"/>
      <c r="G143" s="270" t="s">
        <v>187</v>
      </c>
      <c r="H143" s="235" t="s">
        <v>911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997</v>
      </c>
      <c r="F144" s="271"/>
      <c r="G144" s="270" t="s">
        <v>176</v>
      </c>
      <c r="H144" s="235" t="s">
        <v>911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997</v>
      </c>
      <c r="F145" s="271"/>
      <c r="G145" s="270" t="s">
        <v>177</v>
      </c>
      <c r="H145" s="235" t="s">
        <v>911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997</v>
      </c>
      <c r="F146" s="271"/>
      <c r="G146" s="270" t="s">
        <v>198</v>
      </c>
      <c r="H146" s="235" t="s">
        <v>911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997</v>
      </c>
      <c r="F147" s="271"/>
      <c r="G147" s="270" t="s">
        <v>199</v>
      </c>
      <c r="H147" s="235" t="s">
        <v>911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912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912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84"/>
      <c r="F150" s="13"/>
      <c r="G150" s="13"/>
      <c r="H150" s="235" t="s">
        <v>912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84"/>
      <c r="F151" s="13"/>
      <c r="G151" s="13"/>
      <c r="H151" s="235" t="s">
        <v>912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996</v>
      </c>
      <c r="F152" s="13"/>
      <c r="G152" s="276" t="s">
        <v>316</v>
      </c>
      <c r="H152" s="235" t="s">
        <v>912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996</v>
      </c>
      <c r="F153" s="13"/>
      <c r="G153" s="276" t="s">
        <v>323</v>
      </c>
      <c r="H153" s="235" t="s">
        <v>912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996</v>
      </c>
      <c r="F154" s="13"/>
      <c r="G154" s="276" t="s">
        <v>327</v>
      </c>
      <c r="H154" s="235" t="s">
        <v>912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996</v>
      </c>
      <c r="F155" s="13"/>
      <c r="G155" s="276" t="s">
        <v>326</v>
      </c>
      <c r="H155" s="235" t="s">
        <v>912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 t="s">
        <v>996</v>
      </c>
      <c r="F156" s="13"/>
      <c r="G156" s="276" t="s">
        <v>296</v>
      </c>
      <c r="H156" s="235" t="s">
        <v>912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 t="s">
        <v>996</v>
      </c>
      <c r="F157" s="13"/>
      <c r="G157" s="276" t="s">
        <v>305</v>
      </c>
      <c r="H157" s="235" t="s">
        <v>912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996</v>
      </c>
      <c r="F158" s="13"/>
      <c r="G158" s="276" t="s">
        <v>297</v>
      </c>
      <c r="H158" s="235" t="s">
        <v>912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996</v>
      </c>
      <c r="F159" s="13"/>
      <c r="G159" s="276" t="s">
        <v>306</v>
      </c>
      <c r="H159" s="235" t="s">
        <v>912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996</v>
      </c>
      <c r="F160" s="184"/>
      <c r="G160" s="276" t="s">
        <v>300</v>
      </c>
      <c r="H160" s="235" t="s">
        <v>912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996</v>
      </c>
      <c r="F161" s="184"/>
      <c r="G161" s="276" t="s">
        <v>299</v>
      </c>
      <c r="H161" s="235" t="s">
        <v>912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996</v>
      </c>
      <c r="F162" s="184"/>
      <c r="G162" s="276" t="s">
        <v>307</v>
      </c>
      <c r="H162" s="235" t="s">
        <v>912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996</v>
      </c>
      <c r="F163" s="184"/>
      <c r="G163" s="276" t="s">
        <v>298</v>
      </c>
      <c r="H163" s="235" t="s">
        <v>912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996</v>
      </c>
      <c r="F164" s="184"/>
      <c r="G164" s="276" t="s">
        <v>322</v>
      </c>
      <c r="H164" s="235" t="s">
        <v>912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996</v>
      </c>
      <c r="F165" s="184"/>
      <c r="G165" s="276" t="s">
        <v>315</v>
      </c>
      <c r="H165" s="235" t="s">
        <v>912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 t="s">
        <v>996</v>
      </c>
      <c r="F166" s="184"/>
      <c r="G166" s="276" t="s">
        <v>314</v>
      </c>
      <c r="H166" s="235" t="s">
        <v>912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 t="s">
        <v>996</v>
      </c>
      <c r="F167" s="184"/>
      <c r="G167" s="276" t="s">
        <v>321</v>
      </c>
      <c r="H167" s="235" t="s">
        <v>912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996</v>
      </c>
      <c r="F168" s="13"/>
      <c r="G168" s="276" t="s">
        <v>308</v>
      </c>
      <c r="H168" s="235" t="s">
        <v>912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996</v>
      </c>
      <c r="F169" s="13"/>
      <c r="G169" s="276" t="s">
        <v>309</v>
      </c>
      <c r="H169" s="235" t="s">
        <v>912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996</v>
      </c>
      <c r="F170" s="13"/>
      <c r="G170" s="276" t="s">
        <v>324</v>
      </c>
      <c r="H170" s="235" t="s">
        <v>912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996</v>
      </c>
      <c r="F171" s="13"/>
      <c r="G171" s="276" t="s">
        <v>325</v>
      </c>
      <c r="H171" s="235" t="s">
        <v>912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913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913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913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913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996</v>
      </c>
      <c r="F176" s="13"/>
      <c r="G176" s="276" t="s">
        <v>50</v>
      </c>
      <c r="H176" s="235" t="s">
        <v>913</v>
      </c>
      <c r="I176" s="13"/>
      <c r="J176" s="13"/>
      <c r="K176" s="16"/>
    </row>
    <row r="177" spans="2:48">
      <c r="B177" s="26">
        <v>172</v>
      </c>
      <c r="C177" s="228" t="s">
        <v>47</v>
      </c>
      <c r="D177" s="229" t="s">
        <v>610</v>
      </c>
      <c r="E177" s="271" t="s">
        <v>996</v>
      </c>
      <c r="F177" s="13"/>
      <c r="G177" s="276" t="s">
        <v>51</v>
      </c>
      <c r="H177" s="235" t="s">
        <v>913</v>
      </c>
      <c r="I177" s="13"/>
      <c r="J177" s="13"/>
      <c r="K177" s="16"/>
    </row>
    <row r="178" spans="2:48">
      <c r="B178" s="26">
        <v>173</v>
      </c>
      <c r="C178" s="228" t="s">
        <v>77</v>
      </c>
      <c r="D178" s="229" t="s">
        <v>611</v>
      </c>
      <c r="E178" s="271" t="s">
        <v>996</v>
      </c>
      <c r="F178" s="13"/>
      <c r="G178" s="276" t="s">
        <v>40</v>
      </c>
      <c r="H178" s="235" t="s">
        <v>913</v>
      </c>
      <c r="I178" s="13"/>
      <c r="J178" s="13"/>
      <c r="K178" s="16"/>
    </row>
    <row r="179" spans="2:48">
      <c r="B179" s="26">
        <v>174</v>
      </c>
      <c r="C179" s="228" t="s">
        <v>87</v>
      </c>
      <c r="D179" s="229" t="s">
        <v>612</v>
      </c>
      <c r="E179" s="271" t="s">
        <v>996</v>
      </c>
      <c r="F179" s="13"/>
      <c r="G179" s="276" t="s">
        <v>41</v>
      </c>
      <c r="H179" s="235" t="s">
        <v>913</v>
      </c>
      <c r="I179" s="13"/>
      <c r="J179" s="13"/>
      <c r="K179" s="16"/>
    </row>
    <row r="180" spans="2:48">
      <c r="B180" s="26">
        <v>175</v>
      </c>
      <c r="C180" s="228" t="s">
        <v>33</v>
      </c>
      <c r="D180" s="229" t="s">
        <v>511</v>
      </c>
      <c r="E180" s="274" t="s">
        <v>996</v>
      </c>
      <c r="F180" s="13"/>
      <c r="G180" s="276" t="s">
        <v>69</v>
      </c>
      <c r="H180" s="235" t="s">
        <v>913</v>
      </c>
      <c r="I180" s="13"/>
      <c r="J180" s="13"/>
      <c r="K180" s="16"/>
    </row>
    <row r="181" spans="2:48">
      <c r="B181" s="26">
        <v>176</v>
      </c>
      <c r="C181" s="228" t="s">
        <v>43</v>
      </c>
      <c r="D181" s="229" t="s">
        <v>512</v>
      </c>
      <c r="E181" s="274" t="s">
        <v>996</v>
      </c>
      <c r="F181" s="13"/>
      <c r="G181" s="276" t="s">
        <v>68</v>
      </c>
      <c r="H181" s="235" t="s">
        <v>913</v>
      </c>
      <c r="I181" s="13"/>
      <c r="J181" s="13"/>
      <c r="K181" s="16"/>
    </row>
    <row r="182" spans="2:48">
      <c r="B182" s="26">
        <v>177</v>
      </c>
      <c r="C182" s="228" t="s">
        <v>73</v>
      </c>
      <c r="D182" s="229" t="s">
        <v>513</v>
      </c>
      <c r="E182" s="274" t="s">
        <v>996</v>
      </c>
      <c r="F182" s="13"/>
      <c r="G182" s="276" t="s">
        <v>81</v>
      </c>
      <c r="H182" s="235" t="s">
        <v>913</v>
      </c>
      <c r="I182" s="13"/>
      <c r="J182" s="13"/>
      <c r="K182" s="16"/>
    </row>
    <row r="183" spans="2:48">
      <c r="B183" s="26">
        <v>178</v>
      </c>
      <c r="C183" s="228" t="s">
        <v>83</v>
      </c>
      <c r="D183" s="229" t="s">
        <v>514</v>
      </c>
      <c r="E183" s="274" t="s">
        <v>996</v>
      </c>
      <c r="F183" s="13"/>
      <c r="G183" s="276" t="s">
        <v>80</v>
      </c>
      <c r="H183" s="235" t="s">
        <v>913</v>
      </c>
      <c r="I183" s="13"/>
      <c r="J183" s="13"/>
      <c r="K183" s="16"/>
    </row>
    <row r="184" spans="2:48">
      <c r="B184" s="26">
        <v>179</v>
      </c>
      <c r="C184" s="228" t="s">
        <v>18</v>
      </c>
      <c r="D184" s="229" t="s">
        <v>535</v>
      </c>
      <c r="E184" s="271" t="s">
        <v>996</v>
      </c>
      <c r="F184" s="184"/>
      <c r="G184" s="276" t="s">
        <v>79</v>
      </c>
      <c r="H184" s="235" t="s">
        <v>913</v>
      </c>
      <c r="I184" s="13"/>
      <c r="J184" s="13"/>
      <c r="K184" s="16"/>
    </row>
    <row r="185" spans="2:48">
      <c r="B185" s="26">
        <v>180</v>
      </c>
      <c r="C185" s="228" t="s">
        <v>26</v>
      </c>
      <c r="D185" s="230" t="s">
        <v>536</v>
      </c>
      <c r="E185" s="271" t="s">
        <v>996</v>
      </c>
      <c r="F185" s="184"/>
      <c r="G185" s="276" t="s">
        <v>78</v>
      </c>
      <c r="H185" s="235" t="s">
        <v>913</v>
      </c>
      <c r="I185" s="13"/>
      <c r="J185" s="13"/>
      <c r="K185" s="16"/>
    </row>
    <row r="186" spans="2:48">
      <c r="B186" s="26">
        <v>181</v>
      </c>
      <c r="C186" s="228" t="s">
        <v>54</v>
      </c>
      <c r="D186" s="230" t="s">
        <v>537</v>
      </c>
      <c r="E186" s="271" t="s">
        <v>996</v>
      </c>
      <c r="F186" s="13"/>
      <c r="G186" s="276" t="s">
        <v>59</v>
      </c>
      <c r="H186" s="235" t="s">
        <v>913</v>
      </c>
      <c r="I186" s="13"/>
      <c r="J186" s="13"/>
      <c r="K186" s="16"/>
    </row>
    <row r="187" spans="2:48">
      <c r="B187" s="26">
        <v>182</v>
      </c>
      <c r="C187" s="228" t="s">
        <v>64</v>
      </c>
      <c r="D187" s="230" t="s">
        <v>538</v>
      </c>
      <c r="E187" s="271" t="s">
        <v>996</v>
      </c>
      <c r="F187" s="13"/>
      <c r="G187" s="276" t="s">
        <v>58</v>
      </c>
      <c r="H187" s="235" t="s">
        <v>913</v>
      </c>
      <c r="I187" s="13"/>
      <c r="J187" s="13"/>
      <c r="K187" s="16"/>
      <c r="AQ187"/>
      <c r="AR187"/>
      <c r="AS187"/>
      <c r="AT187"/>
      <c r="AU187"/>
      <c r="AV187"/>
    </row>
    <row r="188" spans="2:48">
      <c r="B188" s="26">
        <v>183</v>
      </c>
      <c r="C188" s="228" t="s">
        <v>35</v>
      </c>
      <c r="D188" s="229" t="s">
        <v>559</v>
      </c>
      <c r="E188" s="271" t="s">
        <v>996</v>
      </c>
      <c r="F188" s="13"/>
      <c r="G188" s="276" t="s">
        <v>31</v>
      </c>
      <c r="H188" s="235" t="s">
        <v>913</v>
      </c>
      <c r="I188" s="13"/>
      <c r="J188" s="13"/>
      <c r="K188" s="16"/>
      <c r="AQ188"/>
      <c r="AR188"/>
      <c r="AS188"/>
      <c r="AT188"/>
      <c r="AU188"/>
      <c r="AV188"/>
    </row>
    <row r="189" spans="2:48">
      <c r="B189" s="26">
        <v>184</v>
      </c>
      <c r="C189" s="228" t="s">
        <v>45</v>
      </c>
      <c r="D189" s="229" t="s">
        <v>560</v>
      </c>
      <c r="E189" s="271" t="s">
        <v>996</v>
      </c>
      <c r="F189" s="13"/>
      <c r="G189" s="276" t="s">
        <v>30</v>
      </c>
      <c r="H189" s="235" t="s">
        <v>913</v>
      </c>
      <c r="I189" s="13"/>
      <c r="J189" s="13"/>
      <c r="K189" s="16"/>
      <c r="AQ189"/>
      <c r="AR189"/>
      <c r="AS189"/>
      <c r="AT189"/>
      <c r="AU189"/>
      <c r="AV189"/>
    </row>
    <row r="190" spans="2:48">
      <c r="B190" s="26">
        <v>185</v>
      </c>
      <c r="C190" s="228" t="s">
        <v>75</v>
      </c>
      <c r="D190" s="229" t="s">
        <v>561</v>
      </c>
      <c r="E190" s="274" t="s">
        <v>996</v>
      </c>
      <c r="F190" s="13"/>
      <c r="G190" s="276" t="s">
        <v>71</v>
      </c>
      <c r="H190" s="235" t="s">
        <v>913</v>
      </c>
      <c r="I190" s="13"/>
      <c r="J190" s="13"/>
      <c r="K190" s="16"/>
      <c r="AQ190"/>
      <c r="AR190"/>
      <c r="AS190"/>
      <c r="AT190"/>
      <c r="AU190"/>
      <c r="AV190"/>
    </row>
    <row r="191" spans="2:48">
      <c r="B191" s="26">
        <v>186</v>
      </c>
      <c r="C191" s="228" t="s">
        <v>85</v>
      </c>
      <c r="D191" s="229" t="s">
        <v>562</v>
      </c>
      <c r="E191" s="274" t="s">
        <v>996</v>
      </c>
      <c r="F191" s="13"/>
      <c r="G191" s="276" t="s">
        <v>70</v>
      </c>
      <c r="H191" s="235" t="s">
        <v>913</v>
      </c>
      <c r="I191" s="13"/>
      <c r="J191" s="13"/>
      <c r="K191" s="16"/>
      <c r="AQ191"/>
      <c r="AR191"/>
      <c r="AS191"/>
      <c r="AT191"/>
      <c r="AU191"/>
      <c r="AV191"/>
    </row>
    <row r="192" spans="2:48">
      <c r="B192" s="26">
        <v>187</v>
      </c>
      <c r="C192" s="228" t="s">
        <v>20</v>
      </c>
      <c r="D192" s="229" t="s">
        <v>583</v>
      </c>
      <c r="E192" s="274" t="s">
        <v>996</v>
      </c>
      <c r="F192" s="184"/>
      <c r="G192" s="276" t="s">
        <v>61</v>
      </c>
      <c r="H192" s="235" t="s">
        <v>913</v>
      </c>
      <c r="I192" s="13"/>
      <c r="J192" s="13"/>
      <c r="K192" s="16"/>
      <c r="AQ192"/>
      <c r="AR192"/>
      <c r="AS192"/>
      <c r="AT192"/>
      <c r="AU192"/>
      <c r="AV192"/>
    </row>
    <row r="193" spans="2:48">
      <c r="B193" s="26">
        <v>188</v>
      </c>
      <c r="C193" s="228" t="s">
        <v>28</v>
      </c>
      <c r="D193" s="229" t="s">
        <v>584</v>
      </c>
      <c r="E193" s="274" t="s">
        <v>996</v>
      </c>
      <c r="F193" s="184"/>
      <c r="G193" s="276" t="s">
        <v>60</v>
      </c>
      <c r="H193" s="235" t="s">
        <v>913</v>
      </c>
      <c r="I193" s="13"/>
      <c r="J193" s="13"/>
      <c r="K193" s="16"/>
      <c r="AQ193"/>
      <c r="AR193"/>
      <c r="AS193"/>
      <c r="AT193"/>
      <c r="AU193"/>
      <c r="AV193"/>
    </row>
    <row r="194" spans="2:48">
      <c r="B194" s="26">
        <v>189</v>
      </c>
      <c r="C194" s="228" t="s">
        <v>56</v>
      </c>
      <c r="D194" s="229" t="s">
        <v>585</v>
      </c>
      <c r="E194" s="271" t="s">
        <v>996</v>
      </c>
      <c r="F194" s="13"/>
      <c r="G194" s="276" t="s">
        <v>49</v>
      </c>
      <c r="H194" s="235" t="s">
        <v>913</v>
      </c>
      <c r="I194" s="13"/>
      <c r="J194" s="13"/>
      <c r="K194" s="16"/>
      <c r="AQ194"/>
      <c r="AR194"/>
      <c r="AS194"/>
      <c r="AT194"/>
      <c r="AU194"/>
      <c r="AV194"/>
    </row>
    <row r="195" spans="2:48">
      <c r="B195" s="26">
        <v>190</v>
      </c>
      <c r="C195" s="228" t="s">
        <v>66</v>
      </c>
      <c r="D195" s="229" t="s">
        <v>586</v>
      </c>
      <c r="E195" s="271" t="s">
        <v>996</v>
      </c>
      <c r="F195" s="13"/>
      <c r="G195" s="276" t="s">
        <v>48</v>
      </c>
      <c r="H195" s="235" t="s">
        <v>913</v>
      </c>
      <c r="I195" s="13"/>
      <c r="J195" s="13"/>
      <c r="K195" s="16"/>
      <c r="AQ195"/>
      <c r="AR195"/>
      <c r="AS195"/>
      <c r="AT195"/>
      <c r="AU195"/>
      <c r="AV195"/>
    </row>
    <row r="196" spans="2:48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39" t="s">
        <v>914</v>
      </c>
      <c r="I196" s="13"/>
      <c r="J196" s="13"/>
      <c r="K196" s="16"/>
      <c r="AQ196"/>
      <c r="AR196"/>
      <c r="AS196"/>
      <c r="AT196"/>
      <c r="AU196"/>
      <c r="AV196"/>
    </row>
    <row r="197" spans="2:48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914</v>
      </c>
      <c r="I197" s="13"/>
      <c r="J197" s="13"/>
      <c r="K197" s="16"/>
      <c r="AQ197"/>
      <c r="AR197"/>
      <c r="AS197"/>
      <c r="AT197"/>
      <c r="AU197"/>
      <c r="AV197"/>
    </row>
    <row r="198" spans="2:48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914</v>
      </c>
      <c r="I198" s="13"/>
      <c r="J198" s="13"/>
      <c r="K198" s="16"/>
      <c r="AQ198"/>
      <c r="AR198"/>
      <c r="AS198"/>
      <c r="AT198"/>
      <c r="AU198"/>
      <c r="AV198"/>
    </row>
    <row r="199" spans="2:48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914</v>
      </c>
      <c r="I199" s="13"/>
      <c r="J199" s="13"/>
      <c r="K199" s="16"/>
      <c r="AQ199"/>
      <c r="AR199"/>
      <c r="AS199"/>
      <c r="AT199"/>
      <c r="AU199"/>
      <c r="AV199"/>
    </row>
    <row r="200" spans="2:48">
      <c r="B200" s="26">
        <v>195</v>
      </c>
      <c r="C200" s="228" t="s">
        <v>853</v>
      </c>
      <c r="D200" s="229" t="s">
        <v>605</v>
      </c>
      <c r="E200" s="271" t="s">
        <v>996</v>
      </c>
      <c r="F200" s="271"/>
      <c r="G200" s="270" t="s">
        <v>121</v>
      </c>
      <c r="H200" s="235" t="s">
        <v>914</v>
      </c>
      <c r="I200" s="13"/>
      <c r="J200" s="13"/>
      <c r="K200" s="16"/>
      <c r="AQ200"/>
      <c r="AR200"/>
      <c r="AS200"/>
      <c r="AT200"/>
      <c r="AU200"/>
      <c r="AV200"/>
    </row>
    <row r="201" spans="2:48">
      <c r="B201" s="26">
        <v>196</v>
      </c>
      <c r="C201" s="228" t="s">
        <v>854</v>
      </c>
      <c r="D201" s="229" t="s">
        <v>606</v>
      </c>
      <c r="E201" s="271" t="s">
        <v>996</v>
      </c>
      <c r="F201" s="271"/>
      <c r="G201" s="270" t="s">
        <v>120</v>
      </c>
      <c r="H201" s="235" t="s">
        <v>914</v>
      </c>
      <c r="I201" s="13"/>
      <c r="J201" s="13"/>
      <c r="K201" s="16"/>
      <c r="AQ201"/>
      <c r="AR201"/>
      <c r="AS201"/>
      <c r="AT201"/>
      <c r="AU201"/>
      <c r="AV201"/>
    </row>
    <row r="202" spans="2:48">
      <c r="B202" s="26">
        <v>197</v>
      </c>
      <c r="C202" s="228" t="s">
        <v>857</v>
      </c>
      <c r="D202" s="229" t="s">
        <v>607</v>
      </c>
      <c r="E202" s="271" t="s">
        <v>996</v>
      </c>
      <c r="F202" s="271"/>
      <c r="G202" s="270" t="s">
        <v>108</v>
      </c>
      <c r="H202" s="235" t="s">
        <v>914</v>
      </c>
      <c r="I202" s="13"/>
      <c r="J202" s="13"/>
      <c r="K202" s="16"/>
      <c r="AQ202"/>
      <c r="AR202"/>
      <c r="AS202"/>
      <c r="AT202"/>
      <c r="AU202"/>
      <c r="AV202"/>
    </row>
    <row r="203" spans="2:48">
      <c r="B203" s="26">
        <v>198</v>
      </c>
      <c r="C203" s="228" t="s">
        <v>7</v>
      </c>
      <c r="D203" s="229" t="s">
        <v>608</v>
      </c>
      <c r="E203" s="271" t="s">
        <v>996</v>
      </c>
      <c r="F203" s="271"/>
      <c r="G203" s="270" t="s">
        <v>109</v>
      </c>
      <c r="H203" s="235" t="s">
        <v>914</v>
      </c>
      <c r="I203" s="13"/>
      <c r="J203" s="13"/>
      <c r="K203" s="16"/>
      <c r="AQ203"/>
      <c r="AR203"/>
      <c r="AS203"/>
      <c r="AT203"/>
      <c r="AU203"/>
      <c r="AV203"/>
    </row>
    <row r="204" spans="2:48">
      <c r="B204" s="26">
        <v>199</v>
      </c>
      <c r="C204" s="228" t="s">
        <v>817</v>
      </c>
      <c r="D204" s="229" t="s">
        <v>507</v>
      </c>
      <c r="E204" s="274" t="s">
        <v>996</v>
      </c>
      <c r="F204" s="271"/>
      <c r="G204" s="276" t="s">
        <v>90</v>
      </c>
      <c r="H204" s="235" t="s">
        <v>914</v>
      </c>
      <c r="I204" s="13"/>
      <c r="J204" s="13"/>
      <c r="K204" s="16"/>
      <c r="AQ204"/>
      <c r="AR204"/>
      <c r="AS204"/>
      <c r="AT204"/>
      <c r="AU204"/>
      <c r="AV204"/>
    </row>
    <row r="205" spans="2:48">
      <c r="B205" s="26">
        <v>200</v>
      </c>
      <c r="C205" s="228" t="s">
        <v>818</v>
      </c>
      <c r="D205" s="229" t="s">
        <v>508</v>
      </c>
      <c r="E205" s="274" t="s">
        <v>996</v>
      </c>
      <c r="F205" s="271"/>
      <c r="G205" s="276" t="s">
        <v>91</v>
      </c>
      <c r="H205" s="235" t="s">
        <v>914</v>
      </c>
      <c r="I205" s="13"/>
      <c r="J205" s="13"/>
      <c r="K205" s="16"/>
      <c r="AQ205"/>
      <c r="AR205"/>
      <c r="AS205"/>
      <c r="AT205"/>
      <c r="AU205"/>
      <c r="AV205"/>
    </row>
    <row r="206" spans="2:48">
      <c r="B206" s="26">
        <v>201</v>
      </c>
      <c r="C206" s="228" t="s">
        <v>821</v>
      </c>
      <c r="D206" s="229" t="s">
        <v>509</v>
      </c>
      <c r="E206" s="274" t="s">
        <v>996</v>
      </c>
      <c r="F206" s="271"/>
      <c r="G206" s="276" t="s">
        <v>100</v>
      </c>
      <c r="H206" s="235" t="s">
        <v>914</v>
      </c>
      <c r="I206" s="13"/>
      <c r="J206" s="13"/>
      <c r="K206" s="16"/>
      <c r="AQ206"/>
      <c r="AR206"/>
      <c r="AS206"/>
      <c r="AT206"/>
      <c r="AU206"/>
      <c r="AV206"/>
    </row>
    <row r="207" spans="2:48">
      <c r="B207" s="26">
        <v>202</v>
      </c>
      <c r="C207" s="228" t="s">
        <v>3</v>
      </c>
      <c r="D207" s="229" t="s">
        <v>510</v>
      </c>
      <c r="E207" s="274" t="s">
        <v>996</v>
      </c>
      <c r="F207" s="271"/>
      <c r="G207" s="276" t="s">
        <v>101</v>
      </c>
      <c r="H207" s="235" t="s">
        <v>914</v>
      </c>
      <c r="I207" s="13"/>
      <c r="J207" s="13"/>
      <c r="K207" s="16"/>
      <c r="AQ207"/>
      <c r="AR207"/>
      <c r="AS207"/>
      <c r="AT207"/>
      <c r="AU207"/>
      <c r="AV207"/>
    </row>
    <row r="208" spans="2:48">
      <c r="B208" s="26">
        <v>203</v>
      </c>
      <c r="C208" s="228" t="s">
        <v>824</v>
      </c>
      <c r="D208" s="230" t="s">
        <v>531</v>
      </c>
      <c r="E208" s="271" t="s">
        <v>996</v>
      </c>
      <c r="F208" s="274"/>
      <c r="G208" s="270" t="s">
        <v>137</v>
      </c>
      <c r="H208" s="235" t="s">
        <v>914</v>
      </c>
      <c r="I208" s="13"/>
      <c r="J208" s="13"/>
      <c r="K208" s="16"/>
      <c r="AQ208"/>
      <c r="AR208"/>
      <c r="AS208"/>
      <c r="AT208"/>
      <c r="AU208"/>
      <c r="AV208"/>
    </row>
    <row r="209" spans="2:48">
      <c r="B209" s="26">
        <v>204</v>
      </c>
      <c r="C209" s="228" t="s">
        <v>825</v>
      </c>
      <c r="D209" s="230" t="s">
        <v>532</v>
      </c>
      <c r="E209" s="271" t="s">
        <v>996</v>
      </c>
      <c r="F209" s="274"/>
      <c r="G209" s="270" t="s">
        <v>136</v>
      </c>
      <c r="H209" s="235" t="s">
        <v>914</v>
      </c>
      <c r="I209" s="13"/>
      <c r="J209" s="13"/>
      <c r="K209" s="16"/>
      <c r="AQ209"/>
      <c r="AR209"/>
      <c r="AS209"/>
      <c r="AT209"/>
      <c r="AU209"/>
      <c r="AV209"/>
    </row>
    <row r="210" spans="2:48">
      <c r="B210" s="26">
        <v>205</v>
      </c>
      <c r="C210" s="228" t="s">
        <v>828</v>
      </c>
      <c r="D210" s="230" t="s">
        <v>533</v>
      </c>
      <c r="E210" s="271" t="s">
        <v>996</v>
      </c>
      <c r="F210" s="274"/>
      <c r="G210" s="270" t="s">
        <v>118</v>
      </c>
      <c r="H210" s="235" t="s">
        <v>914</v>
      </c>
      <c r="I210" s="13"/>
      <c r="J210" s="13"/>
      <c r="K210" s="16"/>
      <c r="AQ210"/>
      <c r="AR210"/>
      <c r="AS210"/>
      <c r="AT210"/>
      <c r="AU210"/>
      <c r="AV210"/>
    </row>
    <row r="211" spans="2:48" ht="16.2" thickBot="1">
      <c r="B211" s="26">
        <v>206</v>
      </c>
      <c r="C211" s="228" t="s">
        <v>829</v>
      </c>
      <c r="D211" s="230" t="s">
        <v>534</v>
      </c>
      <c r="E211" s="271" t="s">
        <v>996</v>
      </c>
      <c r="F211" s="274"/>
      <c r="G211" s="270" t="s">
        <v>119</v>
      </c>
      <c r="H211" s="235" t="s">
        <v>914</v>
      </c>
      <c r="I211" s="13"/>
      <c r="J211" s="13"/>
      <c r="K211" s="16"/>
    </row>
    <row r="212" spans="2:48">
      <c r="B212" s="26">
        <v>207</v>
      </c>
      <c r="C212" s="228" t="s">
        <v>835</v>
      </c>
      <c r="D212" s="230" t="s">
        <v>555</v>
      </c>
      <c r="E212" s="271" t="s">
        <v>996</v>
      </c>
      <c r="F212" s="274"/>
      <c r="G212" s="337" t="s">
        <v>110</v>
      </c>
      <c r="H212" s="235" t="s">
        <v>914</v>
      </c>
      <c r="I212" s="13"/>
      <c r="J212" s="13"/>
      <c r="K212" s="16"/>
    </row>
    <row r="213" spans="2:48">
      <c r="B213" s="26">
        <v>208</v>
      </c>
      <c r="C213" s="228" t="s">
        <v>836</v>
      </c>
      <c r="D213" s="230" t="s">
        <v>556</v>
      </c>
      <c r="E213" s="271" t="s">
        <v>996</v>
      </c>
      <c r="F213" s="274"/>
      <c r="G213" s="270" t="s">
        <v>111</v>
      </c>
      <c r="H213" s="235" t="s">
        <v>914</v>
      </c>
      <c r="I213" s="13"/>
      <c r="J213" s="13"/>
      <c r="K213" s="16"/>
    </row>
    <row r="214" spans="2:48">
      <c r="B214" s="26">
        <v>209</v>
      </c>
      <c r="C214" s="228" t="s">
        <v>839</v>
      </c>
      <c r="D214" s="229" t="s">
        <v>557</v>
      </c>
      <c r="E214" s="274" t="s">
        <v>996</v>
      </c>
      <c r="F214" s="274"/>
      <c r="G214" s="276" t="s">
        <v>89</v>
      </c>
      <c r="H214" s="235" t="s">
        <v>914</v>
      </c>
      <c r="I214" s="13"/>
      <c r="J214" s="13"/>
      <c r="K214" s="16"/>
    </row>
    <row r="215" spans="2:48">
      <c r="B215" s="26">
        <v>210</v>
      </c>
      <c r="C215" s="228" t="s">
        <v>5</v>
      </c>
      <c r="D215" s="229" t="s">
        <v>558</v>
      </c>
      <c r="E215" s="274" t="s">
        <v>996</v>
      </c>
      <c r="F215" s="274"/>
      <c r="G215" s="276" t="s">
        <v>99</v>
      </c>
      <c r="H215" s="235" t="s">
        <v>914</v>
      </c>
      <c r="I215" s="13"/>
      <c r="J215" s="13"/>
      <c r="K215" s="16"/>
    </row>
    <row r="216" spans="2:48">
      <c r="B216" s="26">
        <v>211</v>
      </c>
      <c r="C216" s="228" t="s">
        <v>842</v>
      </c>
      <c r="D216" s="229" t="s">
        <v>579</v>
      </c>
      <c r="E216" s="274" t="s">
        <v>996</v>
      </c>
      <c r="F216" s="271"/>
      <c r="G216" s="276" t="s">
        <v>88</v>
      </c>
      <c r="H216" s="235" t="s">
        <v>914</v>
      </c>
      <c r="I216" s="13"/>
      <c r="J216" s="13"/>
      <c r="K216" s="16"/>
    </row>
    <row r="217" spans="2:48">
      <c r="B217" s="26">
        <v>212</v>
      </c>
      <c r="C217" s="228" t="s">
        <v>843</v>
      </c>
      <c r="D217" s="229" t="s">
        <v>580</v>
      </c>
      <c r="E217" s="274" t="s">
        <v>996</v>
      </c>
      <c r="F217" s="271"/>
      <c r="G217" s="276" t="s">
        <v>98</v>
      </c>
      <c r="H217" s="235" t="s">
        <v>914</v>
      </c>
      <c r="I217" s="13"/>
      <c r="J217" s="13"/>
      <c r="K217" s="16"/>
    </row>
    <row r="218" spans="2:48">
      <c r="B218" s="26">
        <v>213</v>
      </c>
      <c r="C218" s="228" t="s">
        <v>846</v>
      </c>
      <c r="D218" s="229" t="s">
        <v>581</v>
      </c>
      <c r="E218" s="271" t="s">
        <v>996</v>
      </c>
      <c r="F218" s="271"/>
      <c r="G218" s="270" t="s">
        <v>128</v>
      </c>
      <c r="H218" s="235" t="s">
        <v>914</v>
      </c>
      <c r="I218" s="13"/>
      <c r="J218" s="13"/>
      <c r="K218" s="16"/>
    </row>
    <row r="219" spans="2:48">
      <c r="B219" s="26">
        <v>214</v>
      </c>
      <c r="C219" s="228" t="s">
        <v>847</v>
      </c>
      <c r="D219" s="229" t="s">
        <v>582</v>
      </c>
      <c r="E219" s="271" t="s">
        <v>996</v>
      </c>
      <c r="F219" s="271"/>
      <c r="G219" s="270" t="s">
        <v>129</v>
      </c>
      <c r="H219" s="235" t="s">
        <v>914</v>
      </c>
      <c r="I219" s="13"/>
      <c r="J219" s="13"/>
      <c r="K219" s="16"/>
    </row>
    <row r="220" spans="2:48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48">
      <c r="B221" s="26">
        <v>216</v>
      </c>
      <c r="C221" s="228" t="s">
        <v>269</v>
      </c>
      <c r="D221" s="280" t="s">
        <v>654</v>
      </c>
      <c r="E221" s="274" t="s">
        <v>996</v>
      </c>
      <c r="F221" s="271"/>
      <c r="G221" s="276" t="s">
        <v>952</v>
      </c>
      <c r="H221" s="13"/>
      <c r="I221" s="13"/>
      <c r="J221" s="13"/>
      <c r="K221" s="16"/>
    </row>
    <row r="222" spans="2:48">
      <c r="B222" s="26">
        <v>217</v>
      </c>
      <c r="C222" s="228" t="s">
        <v>794</v>
      </c>
      <c r="D222" s="280" t="s">
        <v>655</v>
      </c>
      <c r="E222" s="271" t="s">
        <v>997</v>
      </c>
      <c r="F222" s="275"/>
      <c r="G222" s="270" t="s">
        <v>948</v>
      </c>
      <c r="H222" s="13"/>
      <c r="I222" s="13"/>
      <c r="J222" s="13"/>
      <c r="K222" s="16"/>
    </row>
    <row r="223" spans="2:48">
      <c r="B223" s="26">
        <v>218</v>
      </c>
      <c r="C223" s="228" t="s">
        <v>795</v>
      </c>
      <c r="D223" s="280" t="s">
        <v>656</v>
      </c>
      <c r="E223" s="271" t="s">
        <v>996</v>
      </c>
      <c r="F223" s="275"/>
      <c r="G223" s="272" t="s">
        <v>958</v>
      </c>
      <c r="H223" s="13"/>
      <c r="I223" s="13"/>
      <c r="J223" s="13"/>
      <c r="K223" s="16"/>
    </row>
    <row r="224" spans="2:48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996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4" t="s">
        <v>996</v>
      </c>
      <c r="F230" s="5"/>
      <c r="G230" s="276" t="s">
        <v>955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271" t="s">
        <v>997</v>
      </c>
      <c r="F231" s="5"/>
      <c r="G231" s="270" t="s">
        <v>949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996</v>
      </c>
      <c r="F232" s="5"/>
      <c r="G232" s="272" t="s">
        <v>960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13"/>
      <c r="F233" s="13"/>
      <c r="G233" s="256"/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996</v>
      </c>
      <c r="F234" s="271"/>
      <c r="G234" s="270" t="s">
        <v>949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4" t="s">
        <v>996</v>
      </c>
      <c r="F236" s="5"/>
      <c r="G236" s="276" t="s">
        <v>954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271" t="s">
        <v>997</v>
      </c>
      <c r="F237" s="5"/>
      <c r="G237" s="270" t="s">
        <v>160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996</v>
      </c>
      <c r="F238" s="5"/>
      <c r="G238" s="272" t="s">
        <v>959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5"/>
      <c r="F239" s="5"/>
      <c r="G239" s="5"/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996</v>
      </c>
      <c r="F240" s="271"/>
      <c r="G240" s="270" t="s">
        <v>160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4" t="s">
        <v>996</v>
      </c>
      <c r="F242" s="275"/>
      <c r="G242" s="276" t="s">
        <v>953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997</v>
      </c>
      <c r="F243" s="13"/>
      <c r="G243" s="270" t="s">
        <v>947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996</v>
      </c>
      <c r="F244" s="13"/>
      <c r="G244" s="272" t="s">
        <v>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996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966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966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966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966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966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966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968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968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968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968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968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968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996</v>
      </c>
      <c r="F396" s="13"/>
      <c r="G396" s="276" t="s">
        <v>950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996</v>
      </c>
      <c r="F397" s="13"/>
      <c r="G397" s="276" t="s">
        <v>951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997</v>
      </c>
      <c r="F398" s="13"/>
      <c r="G398" s="270" t="s">
        <v>945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997</v>
      </c>
      <c r="F399" s="5"/>
      <c r="G399" s="270" t="s">
        <v>946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996</v>
      </c>
      <c r="F400" s="5"/>
      <c r="G400" s="272" t="s">
        <v>956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996</v>
      </c>
      <c r="F401" s="5"/>
      <c r="G401" s="272" t="s">
        <v>957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996</v>
      </c>
      <c r="F404" s="263"/>
      <c r="G404" s="270" t="s">
        <v>945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71" t="s">
        <v>996</v>
      </c>
      <c r="F405" s="297"/>
      <c r="G405" s="270" t="s">
        <v>946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G76:G77">
    <cfRule type="expression" dxfId="2033" priority="358">
      <formula>MOD(ROW(),2)=0</formula>
    </cfRule>
  </conditionalFormatting>
  <conditionalFormatting sqref="G78:G79">
    <cfRule type="expression" dxfId="2032" priority="356">
      <formula>MOD(ROW(),2)=0</formula>
    </cfRule>
  </conditionalFormatting>
  <conditionalFormatting sqref="G255">
    <cfRule type="expression" dxfId="2031" priority="347">
      <formula>MOD(ROW(),2)=0</formula>
    </cfRule>
  </conditionalFormatting>
  <conditionalFormatting sqref="G276">
    <cfRule type="expression" dxfId="2030" priority="335">
      <formula>MOD(ROW(),2)=0</formula>
    </cfRule>
  </conditionalFormatting>
  <conditionalFormatting sqref="G281">
    <cfRule type="expression" dxfId="2029" priority="323">
      <formula>MOD(ROW(),2)=0</formula>
    </cfRule>
  </conditionalFormatting>
  <conditionalFormatting sqref="G268">
    <cfRule type="expression" dxfId="2028" priority="322">
      <formula>MOD(ROW(),2)=0</formula>
    </cfRule>
  </conditionalFormatting>
  <conditionalFormatting sqref="G282">
    <cfRule type="expression" dxfId="2027" priority="321">
      <formula>MOD(ROW(),2)=0</formula>
    </cfRule>
  </conditionalFormatting>
  <conditionalFormatting sqref="G260">
    <cfRule type="expression" dxfId="2026" priority="314">
      <formula>MOD(ROW(),2)=0</formula>
    </cfRule>
  </conditionalFormatting>
  <conditionalFormatting sqref="G274">
    <cfRule type="expression" dxfId="2025" priority="313">
      <formula>MOD(ROW(),2)=0</formula>
    </cfRule>
  </conditionalFormatting>
  <conditionalFormatting sqref="F243">
    <cfRule type="expression" dxfId="2022" priority="308">
      <formula>MOD(ROW(),2)=0</formula>
    </cfRule>
  </conditionalFormatting>
  <conditionalFormatting sqref="F247">
    <cfRule type="expression" dxfId="2021" priority="299">
      <formula>MOD(ROW(),2)=0</formula>
    </cfRule>
  </conditionalFormatting>
  <conditionalFormatting sqref="E247">
    <cfRule type="expression" dxfId="2020" priority="298">
      <formula>MOD(ROW(),2)=0</formula>
    </cfRule>
  </conditionalFormatting>
  <conditionalFormatting sqref="F248">
    <cfRule type="expression" dxfId="2019" priority="297">
      <formula>MOD(ROW(),2)=0</formula>
    </cfRule>
  </conditionalFormatting>
  <conditionalFormatting sqref="E248">
    <cfRule type="expression" dxfId="2018" priority="296">
      <formula>MOD(ROW(),2)=0</formula>
    </cfRule>
  </conditionalFormatting>
  <conditionalFormatting sqref="G241">
    <cfRule type="expression" dxfId="2015" priority="289">
      <formula>MOD(ROW(),2)=0</formula>
    </cfRule>
  </conditionalFormatting>
  <conditionalFormatting sqref="E241">
    <cfRule type="expression" dxfId="2014" priority="288">
      <formula>MOD(ROW(),2)=0</formula>
    </cfRule>
  </conditionalFormatting>
  <conditionalFormatting sqref="E56">
    <cfRule type="expression" dxfId="2013" priority="287">
      <formula>MOD(ROW(),2)=0</formula>
    </cfRule>
  </conditionalFormatting>
  <conditionalFormatting sqref="G283">
    <cfRule type="expression" dxfId="2012" priority="285">
      <formula>MOD(ROW(),2)=0</formula>
    </cfRule>
  </conditionalFormatting>
  <conditionalFormatting sqref="G289">
    <cfRule type="expression" dxfId="2011" priority="282">
      <formula>MOD(ROW(),2)=0</formula>
    </cfRule>
  </conditionalFormatting>
  <conditionalFormatting sqref="G290">
    <cfRule type="expression" dxfId="2010" priority="281">
      <formula>MOD(ROW(),2)=0</formula>
    </cfRule>
  </conditionalFormatting>
  <conditionalFormatting sqref="E289">
    <cfRule type="expression" dxfId="2009" priority="280">
      <formula>MOD(ROW(),2)=0</formula>
    </cfRule>
  </conditionalFormatting>
  <conditionalFormatting sqref="E290">
    <cfRule type="expression" dxfId="2008" priority="279">
      <formula>MOD(ROW(),2)=0</formula>
    </cfRule>
  </conditionalFormatting>
  <conditionalFormatting sqref="G224:H224 G226:H226 H225 H223">
    <cfRule type="expression" dxfId="2007" priority="269">
      <formula>MOD(ROW(),2)=0</formula>
    </cfRule>
  </conditionalFormatting>
  <conditionalFormatting sqref="H227:H230">
    <cfRule type="expression" dxfId="2006" priority="268">
      <formula>MOD(ROW(),2)=0</formula>
    </cfRule>
  </conditionalFormatting>
  <conditionalFormatting sqref="E286">
    <cfRule type="expression" dxfId="2005" priority="248">
      <formula>MOD(ROW(),2)=0</formula>
    </cfRule>
  </conditionalFormatting>
  <conditionalFormatting sqref="F284">
    <cfRule type="expression" dxfId="2004" priority="263">
      <formula>MOD(ROW(),2)=0</formula>
    </cfRule>
  </conditionalFormatting>
  <conditionalFormatting sqref="G284">
    <cfRule type="expression" dxfId="2003" priority="262">
      <formula>MOD(ROW(),2)=0</formula>
    </cfRule>
  </conditionalFormatting>
  <conditionalFormatting sqref="E284">
    <cfRule type="expression" dxfId="2002" priority="261">
      <formula>MOD(ROW(),2)=0</formula>
    </cfRule>
  </conditionalFormatting>
  <conditionalFormatting sqref="G289">
    <cfRule type="expression" dxfId="2001" priority="260">
      <formula>MOD(ROW(),2)=0</formula>
    </cfRule>
  </conditionalFormatting>
  <conditionalFormatting sqref="G290">
    <cfRule type="expression" dxfId="2000" priority="259">
      <formula>MOD(ROW(),2)=0</formula>
    </cfRule>
  </conditionalFormatting>
  <conditionalFormatting sqref="G287">
    <cfRule type="expression" dxfId="1999" priority="258">
      <formula>MOD(ROW(),2)=0</formula>
    </cfRule>
  </conditionalFormatting>
  <conditionalFormatting sqref="E287">
    <cfRule type="expression" dxfId="1998" priority="257">
      <formula>MOD(ROW(),2)=0</formula>
    </cfRule>
  </conditionalFormatting>
  <conditionalFormatting sqref="G288">
    <cfRule type="expression" dxfId="1997" priority="256">
      <formula>MOD(ROW(),2)=0</formula>
    </cfRule>
  </conditionalFormatting>
  <conditionalFormatting sqref="E291">
    <cfRule type="expression" dxfId="1996" priority="255">
      <formula>MOD(ROW(),2)=0</formula>
    </cfRule>
  </conditionalFormatting>
  <conditionalFormatting sqref="G291">
    <cfRule type="expression" dxfId="1995" priority="254">
      <formula>MOD(ROW(),2)=0</formula>
    </cfRule>
  </conditionalFormatting>
  <conditionalFormatting sqref="G292">
    <cfRule type="expression" dxfId="1994" priority="253">
      <formula>MOD(ROW(),2)=0</formula>
    </cfRule>
  </conditionalFormatting>
  <conditionalFormatting sqref="G293">
    <cfRule type="expression" dxfId="1993" priority="252">
      <formula>MOD(ROW(),2)=0</formula>
    </cfRule>
  </conditionalFormatting>
  <conditionalFormatting sqref="G294">
    <cfRule type="expression" dxfId="1992" priority="251">
      <formula>MOD(ROW(),2)=0</formula>
    </cfRule>
  </conditionalFormatting>
  <conditionalFormatting sqref="G286">
    <cfRule type="expression" dxfId="1991" priority="249">
      <formula>MOD(ROW(),2)=0</formula>
    </cfRule>
  </conditionalFormatting>
  <conditionalFormatting sqref="E248">
    <cfRule type="expression" dxfId="1990" priority="233">
      <formula>MOD(ROW(),2)=0</formula>
    </cfRule>
  </conditionalFormatting>
  <conditionalFormatting sqref="G245">
    <cfRule type="expression" dxfId="1989" priority="232">
      <formula>MOD(ROW(),2)=0</formula>
    </cfRule>
  </conditionalFormatting>
  <conditionalFormatting sqref="E247">
    <cfRule type="expression" dxfId="1988" priority="228">
      <formula>MOD(ROW(),2)=0</formula>
    </cfRule>
  </conditionalFormatting>
  <conditionalFormatting sqref="F249">
    <cfRule type="expression" dxfId="1987" priority="227">
      <formula>MOD(ROW(),2)=0</formula>
    </cfRule>
  </conditionalFormatting>
  <conditionalFormatting sqref="E249">
    <cfRule type="expression" dxfId="1986" priority="226">
      <formula>MOD(ROW(),2)=0</formula>
    </cfRule>
  </conditionalFormatting>
  <conditionalFormatting sqref="F250">
    <cfRule type="expression" dxfId="1985" priority="225">
      <formula>MOD(ROW(),2)=0</formula>
    </cfRule>
  </conditionalFormatting>
  <conditionalFormatting sqref="E250">
    <cfRule type="expression" dxfId="1984" priority="224">
      <formula>MOD(ROW(),2)=0</formula>
    </cfRule>
  </conditionalFormatting>
  <conditionalFormatting sqref="K244:K246 K255:K282 K285:K294 K60:K87 K91:K234 K6:K55 K236:K242 K57 K301:K405">
    <cfRule type="expression" dxfId="1979" priority="213">
      <formula>MOD(ROW(),2)=0</formula>
    </cfRule>
  </conditionalFormatting>
  <conditionalFormatting sqref="K58">
    <cfRule type="expression" dxfId="1978" priority="211">
      <formula>MOD(ROW(),2)=0</formula>
    </cfRule>
  </conditionalFormatting>
  <conditionalFormatting sqref="K253">
    <cfRule type="expression" dxfId="1977" priority="210">
      <formula>MOD(ROW(),2)=0</formula>
    </cfRule>
  </conditionalFormatting>
  <conditionalFormatting sqref="K59">
    <cfRule type="expression" dxfId="1976" priority="209">
      <formula>MOD(ROW(),2)=0</formula>
    </cfRule>
  </conditionalFormatting>
  <conditionalFormatting sqref="K254">
    <cfRule type="expression" dxfId="1975" priority="207">
      <formula>MOD(ROW(),2)=0</formula>
    </cfRule>
  </conditionalFormatting>
  <conditionalFormatting sqref="K235">
    <cfRule type="expression" dxfId="1974" priority="206">
      <formula>MOD(ROW(),2)=0</formula>
    </cfRule>
  </conditionalFormatting>
  <conditionalFormatting sqref="K89">
    <cfRule type="expression" dxfId="1973" priority="205">
      <formula>MOD(ROW(),2)=0</formula>
    </cfRule>
  </conditionalFormatting>
  <conditionalFormatting sqref="K243">
    <cfRule type="expression" dxfId="1972" priority="204">
      <formula>MOD(ROW(),2)=0</formula>
    </cfRule>
  </conditionalFormatting>
  <conditionalFormatting sqref="K90">
    <cfRule type="expression" dxfId="1971" priority="203">
      <formula>MOD(ROW(),2)=0</formula>
    </cfRule>
  </conditionalFormatting>
  <conditionalFormatting sqref="K56">
    <cfRule type="expression" dxfId="1970" priority="202">
      <formula>MOD(ROW(),2)=0</formula>
    </cfRule>
  </conditionalFormatting>
  <conditionalFormatting sqref="K283">
    <cfRule type="expression" dxfId="1969" priority="201">
      <formula>MOD(ROW(),2)=0</formula>
    </cfRule>
  </conditionalFormatting>
  <conditionalFormatting sqref="K284">
    <cfRule type="expression" dxfId="1968" priority="200">
      <formula>MOD(ROW(),2)=0</formula>
    </cfRule>
  </conditionalFormatting>
  <conditionalFormatting sqref="K88">
    <cfRule type="expression" dxfId="1967" priority="199">
      <formula>MOD(ROW(),2)=0</formula>
    </cfRule>
  </conditionalFormatting>
  <conditionalFormatting sqref="K295:K300">
    <cfRule type="expression" dxfId="1966" priority="198">
      <formula>MOD(ROW(),2)=0</formula>
    </cfRule>
  </conditionalFormatting>
  <conditionalFormatting sqref="E6:J55 E402:J403 E388:F395 E220:J220 E60:F63 F64 F255:F256 F269:F270 F275:F277 E257:F268 E271:F274 F244 F241:F242 E253:J254 E57:J59 F56:J56 E278:F282 F283 E295:J387 H60:J64 E224:F224 I223:J230 H255:J294 E292:F294 E285:F285 F286:F291 I65:J219 F209:F219 H404:J405 E226:F228 F225 F404:F405 H388:J401 F221:F223 F396:F401 H221:J222 E251:F252 H231:J246 H247:I252">
    <cfRule type="expression" dxfId="1965" priority="384">
      <formula>MOD(ROW(),2)=0</formula>
    </cfRule>
  </conditionalFormatting>
  <conditionalFormatting sqref="B6:B405">
    <cfRule type="expression" dxfId="1964" priority="383">
      <formula>MOD(ROW(),2)=0</formula>
    </cfRule>
  </conditionalFormatting>
  <conditionalFormatting sqref="D6:D228 D235:D405">
    <cfRule type="expression" dxfId="1963" priority="382">
      <formula>MOD(ROW(),2)=0</formula>
    </cfRule>
  </conditionalFormatting>
  <conditionalFormatting sqref="F65:F71 H65 E196:G199 F172:G175 F208 E200:F207 F148:G151 F152:F171 F176:F195 F84:F123 E124:F147 H72:H73">
    <cfRule type="expression" dxfId="1962" priority="381">
      <formula>MOD(ROW(),2)=0</formula>
    </cfRule>
  </conditionalFormatting>
  <conditionalFormatting sqref="G394:G395">
    <cfRule type="expression" dxfId="1961" priority="377">
      <formula>MOD(ROW(),2)=0</formula>
    </cfRule>
  </conditionalFormatting>
  <conditionalFormatting sqref="C401:C405">
    <cfRule type="expression" dxfId="1960" priority="373">
      <formula>MOD(ROW(),2)=0</formula>
    </cfRule>
  </conditionalFormatting>
  <conditionalFormatting sqref="C6:C400">
    <cfRule type="expression" dxfId="1959" priority="372">
      <formula>MOD(ROW(),2)=0</formula>
    </cfRule>
  </conditionalFormatting>
  <conditionalFormatting sqref="G60:G61">
    <cfRule type="expression" dxfId="1958" priority="371">
      <formula>MOD(ROW(),2)=0</formula>
    </cfRule>
  </conditionalFormatting>
  <conditionalFormatting sqref="G62:G63">
    <cfRule type="expression" dxfId="1957" priority="370">
      <formula>MOD(ROW(),2)=0</formula>
    </cfRule>
  </conditionalFormatting>
  <conditionalFormatting sqref="G64:G65">
    <cfRule type="expression" dxfId="1956" priority="369">
      <formula>MOD(ROW(),2)=0</formula>
    </cfRule>
  </conditionalFormatting>
  <conditionalFormatting sqref="E64:E65">
    <cfRule type="expression" dxfId="1955" priority="368">
      <formula>MOD(ROW(),2)=0</formula>
    </cfRule>
  </conditionalFormatting>
  <conditionalFormatting sqref="E68:E69">
    <cfRule type="expression" dxfId="1954" priority="364">
      <formula>MOD(ROW(),2)=0</formula>
    </cfRule>
  </conditionalFormatting>
  <conditionalFormatting sqref="E72:F73 F74:F76">
    <cfRule type="expression" dxfId="1953" priority="362">
      <formula>MOD(ROW(),2)=0</formula>
    </cfRule>
  </conditionalFormatting>
  <conditionalFormatting sqref="F77:F83">
    <cfRule type="expression" dxfId="1952" priority="361">
      <formula>MOD(ROW(),2)=0</formula>
    </cfRule>
  </conditionalFormatting>
  <conditionalFormatting sqref="E255">
    <cfRule type="expression" dxfId="1951" priority="346">
      <formula>MOD(ROW(),2)=0</formula>
    </cfRule>
  </conditionalFormatting>
  <conditionalFormatting sqref="G269">
    <cfRule type="expression" dxfId="1950" priority="345">
      <formula>MOD(ROW(),2)=0</formula>
    </cfRule>
  </conditionalFormatting>
  <conditionalFormatting sqref="E269">
    <cfRule type="expression" dxfId="1949" priority="344">
      <formula>MOD(ROW(),2)=0</formula>
    </cfRule>
  </conditionalFormatting>
  <conditionalFormatting sqref="G256">
    <cfRule type="expression" dxfId="1948" priority="343">
      <formula>MOD(ROW(),2)=0</formula>
    </cfRule>
  </conditionalFormatting>
  <conditionalFormatting sqref="E256">
    <cfRule type="expression" dxfId="1947" priority="342">
      <formula>MOD(ROW(),2)=0</formula>
    </cfRule>
  </conditionalFormatting>
  <conditionalFormatting sqref="G270">
    <cfRule type="expression" dxfId="1946" priority="341">
      <formula>MOD(ROW(),2)=0</formula>
    </cfRule>
  </conditionalFormatting>
  <conditionalFormatting sqref="E270">
    <cfRule type="expression" dxfId="1945" priority="340">
      <formula>MOD(ROW(),2)=0</formula>
    </cfRule>
  </conditionalFormatting>
  <conditionalFormatting sqref="G261">
    <cfRule type="expression" dxfId="1944" priority="339">
      <formula>MOD(ROW(),2)=0</formula>
    </cfRule>
  </conditionalFormatting>
  <conditionalFormatting sqref="G275">
    <cfRule type="expression" dxfId="1943" priority="338">
      <formula>MOD(ROW(),2)=0</formula>
    </cfRule>
  </conditionalFormatting>
  <conditionalFormatting sqref="E275">
    <cfRule type="expression" dxfId="1942" priority="337">
      <formula>MOD(ROW(),2)=0</formula>
    </cfRule>
  </conditionalFormatting>
  <conditionalFormatting sqref="G262">
    <cfRule type="expression" dxfId="1941" priority="336">
      <formula>MOD(ROW(),2)=0</formula>
    </cfRule>
  </conditionalFormatting>
  <conditionalFormatting sqref="E276">
    <cfRule type="expression" dxfId="1940" priority="334">
      <formula>MOD(ROW(),2)=0</formula>
    </cfRule>
  </conditionalFormatting>
  <conditionalFormatting sqref="G263">
    <cfRule type="expression" dxfId="1939" priority="333">
      <formula>MOD(ROW(),2)=0</formula>
    </cfRule>
  </conditionalFormatting>
  <conditionalFormatting sqref="G277">
    <cfRule type="expression" dxfId="1938" priority="332">
      <formula>MOD(ROW(),2)=0</formula>
    </cfRule>
  </conditionalFormatting>
  <conditionalFormatting sqref="E277">
    <cfRule type="expression" dxfId="1937" priority="331">
      <formula>MOD(ROW(),2)=0</formula>
    </cfRule>
  </conditionalFormatting>
  <conditionalFormatting sqref="G264">
    <cfRule type="expression" dxfId="1936" priority="330">
      <formula>MOD(ROW(),2)=0</formula>
    </cfRule>
  </conditionalFormatting>
  <conditionalFormatting sqref="G278">
    <cfRule type="expression" dxfId="1935" priority="329">
      <formula>MOD(ROW(),2)=0</formula>
    </cfRule>
  </conditionalFormatting>
  <conditionalFormatting sqref="G265">
    <cfRule type="expression" dxfId="1934" priority="328">
      <formula>MOD(ROW(),2)=0</formula>
    </cfRule>
  </conditionalFormatting>
  <conditionalFormatting sqref="G279">
    <cfRule type="expression" dxfId="1933" priority="327">
      <formula>MOD(ROW(),2)=0</formula>
    </cfRule>
  </conditionalFormatting>
  <conditionalFormatting sqref="G266">
    <cfRule type="expression" dxfId="1932" priority="326">
      <formula>MOD(ROW(),2)=0</formula>
    </cfRule>
  </conditionalFormatting>
  <conditionalFormatting sqref="G280">
    <cfRule type="expression" dxfId="1931" priority="325">
      <formula>MOD(ROW(),2)=0</formula>
    </cfRule>
  </conditionalFormatting>
  <conditionalFormatting sqref="G267">
    <cfRule type="expression" dxfId="1930" priority="324">
      <formula>MOD(ROW(),2)=0</formula>
    </cfRule>
  </conditionalFormatting>
  <conditionalFormatting sqref="G257">
    <cfRule type="expression" dxfId="1929" priority="320">
      <formula>MOD(ROW(),2)=0</formula>
    </cfRule>
  </conditionalFormatting>
  <conditionalFormatting sqref="G271">
    <cfRule type="expression" dxfId="1928" priority="319">
      <formula>MOD(ROW(),2)=0</formula>
    </cfRule>
  </conditionalFormatting>
  <conditionalFormatting sqref="G258">
    <cfRule type="expression" dxfId="1927" priority="318">
      <formula>MOD(ROW(),2)=0</formula>
    </cfRule>
  </conditionalFormatting>
  <conditionalFormatting sqref="G272">
    <cfRule type="expression" dxfId="1926" priority="317">
      <formula>MOD(ROW(),2)=0</formula>
    </cfRule>
  </conditionalFormatting>
  <conditionalFormatting sqref="G259">
    <cfRule type="expression" dxfId="1925" priority="316">
      <formula>MOD(ROW(),2)=0</formula>
    </cfRule>
  </conditionalFormatting>
  <conditionalFormatting sqref="G273">
    <cfRule type="expression" dxfId="1924" priority="315">
      <formula>MOD(ROW(),2)=0</formula>
    </cfRule>
  </conditionalFormatting>
  <conditionalFormatting sqref="F245">
    <cfRule type="expression" dxfId="1923" priority="305">
      <formula>MOD(ROW(),2)=0</formula>
    </cfRule>
  </conditionalFormatting>
  <conditionalFormatting sqref="G245">
    <cfRule type="expression" dxfId="1922" priority="304">
      <formula>MOD(ROW(),2)=0</formula>
    </cfRule>
  </conditionalFormatting>
  <conditionalFormatting sqref="E245">
    <cfRule type="expression" dxfId="1921" priority="303">
      <formula>MOD(ROW(),2)=0</formula>
    </cfRule>
  </conditionalFormatting>
  <conditionalFormatting sqref="F246">
    <cfRule type="expression" dxfId="1920" priority="302">
      <formula>MOD(ROW(),2)=0</formula>
    </cfRule>
  </conditionalFormatting>
  <conditionalFormatting sqref="E283">
    <cfRule type="expression" dxfId="1919" priority="284">
      <formula>MOD(ROW(),2)=0</formula>
    </cfRule>
  </conditionalFormatting>
  <conditionalFormatting sqref="E288">
    <cfRule type="expression" dxfId="1918" priority="283">
      <formula>MOD(ROW(),2)=0</formula>
    </cfRule>
  </conditionalFormatting>
  <conditionalFormatting sqref="G227:G228">
    <cfRule type="expression" dxfId="1917" priority="267">
      <formula>MOD(ROW(),2)=0</formula>
    </cfRule>
  </conditionalFormatting>
  <conditionalFormatting sqref="G285">
    <cfRule type="expression" dxfId="1916" priority="250">
      <formula>MOD(ROW(),2)=0</formula>
    </cfRule>
  </conditionalFormatting>
  <conditionalFormatting sqref="F243">
    <cfRule type="expression" dxfId="1914" priority="245">
      <formula>MOD(ROW(),2)=0</formula>
    </cfRule>
  </conditionalFormatting>
  <conditionalFormatting sqref="F244">
    <cfRule type="expression" dxfId="1913" priority="242">
      <formula>MOD(ROW(),2)=0</formula>
    </cfRule>
  </conditionalFormatting>
  <conditionalFormatting sqref="F245">
    <cfRule type="expression" dxfId="1912" priority="239">
      <formula>MOD(ROW(),2)=0</formula>
    </cfRule>
  </conditionalFormatting>
  <conditionalFormatting sqref="E245">
    <cfRule type="expression" dxfId="1911" priority="238">
      <formula>MOD(ROW(),2)=0</formula>
    </cfRule>
  </conditionalFormatting>
  <conditionalFormatting sqref="F246">
    <cfRule type="expression" dxfId="1910" priority="237">
      <formula>MOD(ROW(),2)=0</formula>
    </cfRule>
  </conditionalFormatting>
  <conditionalFormatting sqref="F247">
    <cfRule type="expression" dxfId="1909" priority="235">
      <formula>MOD(ROW(),2)=0</formula>
    </cfRule>
  </conditionalFormatting>
  <conditionalFormatting sqref="F248">
    <cfRule type="expression" dxfId="1908" priority="234">
      <formula>MOD(ROW(),2)=0</formula>
    </cfRule>
  </conditionalFormatting>
  <conditionalFormatting sqref="H132:H147 H124:H127">
    <cfRule type="expression" dxfId="1907" priority="192">
      <formula>MOD(ROW(),2)=0</formula>
    </cfRule>
  </conditionalFormatting>
  <conditionalFormatting sqref="H76:H123 H148:H162 H172:H219">
    <cfRule type="expression" dxfId="1906" priority="191">
      <formula>MOD(ROW(),2)=0</formula>
    </cfRule>
  </conditionalFormatting>
  <conditionalFormatting sqref="H128:H131">
    <cfRule type="expression" dxfId="1905" priority="190">
      <formula>MOD(ROW(),2)=0</formula>
    </cfRule>
  </conditionalFormatting>
  <conditionalFormatting sqref="H163:H164">
    <cfRule type="expression" dxfId="1904" priority="189">
      <formula>MOD(ROW(),2)=0</formula>
    </cfRule>
  </conditionalFormatting>
  <conditionalFormatting sqref="H165:H171">
    <cfRule type="expression" dxfId="1903" priority="188">
      <formula>MOD(ROW(),2)=0</formula>
    </cfRule>
  </conditionalFormatting>
  <conditionalFormatting sqref="G204:G205">
    <cfRule type="expression" dxfId="1902" priority="187">
      <formula>MOD(ROW(),2)=0</formula>
    </cfRule>
  </conditionalFormatting>
  <conditionalFormatting sqref="G206:G207">
    <cfRule type="expression" dxfId="1901" priority="186">
      <formula>MOD(ROW(),2)=0</formula>
    </cfRule>
  </conditionalFormatting>
  <conditionalFormatting sqref="G208:G209">
    <cfRule type="expression" dxfId="1900" priority="185">
      <formula>MOD(ROW(),2)=0</formula>
    </cfRule>
  </conditionalFormatting>
  <conditionalFormatting sqref="G210:G211">
    <cfRule type="expression" dxfId="1899" priority="184">
      <formula>MOD(ROW(),2)=0</formula>
    </cfRule>
  </conditionalFormatting>
  <conditionalFormatting sqref="G212:G213">
    <cfRule type="expression" dxfId="1898" priority="183">
      <formula>MOD(ROW(),2)=0</formula>
    </cfRule>
  </conditionalFormatting>
  <conditionalFormatting sqref="E208:E209">
    <cfRule type="expression" dxfId="1897" priority="182">
      <formula>MOD(ROW(),2)=0</formula>
    </cfRule>
  </conditionalFormatting>
  <conditionalFormatting sqref="E210:E213">
    <cfRule type="expression" dxfId="1896" priority="181">
      <formula>MOD(ROW(),2)=0</formula>
    </cfRule>
  </conditionalFormatting>
  <conditionalFormatting sqref="G214:G215">
    <cfRule type="expression" dxfId="1895" priority="180">
      <formula>MOD(ROW(),2)=0</formula>
    </cfRule>
  </conditionalFormatting>
  <conditionalFormatting sqref="G216:G217">
    <cfRule type="expression" dxfId="1894" priority="179">
      <formula>MOD(ROW(),2)=0</formula>
    </cfRule>
  </conditionalFormatting>
  <conditionalFormatting sqref="G218:G219">
    <cfRule type="expression" dxfId="1893" priority="178">
      <formula>MOD(ROW(),2)=0</formula>
    </cfRule>
  </conditionalFormatting>
  <conditionalFormatting sqref="G200:G201">
    <cfRule type="expression" dxfId="1892" priority="177">
      <formula>MOD(ROW(),2)=0</formula>
    </cfRule>
  </conditionalFormatting>
  <conditionalFormatting sqref="G202:G203">
    <cfRule type="expression" dxfId="1891" priority="176">
      <formula>MOD(ROW(),2)=0</formula>
    </cfRule>
  </conditionalFormatting>
  <conditionalFormatting sqref="E214:E215">
    <cfRule type="expression" dxfId="1890" priority="175">
      <formula>MOD(ROW(),2)=0</formula>
    </cfRule>
  </conditionalFormatting>
  <conditionalFormatting sqref="E216:E219">
    <cfRule type="expression" dxfId="1889" priority="174">
      <formula>MOD(ROW(),2)=0</formula>
    </cfRule>
  </conditionalFormatting>
  <conditionalFormatting sqref="E76:E87">
    <cfRule type="expression" dxfId="1888" priority="173">
      <formula>MOD(ROW(),2)=0</formula>
    </cfRule>
  </conditionalFormatting>
  <conditionalFormatting sqref="E88:E89">
    <cfRule type="expression" dxfId="1887" priority="172">
      <formula>MOD(ROW(),2)=0</formula>
    </cfRule>
  </conditionalFormatting>
  <conditionalFormatting sqref="E90:E93">
    <cfRule type="expression" dxfId="1886" priority="171">
      <formula>MOD(ROW(),2)=0</formula>
    </cfRule>
  </conditionalFormatting>
  <conditionalFormatting sqref="E94:E95">
    <cfRule type="expression" dxfId="1885" priority="170">
      <formula>MOD(ROW(),2)=0</formula>
    </cfRule>
  </conditionalFormatting>
  <conditionalFormatting sqref="E96:E99">
    <cfRule type="expression" dxfId="1884" priority="169">
      <formula>MOD(ROW(),2)=0</formula>
    </cfRule>
  </conditionalFormatting>
  <conditionalFormatting sqref="G84:G85">
    <cfRule type="expression" dxfId="1883" priority="168">
      <formula>MOD(ROW(),2)=0</formula>
    </cfRule>
  </conditionalFormatting>
  <conditionalFormatting sqref="G86:G87">
    <cfRule type="expression" dxfId="1882" priority="167">
      <formula>MOD(ROW(),2)=0</formula>
    </cfRule>
  </conditionalFormatting>
  <conditionalFormatting sqref="G88:G89">
    <cfRule type="expression" dxfId="1881" priority="166">
      <formula>MOD(ROW(),2)=0</formula>
    </cfRule>
  </conditionalFormatting>
  <conditionalFormatting sqref="G90:G91">
    <cfRule type="expression" dxfId="1880" priority="165">
      <formula>MOD(ROW(),2)=0</formula>
    </cfRule>
  </conditionalFormatting>
  <conditionalFormatting sqref="G92:G93">
    <cfRule type="expression" dxfId="1879" priority="164">
      <formula>MOD(ROW(),2)=0</formula>
    </cfRule>
  </conditionalFormatting>
  <conditionalFormatting sqref="G94:G95">
    <cfRule type="expression" dxfId="1878" priority="163">
      <formula>MOD(ROW(),2)=0</formula>
    </cfRule>
  </conditionalFormatting>
  <conditionalFormatting sqref="G96:G97">
    <cfRule type="expression" dxfId="1877" priority="162">
      <formula>MOD(ROW(),2)=0</formula>
    </cfRule>
  </conditionalFormatting>
  <conditionalFormatting sqref="G98:G99">
    <cfRule type="expression" dxfId="1876" priority="161">
      <formula>MOD(ROW(),2)=0</formula>
    </cfRule>
  </conditionalFormatting>
  <conditionalFormatting sqref="G80:G81">
    <cfRule type="expression" dxfId="1875" priority="160">
      <formula>MOD(ROW(),2)=0</formula>
    </cfRule>
  </conditionalFormatting>
  <conditionalFormatting sqref="G82:G83">
    <cfRule type="expression" dxfId="1874" priority="159">
      <formula>MOD(ROW(),2)=0</formula>
    </cfRule>
  </conditionalFormatting>
  <conditionalFormatting sqref="E148:E159">
    <cfRule type="expression" dxfId="1873" priority="158">
      <formula>MOD(ROW(),2)=0</formula>
    </cfRule>
  </conditionalFormatting>
  <conditionalFormatting sqref="E160:E161">
    <cfRule type="expression" dxfId="1872" priority="157">
      <formula>MOD(ROW(),2)=0</formula>
    </cfRule>
  </conditionalFormatting>
  <conditionalFormatting sqref="E162:E165">
    <cfRule type="expression" dxfId="1871" priority="156">
      <formula>MOD(ROW(),2)=0</formula>
    </cfRule>
  </conditionalFormatting>
  <conditionalFormatting sqref="E166:E167">
    <cfRule type="expression" dxfId="1870" priority="155">
      <formula>MOD(ROW(),2)=0</formula>
    </cfRule>
  </conditionalFormatting>
  <conditionalFormatting sqref="E168:E171">
    <cfRule type="expression" dxfId="1869" priority="154">
      <formula>MOD(ROW(),2)=0</formula>
    </cfRule>
  </conditionalFormatting>
  <conditionalFormatting sqref="G156:G157">
    <cfRule type="expression" dxfId="1868" priority="153">
      <formula>MOD(ROW(),2)=0</formula>
    </cfRule>
  </conditionalFormatting>
  <conditionalFormatting sqref="G158:G159">
    <cfRule type="expression" dxfId="1867" priority="152">
      <formula>MOD(ROW(),2)=0</formula>
    </cfRule>
  </conditionalFormatting>
  <conditionalFormatting sqref="G160:G161">
    <cfRule type="expression" dxfId="1866" priority="151">
      <formula>MOD(ROW(),2)=0</formula>
    </cfRule>
  </conditionalFormatting>
  <conditionalFormatting sqref="G162:G163">
    <cfRule type="expression" dxfId="1865" priority="150">
      <formula>MOD(ROW(),2)=0</formula>
    </cfRule>
  </conditionalFormatting>
  <conditionalFormatting sqref="G164:G165">
    <cfRule type="expression" dxfId="1864" priority="149">
      <formula>MOD(ROW(),2)=0</formula>
    </cfRule>
  </conditionalFormatting>
  <conditionalFormatting sqref="G166:G167">
    <cfRule type="expression" dxfId="1863" priority="148">
      <formula>MOD(ROW(),2)=0</formula>
    </cfRule>
  </conditionalFormatting>
  <conditionalFormatting sqref="G168:G169">
    <cfRule type="expression" dxfId="1862" priority="147">
      <formula>MOD(ROW(),2)=0</formula>
    </cfRule>
  </conditionalFormatting>
  <conditionalFormatting sqref="G170:G171">
    <cfRule type="expression" dxfId="1861" priority="146">
      <formula>MOD(ROW(),2)=0</formula>
    </cfRule>
  </conditionalFormatting>
  <conditionalFormatting sqref="G152:G153">
    <cfRule type="expression" dxfId="1860" priority="145">
      <formula>MOD(ROW(),2)=0</formula>
    </cfRule>
  </conditionalFormatting>
  <conditionalFormatting sqref="G154:G155">
    <cfRule type="expression" dxfId="1859" priority="144">
      <formula>MOD(ROW(),2)=0</formula>
    </cfRule>
  </conditionalFormatting>
  <conditionalFormatting sqref="E172:E183">
    <cfRule type="expression" dxfId="1858" priority="143">
      <formula>MOD(ROW(),2)=0</formula>
    </cfRule>
  </conditionalFormatting>
  <conditionalFormatting sqref="E184:E185">
    <cfRule type="expression" dxfId="1857" priority="142">
      <formula>MOD(ROW(),2)=0</formula>
    </cfRule>
  </conditionalFormatting>
  <conditionalFormatting sqref="E186:E189">
    <cfRule type="expression" dxfId="1856" priority="141">
      <formula>MOD(ROW(),2)=0</formula>
    </cfRule>
  </conditionalFormatting>
  <conditionalFormatting sqref="E190:E191">
    <cfRule type="expression" dxfId="1855" priority="140">
      <formula>MOD(ROW(),2)=0</formula>
    </cfRule>
  </conditionalFormatting>
  <conditionalFormatting sqref="E192:E195">
    <cfRule type="expression" dxfId="1854" priority="139">
      <formula>MOD(ROW(),2)=0</formula>
    </cfRule>
  </conditionalFormatting>
  <conditionalFormatting sqref="G180:G181">
    <cfRule type="expression" dxfId="1853" priority="138">
      <formula>MOD(ROW(),2)=0</formula>
    </cfRule>
  </conditionalFormatting>
  <conditionalFormatting sqref="G182:G183">
    <cfRule type="expression" dxfId="1852" priority="137">
      <formula>MOD(ROW(),2)=0</formula>
    </cfRule>
  </conditionalFormatting>
  <conditionalFormatting sqref="G184:G185">
    <cfRule type="expression" dxfId="1851" priority="136">
      <formula>MOD(ROW(),2)=0</formula>
    </cfRule>
  </conditionalFormatting>
  <conditionalFormatting sqref="G186:G187">
    <cfRule type="expression" dxfId="1850" priority="135">
      <formula>MOD(ROW(),2)=0</formula>
    </cfRule>
  </conditionalFormatting>
  <conditionalFormatting sqref="G188:G189">
    <cfRule type="expression" dxfId="1849" priority="134">
      <formula>MOD(ROW(),2)=0</formula>
    </cfRule>
  </conditionalFormatting>
  <conditionalFormatting sqref="G190:G191">
    <cfRule type="expression" dxfId="1848" priority="133">
      <formula>MOD(ROW(),2)=0</formula>
    </cfRule>
  </conditionalFormatting>
  <conditionalFormatting sqref="G192:G193">
    <cfRule type="expression" dxfId="1847" priority="132">
      <formula>MOD(ROW(),2)=0</formula>
    </cfRule>
  </conditionalFormatting>
  <conditionalFormatting sqref="G194:G195">
    <cfRule type="expression" dxfId="1846" priority="131">
      <formula>MOD(ROW(),2)=0</formula>
    </cfRule>
  </conditionalFormatting>
  <conditionalFormatting sqref="G176:G177">
    <cfRule type="expression" dxfId="1845" priority="130">
      <formula>MOD(ROW(),2)=0</formula>
    </cfRule>
  </conditionalFormatting>
  <conditionalFormatting sqref="G178:G179">
    <cfRule type="expression" dxfId="1844" priority="129">
      <formula>MOD(ROW(),2)=0</formula>
    </cfRule>
  </conditionalFormatting>
  <conditionalFormatting sqref="G100:G101">
    <cfRule type="expression" dxfId="1843" priority="128">
      <formula>MOD(ROW(),2)=0</formula>
    </cfRule>
  </conditionalFormatting>
  <conditionalFormatting sqref="G102:G103">
    <cfRule type="expression" dxfId="1842" priority="127">
      <formula>MOD(ROW(),2)=0</formula>
    </cfRule>
  </conditionalFormatting>
  <conditionalFormatting sqref="G108:G109">
    <cfRule type="expression" dxfId="1841" priority="126">
      <formula>MOD(ROW(),2)=0</formula>
    </cfRule>
  </conditionalFormatting>
  <conditionalFormatting sqref="G110:G111">
    <cfRule type="expression" dxfId="1840" priority="125">
      <formula>MOD(ROW(),2)=0</formula>
    </cfRule>
  </conditionalFormatting>
  <conditionalFormatting sqref="G112:G113">
    <cfRule type="expression" dxfId="1839" priority="124">
      <formula>MOD(ROW(),2)=0</formula>
    </cfRule>
  </conditionalFormatting>
  <conditionalFormatting sqref="G114:G115">
    <cfRule type="expression" dxfId="1838" priority="123">
      <formula>MOD(ROW(),2)=0</formula>
    </cfRule>
  </conditionalFormatting>
  <conditionalFormatting sqref="G116:G117">
    <cfRule type="expression" dxfId="1837" priority="122">
      <formula>MOD(ROW(),2)=0</formula>
    </cfRule>
  </conditionalFormatting>
  <conditionalFormatting sqref="G118:G119">
    <cfRule type="expression" dxfId="1836" priority="121">
      <formula>MOD(ROW(),2)=0</formula>
    </cfRule>
  </conditionalFormatting>
  <conditionalFormatting sqref="G120:G121">
    <cfRule type="expression" dxfId="1835" priority="120">
      <formula>MOD(ROW(),2)=0</formula>
    </cfRule>
  </conditionalFormatting>
  <conditionalFormatting sqref="G122:G123">
    <cfRule type="expression" dxfId="1834" priority="119">
      <formula>MOD(ROW(),2)=0</formula>
    </cfRule>
  </conditionalFormatting>
  <conditionalFormatting sqref="G104:G105">
    <cfRule type="expression" dxfId="1833" priority="118">
      <formula>MOD(ROW(),2)=0</formula>
    </cfRule>
  </conditionalFormatting>
  <conditionalFormatting sqref="G106:G107">
    <cfRule type="expression" dxfId="1832" priority="117">
      <formula>MOD(ROW(),2)=0</formula>
    </cfRule>
  </conditionalFormatting>
  <conditionalFormatting sqref="E100:E103">
    <cfRule type="expression" dxfId="1831" priority="116">
      <formula>MOD(ROW(),2)=0</formula>
    </cfRule>
  </conditionalFormatting>
  <conditionalFormatting sqref="E104:E107">
    <cfRule type="expression" dxfId="1830" priority="115">
      <formula>MOD(ROW(),2)=0</formula>
    </cfRule>
  </conditionalFormatting>
  <conditionalFormatting sqref="E108:E111">
    <cfRule type="expression" dxfId="1829" priority="114">
      <formula>MOD(ROW(),2)=0</formula>
    </cfRule>
  </conditionalFormatting>
  <conditionalFormatting sqref="E112:E115">
    <cfRule type="expression" dxfId="1828" priority="113">
      <formula>MOD(ROW(),2)=0</formula>
    </cfRule>
  </conditionalFormatting>
  <conditionalFormatting sqref="E116:E119">
    <cfRule type="expression" dxfId="1827" priority="112">
      <formula>MOD(ROW(),2)=0</formula>
    </cfRule>
  </conditionalFormatting>
  <conditionalFormatting sqref="E120:E123">
    <cfRule type="expression" dxfId="1826" priority="111">
      <formula>MOD(ROW(),2)=0</formula>
    </cfRule>
  </conditionalFormatting>
  <conditionalFormatting sqref="G124:G125">
    <cfRule type="expression" dxfId="1825" priority="110">
      <formula>MOD(ROW(),2)=0</formula>
    </cfRule>
  </conditionalFormatting>
  <conditionalFormatting sqref="G126:G127">
    <cfRule type="expression" dxfId="1824" priority="109">
      <formula>MOD(ROW(),2)=0</formula>
    </cfRule>
  </conditionalFormatting>
  <conditionalFormatting sqref="G132:G133">
    <cfRule type="expression" dxfId="1823" priority="108">
      <formula>MOD(ROW(),2)=0</formula>
    </cfRule>
  </conditionalFormatting>
  <conditionalFormatting sqref="G134:G135">
    <cfRule type="expression" dxfId="1822" priority="107">
      <formula>MOD(ROW(),2)=0</formula>
    </cfRule>
  </conditionalFormatting>
  <conditionalFormatting sqref="G136:G137">
    <cfRule type="expression" dxfId="1821" priority="106">
      <formula>MOD(ROW(),2)=0</formula>
    </cfRule>
  </conditionalFormatting>
  <conditionalFormatting sqref="G138:G139">
    <cfRule type="expression" dxfId="1820" priority="105">
      <formula>MOD(ROW(),2)=0</formula>
    </cfRule>
  </conditionalFormatting>
  <conditionalFormatting sqref="G140:G141">
    <cfRule type="expression" dxfId="1819" priority="104">
      <formula>MOD(ROW(),2)=0</formula>
    </cfRule>
  </conditionalFormatting>
  <conditionalFormatting sqref="G142:G143">
    <cfRule type="expression" dxfId="1818" priority="103">
      <formula>MOD(ROW(),2)=0</formula>
    </cfRule>
  </conditionalFormatting>
  <conditionalFormatting sqref="G144:G145">
    <cfRule type="expression" dxfId="1817" priority="102">
      <formula>MOD(ROW(),2)=0</formula>
    </cfRule>
  </conditionalFormatting>
  <conditionalFormatting sqref="G146:G147">
    <cfRule type="expression" dxfId="1816" priority="101">
      <formula>MOD(ROW(),2)=0</formula>
    </cfRule>
  </conditionalFormatting>
  <conditionalFormatting sqref="G128:G129">
    <cfRule type="expression" dxfId="1815" priority="100">
      <formula>MOD(ROW(),2)=0</formula>
    </cfRule>
  </conditionalFormatting>
  <conditionalFormatting sqref="G130:G131">
    <cfRule type="expression" dxfId="1814" priority="99">
      <formula>MOD(ROW(),2)=0</formula>
    </cfRule>
  </conditionalFormatting>
  <conditionalFormatting sqref="G404:G405">
    <cfRule type="expression" dxfId="1813" priority="98">
      <formula>MOD(ROW(),2)=0</formula>
    </cfRule>
  </conditionalFormatting>
  <conditionalFormatting sqref="G225">
    <cfRule type="expression" dxfId="1812" priority="97">
      <formula>MOD(ROW(),2)=0</formula>
    </cfRule>
  </conditionalFormatting>
  <conditionalFormatting sqref="G246">
    <cfRule type="expression" dxfId="1811" priority="96">
      <formula>MOD(ROW(),2)=0</formula>
    </cfRule>
  </conditionalFormatting>
  <conditionalFormatting sqref="E221">
    <cfRule type="expression" dxfId="1810" priority="77">
      <formula>MOD(ROW(),2)=0</formula>
    </cfRule>
  </conditionalFormatting>
  <conditionalFormatting sqref="H74:H75">
    <cfRule type="expression" dxfId="1808" priority="93">
      <formula>MOD(ROW(),2)=0</formula>
    </cfRule>
  </conditionalFormatting>
  <conditionalFormatting sqref="E74:E75">
    <cfRule type="expression" dxfId="1807" priority="92">
      <formula>MOD(ROW(),2)=0</formula>
    </cfRule>
  </conditionalFormatting>
  <conditionalFormatting sqref="E225">
    <cfRule type="expression" dxfId="1806" priority="91">
      <formula>MOD(ROW(),2)=0</formula>
    </cfRule>
  </conditionalFormatting>
  <conditionalFormatting sqref="E397">
    <cfRule type="expression" dxfId="1805" priority="72">
      <formula>MOD(ROW(),2)=0</formula>
    </cfRule>
  </conditionalFormatting>
  <conditionalFormatting sqref="E246">
    <cfRule type="expression" dxfId="1803" priority="88">
      <formula>MOD(ROW(),2)=0</formula>
    </cfRule>
  </conditionalFormatting>
  <conditionalFormatting sqref="E404">
    <cfRule type="expression" dxfId="1802" priority="87">
      <formula>MOD(ROW(),2)=0</formula>
    </cfRule>
  </conditionalFormatting>
  <conditionalFormatting sqref="E405">
    <cfRule type="expression" dxfId="1801" priority="86">
      <formula>MOD(ROW(),2)=0</formula>
    </cfRule>
  </conditionalFormatting>
  <conditionalFormatting sqref="G396:G397">
    <cfRule type="expression" dxfId="1800" priority="85">
      <formula>MOD(ROW(),2)=0</formula>
    </cfRule>
  </conditionalFormatting>
  <conditionalFormatting sqref="G221">
    <cfRule type="expression" dxfId="1799" priority="84">
      <formula>MOD(ROW(),2)=0</formula>
    </cfRule>
  </conditionalFormatting>
  <conditionalFormatting sqref="G242">
    <cfRule type="expression" dxfId="1798" priority="83">
      <formula>MOD(ROW(),2)=0</formula>
    </cfRule>
  </conditionalFormatting>
  <conditionalFormatting sqref="E223">
    <cfRule type="expression" dxfId="1797" priority="64">
      <formula>MOD(ROW(),2)=0</formula>
    </cfRule>
  </conditionalFormatting>
  <conditionalFormatting sqref="H66:H67">
    <cfRule type="expression" dxfId="1795" priority="80">
      <formula>MOD(ROW(),2)=0</formula>
    </cfRule>
  </conditionalFormatting>
  <conditionalFormatting sqref="E66">
    <cfRule type="expression" dxfId="1794" priority="79">
      <formula>MOD(ROW(),2)=0</formula>
    </cfRule>
  </conditionalFormatting>
  <conditionalFormatting sqref="E67">
    <cfRule type="expression" dxfId="1793" priority="78">
      <formula>MOD(ROW(),2)=0</formula>
    </cfRule>
  </conditionalFormatting>
  <conditionalFormatting sqref="G398:G399">
    <cfRule type="expression" dxfId="1791" priority="58">
      <formula>MOD(ROW(),2)=0</formula>
    </cfRule>
  </conditionalFormatting>
  <conditionalFormatting sqref="E242">
    <cfRule type="expression" dxfId="1789" priority="74">
      <formula>MOD(ROW(),2)=0</formula>
    </cfRule>
  </conditionalFormatting>
  <conditionalFormatting sqref="E396">
    <cfRule type="expression" dxfId="1788" priority="73">
      <formula>MOD(ROW(),2)=0</formula>
    </cfRule>
  </conditionalFormatting>
  <conditionalFormatting sqref="G400:G401">
    <cfRule type="expression" dxfId="1786" priority="71">
      <formula>MOD(ROW(),2)=0</formula>
    </cfRule>
  </conditionalFormatting>
  <conditionalFormatting sqref="G223">
    <cfRule type="expression" dxfId="1785" priority="70">
      <formula>MOD(ROW(),2)=0</formula>
    </cfRule>
  </conditionalFormatting>
  <conditionalFormatting sqref="G244">
    <cfRule type="expression" dxfId="1784" priority="69">
      <formula>MOD(ROW(),2)=0</formula>
    </cfRule>
  </conditionalFormatting>
  <conditionalFormatting sqref="H70:H71">
    <cfRule type="expression" dxfId="1781" priority="66">
      <formula>MOD(ROW(),2)=0</formula>
    </cfRule>
  </conditionalFormatting>
  <conditionalFormatting sqref="E70:E71">
    <cfRule type="expression" dxfId="1780" priority="65">
      <formula>MOD(ROW(),2)=0</formula>
    </cfRule>
  </conditionalFormatting>
  <conditionalFormatting sqref="G247">
    <cfRule type="expression" dxfId="1778" priority="45">
      <formula>MOD(ROW(),2)=0</formula>
    </cfRule>
  </conditionalFormatting>
  <conditionalFormatting sqref="E244">
    <cfRule type="expression" dxfId="1776" priority="61">
      <formula>MOD(ROW(),2)=0</formula>
    </cfRule>
  </conditionalFormatting>
  <conditionalFormatting sqref="E400">
    <cfRule type="expression" dxfId="1775" priority="60">
      <formula>MOD(ROW(),2)=0</formula>
    </cfRule>
  </conditionalFormatting>
  <conditionalFormatting sqref="E401">
    <cfRule type="expression" dxfId="1774" priority="59">
      <formula>MOD(ROW(),2)=0</formula>
    </cfRule>
  </conditionalFormatting>
  <conditionalFormatting sqref="G222">
    <cfRule type="expression" dxfId="1772" priority="57">
      <formula>MOD(ROW(),2)=0</formula>
    </cfRule>
  </conditionalFormatting>
  <conditionalFormatting sqref="G243">
    <cfRule type="expression" dxfId="1771" priority="56">
      <formula>MOD(ROW(),2)=0</formula>
    </cfRule>
  </conditionalFormatting>
  <conditionalFormatting sqref="K251">
    <cfRule type="expression" dxfId="1770" priority="37">
      <formula>MOD(ROW(),2)=0</formula>
    </cfRule>
  </conditionalFormatting>
  <conditionalFormatting sqref="H68:H69">
    <cfRule type="expression" dxfId="1768" priority="53">
      <formula>MOD(ROW(),2)=0</formula>
    </cfRule>
  </conditionalFormatting>
  <conditionalFormatting sqref="E243">
    <cfRule type="expression" dxfId="1767" priority="52">
      <formula>MOD(ROW(),2)=0</formula>
    </cfRule>
  </conditionalFormatting>
  <conditionalFormatting sqref="G66:G67">
    <cfRule type="expression" dxfId="1765" priority="32">
      <formula>MOD(ROW(),2)=0</formula>
    </cfRule>
  </conditionalFormatting>
  <conditionalFormatting sqref="E222">
    <cfRule type="expression" dxfId="1764" priority="49">
      <formula>MOD(ROW(),2)=0</formula>
    </cfRule>
  </conditionalFormatting>
  <conditionalFormatting sqref="E398">
    <cfRule type="expression" dxfId="1763" priority="48">
      <formula>MOD(ROW(),2)=0</formula>
    </cfRule>
  </conditionalFormatting>
  <conditionalFormatting sqref="E399">
    <cfRule type="expression" dxfId="1762" priority="47">
      <formula>MOD(ROW(),2)=0</formula>
    </cfRule>
  </conditionalFormatting>
  <conditionalFormatting sqref="G247">
    <cfRule type="expression" dxfId="1761" priority="43">
      <formula>MOD(ROW(),2)=0</formula>
    </cfRule>
  </conditionalFormatting>
  <conditionalFormatting sqref="G248">
    <cfRule type="expression" dxfId="1760" priority="42">
      <formula>MOD(ROW(),2)=0</formula>
    </cfRule>
  </conditionalFormatting>
  <conditionalFormatting sqref="G249">
    <cfRule type="expression" dxfId="1759" priority="41">
      <formula>MOD(ROW(),2)=0</formula>
    </cfRule>
  </conditionalFormatting>
  <conditionalFormatting sqref="G250">
    <cfRule type="expression" dxfId="1758" priority="40">
      <formula>MOD(ROW(),2)=0</formula>
    </cfRule>
  </conditionalFormatting>
  <conditionalFormatting sqref="G251:G252">
    <cfRule type="expression" dxfId="1757" priority="46">
      <formula>MOD(ROW(),2)=0</formula>
    </cfRule>
  </conditionalFormatting>
  <conditionalFormatting sqref="G248">
    <cfRule type="expression" dxfId="1755" priority="44">
      <formula>MOD(ROW(),2)=0</formula>
    </cfRule>
  </conditionalFormatting>
  <conditionalFormatting sqref="G388:G393">
    <cfRule type="expression" dxfId="1754" priority="39">
      <formula>MOD(ROW(),2)=0</formula>
    </cfRule>
  </conditionalFormatting>
  <conditionalFormatting sqref="K247:K250">
    <cfRule type="expression" dxfId="1753" priority="38">
      <formula>MOD(ROW(),2)=0</formula>
    </cfRule>
  </conditionalFormatting>
  <conditionalFormatting sqref="K252">
    <cfRule type="expression" dxfId="1751" priority="36">
      <formula>MOD(ROW(),2)=0</formula>
    </cfRule>
  </conditionalFormatting>
  <conditionalFormatting sqref="J247:J252">
    <cfRule type="expression" dxfId="1750" priority="35">
      <formula>MOD(ROW(),2)=0</formula>
    </cfRule>
  </conditionalFormatting>
  <conditionalFormatting sqref="G72:G73">
    <cfRule type="expression" dxfId="1749" priority="34">
      <formula>MOD(ROW(),2)=0</formula>
    </cfRule>
  </conditionalFormatting>
  <conditionalFormatting sqref="G74:G75">
    <cfRule type="expression" dxfId="1748" priority="33">
      <formula>MOD(ROW(),2)=0</formula>
    </cfRule>
  </conditionalFormatting>
  <conditionalFormatting sqref="G70:G71">
    <cfRule type="expression" dxfId="1746" priority="31">
      <formula>MOD(ROW(),2)=0</formula>
    </cfRule>
  </conditionalFormatting>
  <conditionalFormatting sqref="G68:G69">
    <cfRule type="expression" dxfId="1745" priority="30">
      <formula>MOD(ROW(),2)=0</formula>
    </cfRule>
  </conditionalFormatting>
  <conditionalFormatting sqref="G235">
    <cfRule type="expression" dxfId="1744" priority="27">
      <formula>MOD(ROW(),2)=0</formula>
    </cfRule>
  </conditionalFormatting>
  <conditionalFormatting sqref="F240 E235:F235 E239:G239 F236:F238">
    <cfRule type="expression" dxfId="1743" priority="29">
      <formula>MOD(ROW(),2)=0</formula>
    </cfRule>
  </conditionalFormatting>
  <conditionalFormatting sqref="D235:D240">
    <cfRule type="expression" dxfId="1742" priority="28">
      <formula>MOD(ROW(),2)=0</formula>
    </cfRule>
  </conditionalFormatting>
  <conditionalFormatting sqref="G240">
    <cfRule type="expression" dxfId="1741" priority="26">
      <formula>MOD(ROW(),2)=0</formula>
    </cfRule>
  </conditionalFormatting>
  <conditionalFormatting sqref="E240">
    <cfRule type="expression" dxfId="1740" priority="25">
      <formula>MOD(ROW(),2)=0</formula>
    </cfRule>
  </conditionalFormatting>
  <conditionalFormatting sqref="G236">
    <cfRule type="expression" dxfId="1739" priority="24">
      <formula>MOD(ROW(),2)=0</formula>
    </cfRule>
  </conditionalFormatting>
  <conditionalFormatting sqref="E236">
    <cfRule type="expression" dxfId="1738" priority="23">
      <formula>MOD(ROW(),2)=0</formula>
    </cfRule>
  </conditionalFormatting>
  <conditionalFormatting sqref="G238">
    <cfRule type="expression" dxfId="1737" priority="22">
      <formula>MOD(ROW(),2)=0</formula>
    </cfRule>
  </conditionalFormatting>
  <conditionalFormatting sqref="E238">
    <cfRule type="expression" dxfId="1736" priority="21">
      <formula>MOD(ROW(),2)=0</formula>
    </cfRule>
  </conditionalFormatting>
  <conditionalFormatting sqref="G237">
    <cfRule type="expression" dxfId="1735" priority="20">
      <formula>MOD(ROW(),2)=0</formula>
    </cfRule>
  </conditionalFormatting>
  <conditionalFormatting sqref="E237">
    <cfRule type="expression" dxfId="1734" priority="19">
      <formula>MOD(ROW(),2)=0</formula>
    </cfRule>
  </conditionalFormatting>
  <conditionalFormatting sqref="G229">
    <cfRule type="expression" dxfId="1733" priority="16">
      <formula>MOD(ROW(),2)=0</formula>
    </cfRule>
  </conditionalFormatting>
  <conditionalFormatting sqref="E229">
    <cfRule type="expression" dxfId="1732" priority="15">
      <formula>MOD(ROW(),2)=0</formula>
    </cfRule>
  </conditionalFormatting>
  <conditionalFormatting sqref="F233">
    <cfRule type="expression" dxfId="1731" priority="14">
      <formula>MOD(ROW(),2)=0</formula>
    </cfRule>
  </conditionalFormatting>
  <conditionalFormatting sqref="F234">
    <cfRule type="expression" dxfId="1730" priority="13">
      <formula>MOD(ROW(),2)=0</formula>
    </cfRule>
  </conditionalFormatting>
  <conditionalFormatting sqref="F231">
    <cfRule type="expression" dxfId="1729" priority="12">
      <formula>MOD(ROW(),2)=0</formula>
    </cfRule>
  </conditionalFormatting>
  <conditionalFormatting sqref="F232">
    <cfRule type="expression" dxfId="1728" priority="11">
      <formula>MOD(ROW(),2)=0</formula>
    </cfRule>
  </conditionalFormatting>
  <conditionalFormatting sqref="G233">
    <cfRule type="expression" dxfId="1727" priority="10">
      <formula>MOD(ROW(),2)=0</formula>
    </cfRule>
  </conditionalFormatting>
  <conditionalFormatting sqref="E233">
    <cfRule type="expression" dxfId="1726" priority="9">
      <formula>MOD(ROW(),2)=0</formula>
    </cfRule>
  </conditionalFormatting>
  <conditionalFormatting sqref="F229:F230">
    <cfRule type="expression" dxfId="1725" priority="18">
      <formula>MOD(ROW(),2)=0</formula>
    </cfRule>
  </conditionalFormatting>
  <conditionalFormatting sqref="D229:D234">
    <cfRule type="expression" dxfId="1724" priority="17">
      <formula>MOD(ROW(),2)=0</formula>
    </cfRule>
  </conditionalFormatting>
  <conditionalFormatting sqref="G234">
    <cfRule type="expression" dxfId="1723" priority="8">
      <formula>MOD(ROW(),2)=0</formula>
    </cfRule>
  </conditionalFormatting>
  <conditionalFormatting sqref="E234">
    <cfRule type="expression" dxfId="1722" priority="7">
      <formula>MOD(ROW(),2)=0</formula>
    </cfRule>
  </conditionalFormatting>
  <conditionalFormatting sqref="G230">
    <cfRule type="expression" dxfId="1721" priority="6">
      <formula>MOD(ROW(),2)=0</formula>
    </cfRule>
  </conditionalFormatting>
  <conditionalFormatting sqref="E230">
    <cfRule type="expression" dxfId="1720" priority="5">
      <formula>MOD(ROW(),2)=0</formula>
    </cfRule>
  </conditionalFormatting>
  <conditionalFormatting sqref="G232">
    <cfRule type="expression" dxfId="1719" priority="4">
      <formula>MOD(ROW(),2)=0</formula>
    </cfRule>
  </conditionalFormatting>
  <conditionalFormatting sqref="E232">
    <cfRule type="expression" dxfId="1718" priority="3">
      <formula>MOD(ROW(),2)=0</formula>
    </cfRule>
  </conditionalFormatting>
  <conditionalFormatting sqref="G231">
    <cfRule type="expression" dxfId="1717" priority="2">
      <formula>MOD(ROW(),2)=0</formula>
    </cfRule>
  </conditionalFormatting>
  <conditionalFormatting sqref="E231">
    <cfRule type="expression" dxfId="1716" priority="1">
      <formula>MOD(ROW(),2)=0</formula>
    </cfRule>
  </conditionalFormatting>
  <hyperlinks>
    <hyperlink ref="AN6" location="'0'!A1" tooltip="X stave 0, Front" display="'0'!A1" xr:uid="{00000000-0004-0000-0900-000000000000}"/>
    <hyperlink ref="AN7:AN10" location="'0'!A1" tooltip="X stave 0, Front" display="'0'!A1" xr:uid="{00000000-0004-0000-0900-000001000000}"/>
    <hyperlink ref="AJ6" location="'0'!A1" tooltip="X stave 0, Front" display="'0'!A1" xr:uid="{00000000-0004-0000-0900-000002000000}"/>
    <hyperlink ref="AJ7:AJ10" location="'0'!A1" tooltip="X stave 0, Front" display="'0'!A1" xr:uid="{00000000-0004-0000-0900-000003000000}"/>
    <hyperlink ref="AH6" location="'0'!A1" tooltip="X stave 0, Front" display="'0'!A1" xr:uid="{00000000-0004-0000-0900-000004000000}"/>
    <hyperlink ref="AH7:AH10" location="'0'!A1" tooltip="X stave 0, Front" display="'0'!A1" xr:uid="{00000000-0004-0000-0900-000005000000}"/>
    <hyperlink ref="AJ6:AJ10" location="'2'!A1" tooltip="DCB 2" display="'2'!A1" xr:uid="{00000000-0004-0000-0900-000006000000}"/>
    <hyperlink ref="AN6:AN10" location="'0'!A1" tooltip="DCB 0" display="'0'!A1" xr:uid="{00000000-0004-0000-0900-000007000000}"/>
    <hyperlink ref="AL6" location="'0'!A1" tooltip="X stave 0, Front" display="'0'!A1" xr:uid="{00000000-0004-0000-0900-000008000000}"/>
    <hyperlink ref="AL7:AL10" location="'0'!A1" tooltip="X stave 0, Front" display="'0'!A1" xr:uid="{00000000-0004-0000-0900-000009000000}"/>
    <hyperlink ref="AL6:AL10" location="'1'!A1" tooltip="DCB 1" display="'1'!A1" xr:uid="{00000000-0004-0000-0900-00000A000000}"/>
    <hyperlink ref="AH6:AH10" location="'3'!A1" display="'3'!A1" xr:uid="{00000000-0004-0000-0900-00000B000000}"/>
    <hyperlink ref="AF6" location="'0'!A1" tooltip="X stave 0, Front" display="'0'!A1" xr:uid="{00000000-0004-0000-0900-00000C000000}"/>
    <hyperlink ref="AF7:AF10" location="'0'!A1" tooltip="X stave 0, Front" display="'0'!A1" xr:uid="{00000000-0004-0000-0900-00000D000000}"/>
    <hyperlink ref="AF6:AF10" location="'4'!A1" display="'4'!A1" xr:uid="{00000000-0004-0000-0900-00000E000000}"/>
    <hyperlink ref="AD6" location="'0'!A1" tooltip="X stave 0, Front" display="'0'!A1" xr:uid="{00000000-0004-0000-0900-00000F000000}"/>
    <hyperlink ref="AD7:AD10" location="'0'!A1" tooltip="X stave 0, Front" display="'0'!A1" xr:uid="{00000000-0004-0000-0900-000010000000}"/>
    <hyperlink ref="AD6:AD10" location="'5'!A1" display="'5'!A1" xr:uid="{00000000-0004-0000-0900-000011000000}"/>
    <hyperlink ref="AB6" location="'0'!A1" tooltip="X stave 0, Front" display="'0'!A1" xr:uid="{00000000-0004-0000-0900-000012000000}"/>
    <hyperlink ref="AB7:AB10" location="'0'!A1" tooltip="X stave 0, Front" display="'0'!A1" xr:uid="{00000000-0004-0000-0900-000013000000}"/>
    <hyperlink ref="AB6:AB10" location="'6'!A1" display="'6'!A1" xr:uid="{00000000-0004-0000-0900-000014000000}"/>
    <hyperlink ref="Z6" location="'0'!A1" tooltip="X stave 0, Front" display="'0'!A1" xr:uid="{00000000-0004-0000-0900-000015000000}"/>
    <hyperlink ref="Z7:Z10" location="'0'!A1" tooltip="X stave 0, Front" display="'0'!A1" xr:uid="{00000000-0004-0000-0900-000016000000}"/>
    <hyperlink ref="Z6:Z10" location="'7'!A1" display="'7'!A1" xr:uid="{00000000-0004-0000-0900-000017000000}"/>
    <hyperlink ref="X6" location="'0'!A1" tooltip="X stave 0, Front" display="'0'!A1" xr:uid="{00000000-0004-0000-0900-000018000000}"/>
    <hyperlink ref="X7:X10" location="'0'!A1" tooltip="X stave 0, Front" display="'0'!A1" xr:uid="{00000000-0004-0000-0900-000019000000}"/>
    <hyperlink ref="X6:X10" location="'8'!A1" display="'8'!A1" xr:uid="{00000000-0004-0000-0900-00001A000000}"/>
    <hyperlink ref="V6" location="'0'!A1" tooltip="X stave 0, Front" display="'0'!A1" xr:uid="{00000000-0004-0000-0900-00001B000000}"/>
    <hyperlink ref="V7:V10" location="'0'!A1" tooltip="X stave 0, Front" display="'0'!A1" xr:uid="{00000000-0004-0000-0900-00001C000000}"/>
    <hyperlink ref="V6:V10" location="'9'!A1" display="'9'!A1" xr:uid="{00000000-0004-0000-0900-00001D000000}"/>
    <hyperlink ref="T6" location="'0'!A1" tooltip="X stave 0, Front" display="'0'!A1" xr:uid="{00000000-0004-0000-0900-00001E000000}"/>
    <hyperlink ref="T7:T10" location="'0'!A1" tooltip="X stave 0, Front" display="'0'!A1" xr:uid="{00000000-0004-0000-0900-00001F000000}"/>
    <hyperlink ref="T6:T10" location="'10'!A1" display="'10'!A1" xr:uid="{00000000-0004-0000-0900-000020000000}"/>
    <hyperlink ref="R6" location="'0'!A1" tooltip="X stave 0, Front" display="'0'!A1" xr:uid="{00000000-0004-0000-0900-000021000000}"/>
    <hyperlink ref="R7:R10" location="'0'!A1" tooltip="X stave 0, Front" display="'0'!A1" xr:uid="{00000000-0004-0000-0900-000022000000}"/>
    <hyperlink ref="R6:R10" location="'11'!A1" display="'11'!A1" xr:uid="{00000000-0004-0000-0900-000023000000}"/>
  </hyperlinks>
  <pageMargins left="0.75" right="0.75" top="1" bottom="1" header="0.5" footer="0.5"/>
  <pageSetup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B1:AV506"/>
  <sheetViews>
    <sheetView zoomScale="85" zoomScaleNormal="85" zoomScaleSheetLayoutView="50" workbookViewId="0">
      <selection activeCell="X7" sqref="X7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453</v>
      </c>
      <c r="E2" s="511"/>
      <c r="F2" s="511"/>
      <c r="G2" s="512" t="s">
        <v>700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348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349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41">
        <v>0</v>
      </c>
      <c r="Y6" s="166"/>
      <c r="Z6" s="241">
        <v>0</v>
      </c>
      <c r="AA6" s="166"/>
      <c r="AB6" s="241">
        <v>0</v>
      </c>
      <c r="AC6" s="166"/>
      <c r="AD6" s="345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42">
        <v>0</v>
      </c>
      <c r="Y7" s="166"/>
      <c r="Z7" s="242">
        <v>0</v>
      </c>
      <c r="AA7" s="166"/>
      <c r="AB7" s="242">
        <v>0</v>
      </c>
      <c r="AC7" s="166"/>
      <c r="AD7" s="346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42">
        <v>0</v>
      </c>
      <c r="Y8" s="166"/>
      <c r="Z8" s="242">
        <v>0</v>
      </c>
      <c r="AA8" s="166"/>
      <c r="AB8" s="242">
        <v>0</v>
      </c>
      <c r="AC8" s="166"/>
      <c r="AD8" s="346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42">
        <v>0</v>
      </c>
      <c r="Y9" s="166"/>
      <c r="Z9" s="242">
        <v>0</v>
      </c>
      <c r="AA9" s="166"/>
      <c r="AB9" s="242">
        <v>0</v>
      </c>
      <c r="AC9" s="166"/>
      <c r="AD9" s="346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3">
        <v>0</v>
      </c>
      <c r="Y10" s="166"/>
      <c r="Z10" s="243">
        <v>0</v>
      </c>
      <c r="AA10" s="166"/>
      <c r="AB10" s="243">
        <v>0</v>
      </c>
      <c r="AC10" s="166"/>
      <c r="AD10" s="347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267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9"/>
      <c r="Y17" s="19"/>
      <c r="Z17" s="509"/>
      <c r="AA17" s="19"/>
      <c r="AB17" s="508"/>
      <c r="AC17" s="19"/>
      <c r="AD17" s="508"/>
      <c r="AE17" s="19"/>
      <c r="AF17" s="508"/>
      <c r="AG17" s="15"/>
      <c r="AH17" s="508"/>
      <c r="AI17" s="19"/>
      <c r="AJ17" s="508"/>
      <c r="AK17" s="19"/>
      <c r="AL17" s="508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6"/>
      <c r="Q18" s="19"/>
      <c r="R18" s="356"/>
      <c r="S18" s="19"/>
      <c r="T18" s="356"/>
      <c r="U18" s="19"/>
      <c r="V18" s="356"/>
      <c r="W18" s="19"/>
      <c r="X18" s="510"/>
      <c r="Y18" s="19"/>
      <c r="Z18" s="510"/>
      <c r="AA18" s="19"/>
      <c r="AB18" s="356"/>
      <c r="AC18" s="19"/>
      <c r="AD18" s="356"/>
      <c r="AE18" s="19"/>
      <c r="AF18" s="356"/>
      <c r="AG18" s="19"/>
      <c r="AH18" s="356"/>
      <c r="AI18" s="19"/>
      <c r="AJ18" s="356"/>
      <c r="AK18" s="19"/>
      <c r="AL18" s="356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7">
        <v>11</v>
      </c>
      <c r="Q19" s="357"/>
      <c r="R19" s="357">
        <v>10</v>
      </c>
      <c r="S19" s="357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979</v>
      </c>
      <c r="F61" s="5"/>
      <c r="G61" s="5" t="s">
        <v>989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999</v>
      </c>
      <c r="F66" s="271"/>
      <c r="G66" s="276" t="s">
        <v>39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999</v>
      </c>
      <c r="F67" s="271"/>
      <c r="G67" s="276" t="s">
        <v>38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999</v>
      </c>
      <c r="F70" s="271"/>
      <c r="G70" s="270" t="s">
        <v>168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999</v>
      </c>
      <c r="F71" s="271"/>
      <c r="G71" s="270" t="s">
        <v>169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999</v>
      </c>
      <c r="F72" s="13"/>
      <c r="G72" s="272" t="s">
        <v>961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999</v>
      </c>
      <c r="F73" s="13"/>
      <c r="G73" s="272" t="s">
        <v>962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998</v>
      </c>
      <c r="F74" s="13"/>
      <c r="G74" s="270" t="s">
        <v>168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998</v>
      </c>
      <c r="F75" s="13"/>
      <c r="G75" s="270" t="s">
        <v>169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999</v>
      </c>
      <c r="F76" s="274"/>
      <c r="G76" s="272" t="s">
        <v>16</v>
      </c>
      <c r="H76" s="339" t="s">
        <v>915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999</v>
      </c>
      <c r="F77" s="274"/>
      <c r="G77" s="272" t="s">
        <v>17</v>
      </c>
      <c r="H77" s="235" t="s">
        <v>915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999</v>
      </c>
      <c r="F78" s="271"/>
      <c r="G78" s="272" t="s">
        <v>18</v>
      </c>
      <c r="H78" s="235" t="s">
        <v>915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999</v>
      </c>
      <c r="F79" s="271"/>
      <c r="G79" s="272" t="s">
        <v>19</v>
      </c>
      <c r="H79" s="235" t="s">
        <v>915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999</v>
      </c>
      <c r="F80" s="271"/>
      <c r="G80" s="272" t="s">
        <v>310</v>
      </c>
      <c r="H80" s="235" t="s">
        <v>915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999</v>
      </c>
      <c r="F81" s="271"/>
      <c r="G81" s="272" t="s">
        <v>311</v>
      </c>
      <c r="H81" s="235" t="s">
        <v>915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999</v>
      </c>
      <c r="F82" s="271"/>
      <c r="G82" s="272" t="s">
        <v>317</v>
      </c>
      <c r="H82" s="235" t="s">
        <v>915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999</v>
      </c>
      <c r="F83" s="271"/>
      <c r="G83" s="272" t="s">
        <v>318</v>
      </c>
      <c r="H83" s="235" t="s">
        <v>915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999</v>
      </c>
      <c r="F84" s="271"/>
      <c r="G84" s="272" t="s">
        <v>4</v>
      </c>
      <c r="H84" s="235" t="s">
        <v>915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999</v>
      </c>
      <c r="F85" s="271"/>
      <c r="G85" s="272" t="s">
        <v>5</v>
      </c>
      <c r="H85" s="235" t="s">
        <v>915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999</v>
      </c>
      <c r="F86" s="271"/>
      <c r="G86" s="272" t="s">
        <v>329</v>
      </c>
      <c r="H86" s="235" t="s">
        <v>915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999</v>
      </c>
      <c r="F87" s="271"/>
      <c r="G87" s="272" t="s">
        <v>328</v>
      </c>
      <c r="H87" s="235" t="s">
        <v>915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999</v>
      </c>
      <c r="F88" s="274"/>
      <c r="G88" s="272" t="s">
        <v>331</v>
      </c>
      <c r="H88" s="235" t="s">
        <v>915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999</v>
      </c>
      <c r="F89" s="274"/>
      <c r="G89" s="272" t="s">
        <v>330</v>
      </c>
      <c r="H89" s="235" t="s">
        <v>915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999</v>
      </c>
      <c r="F90" s="271"/>
      <c r="G90" s="272" t="s">
        <v>335</v>
      </c>
      <c r="H90" s="235" t="s">
        <v>915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999</v>
      </c>
      <c r="F91" s="271"/>
      <c r="G91" s="272" t="s">
        <v>334</v>
      </c>
      <c r="H91" s="235" t="s">
        <v>915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999</v>
      </c>
      <c r="F92" s="342"/>
      <c r="G92" s="272" t="s">
        <v>303</v>
      </c>
      <c r="H92" s="235" t="s">
        <v>915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999</v>
      </c>
      <c r="F93" s="271"/>
      <c r="G93" s="272" t="s">
        <v>294</v>
      </c>
      <c r="H93" s="235" t="s">
        <v>915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999</v>
      </c>
      <c r="F94" s="271"/>
      <c r="G94" s="272" t="s">
        <v>304</v>
      </c>
      <c r="H94" s="235" t="s">
        <v>915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999</v>
      </c>
      <c r="F95" s="271"/>
      <c r="G95" s="272" t="s">
        <v>295</v>
      </c>
      <c r="H95" s="235" t="s">
        <v>915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999</v>
      </c>
      <c r="F96" s="274"/>
      <c r="G96" s="272" t="s">
        <v>313</v>
      </c>
      <c r="H96" s="235" t="s">
        <v>915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999</v>
      </c>
      <c r="F97" s="274"/>
      <c r="G97" s="272" t="s">
        <v>320</v>
      </c>
      <c r="H97" s="235" t="s">
        <v>915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999</v>
      </c>
      <c r="F98" s="271"/>
      <c r="G98" s="272" t="s">
        <v>301</v>
      </c>
      <c r="H98" s="235" t="s">
        <v>915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999</v>
      </c>
      <c r="F99" s="271"/>
      <c r="G99" s="272" t="s">
        <v>302</v>
      </c>
      <c r="H99" s="235" t="s">
        <v>915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/>
      <c r="F100" s="184"/>
      <c r="G100" s="244"/>
      <c r="H100" s="340" t="s">
        <v>916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/>
      <c r="F101" s="184"/>
      <c r="G101" s="244"/>
      <c r="H101" s="235" t="s">
        <v>916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/>
      <c r="F102" s="184"/>
      <c r="G102" s="244"/>
      <c r="H102" s="235" t="s">
        <v>916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/>
      <c r="F103" s="184"/>
      <c r="G103" s="244"/>
      <c r="H103" s="235" t="s">
        <v>916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999</v>
      </c>
      <c r="F104" s="13"/>
      <c r="G104" s="270" t="s">
        <v>121</v>
      </c>
      <c r="H104" s="235" t="s">
        <v>916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999</v>
      </c>
      <c r="F105" s="13"/>
      <c r="G105" s="270" t="s">
        <v>120</v>
      </c>
      <c r="H105" s="235" t="s">
        <v>916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999</v>
      </c>
      <c r="F106" s="13"/>
      <c r="G106" s="270" t="s">
        <v>108</v>
      </c>
      <c r="H106" s="235" t="s">
        <v>916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999</v>
      </c>
      <c r="F107" s="13"/>
      <c r="G107" s="270" t="s">
        <v>109</v>
      </c>
      <c r="H107" s="235" t="s">
        <v>916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4" t="s">
        <v>999</v>
      </c>
      <c r="F108" s="13"/>
      <c r="G108" s="276" t="s">
        <v>90</v>
      </c>
      <c r="H108" s="235" t="s">
        <v>916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4" t="s">
        <v>999</v>
      </c>
      <c r="F109" s="13"/>
      <c r="G109" s="276" t="s">
        <v>91</v>
      </c>
      <c r="H109" s="235" t="s">
        <v>916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999</v>
      </c>
      <c r="F110" s="13"/>
      <c r="G110" s="276" t="s">
        <v>100</v>
      </c>
      <c r="H110" s="235" t="s">
        <v>916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999</v>
      </c>
      <c r="F111" s="13"/>
      <c r="G111" s="276" t="s">
        <v>101</v>
      </c>
      <c r="H111" s="235" t="s">
        <v>916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999</v>
      </c>
      <c r="F112" s="13"/>
      <c r="G112" s="270" t="s">
        <v>137</v>
      </c>
      <c r="H112" s="235" t="s">
        <v>916</v>
      </c>
      <c r="I112" s="13"/>
      <c r="J112" s="13"/>
      <c r="K112" s="16"/>
    </row>
    <row r="113" spans="2:48">
      <c r="B113" s="26">
        <v>108</v>
      </c>
      <c r="C113" s="228" t="s">
        <v>246</v>
      </c>
      <c r="D113" s="230" t="s">
        <v>548</v>
      </c>
      <c r="E113" s="271" t="s">
        <v>999</v>
      </c>
      <c r="F113" s="13"/>
      <c r="G113" s="270" t="s">
        <v>136</v>
      </c>
      <c r="H113" s="235" t="s">
        <v>916</v>
      </c>
      <c r="I113" s="13"/>
      <c r="J113" s="13"/>
      <c r="K113" s="16"/>
    </row>
    <row r="114" spans="2:48">
      <c r="B114" s="26">
        <v>109</v>
      </c>
      <c r="C114" s="228" t="s">
        <v>274</v>
      </c>
      <c r="D114" s="230" t="s">
        <v>549</v>
      </c>
      <c r="E114" s="271" t="s">
        <v>999</v>
      </c>
      <c r="F114" s="184"/>
      <c r="G114" s="270" t="s">
        <v>118</v>
      </c>
      <c r="H114" s="235" t="s">
        <v>916</v>
      </c>
      <c r="I114" s="13"/>
      <c r="J114" s="13"/>
      <c r="K114" s="16"/>
    </row>
    <row r="115" spans="2:48" ht="16.2" thickBot="1">
      <c r="B115" s="26">
        <v>110</v>
      </c>
      <c r="C115" s="228" t="s">
        <v>284</v>
      </c>
      <c r="D115" s="230" t="s">
        <v>550</v>
      </c>
      <c r="E115" s="271" t="s">
        <v>999</v>
      </c>
      <c r="F115" s="184"/>
      <c r="G115" s="270" t="s">
        <v>119</v>
      </c>
      <c r="H115" s="235" t="s">
        <v>916</v>
      </c>
      <c r="I115" s="13"/>
      <c r="J115" s="13"/>
      <c r="K115" s="16"/>
      <c r="AQ115"/>
      <c r="AR115"/>
      <c r="AS115"/>
      <c r="AT115"/>
      <c r="AU115"/>
      <c r="AV115"/>
    </row>
    <row r="116" spans="2:48">
      <c r="B116" s="26">
        <v>111</v>
      </c>
      <c r="C116" s="228" t="s">
        <v>255</v>
      </c>
      <c r="D116" s="229" t="s">
        <v>571</v>
      </c>
      <c r="E116" s="271" t="s">
        <v>999</v>
      </c>
      <c r="F116" s="184"/>
      <c r="G116" s="337" t="s">
        <v>110</v>
      </c>
      <c r="H116" s="235" t="s">
        <v>916</v>
      </c>
      <c r="I116" s="13"/>
      <c r="J116" s="13"/>
      <c r="K116" s="16"/>
      <c r="AQ116"/>
      <c r="AR116"/>
      <c r="AS116"/>
      <c r="AT116"/>
      <c r="AU116"/>
      <c r="AV116"/>
    </row>
    <row r="117" spans="2:48">
      <c r="B117" s="26">
        <v>112</v>
      </c>
      <c r="C117" s="228" t="s">
        <v>265</v>
      </c>
      <c r="D117" s="229" t="s">
        <v>572</v>
      </c>
      <c r="E117" s="271" t="s">
        <v>999</v>
      </c>
      <c r="F117" s="184"/>
      <c r="G117" s="270" t="s">
        <v>111</v>
      </c>
      <c r="H117" s="235" t="s">
        <v>916</v>
      </c>
      <c r="I117" s="13"/>
      <c r="J117" s="13"/>
      <c r="K117" s="16"/>
      <c r="AQ117"/>
      <c r="AR117"/>
      <c r="AS117"/>
      <c r="AT117"/>
      <c r="AU117"/>
      <c r="AV117"/>
    </row>
    <row r="118" spans="2:48">
      <c r="B118" s="26">
        <v>113</v>
      </c>
      <c r="C118" s="228" t="s">
        <v>754</v>
      </c>
      <c r="D118" s="229" t="s">
        <v>573</v>
      </c>
      <c r="E118" s="274" t="s">
        <v>999</v>
      </c>
      <c r="F118" s="13"/>
      <c r="G118" s="276" t="s">
        <v>89</v>
      </c>
      <c r="H118" s="235" t="s">
        <v>916</v>
      </c>
      <c r="I118" s="13"/>
      <c r="J118" s="13"/>
      <c r="K118" s="16"/>
      <c r="AQ118"/>
      <c r="AR118"/>
      <c r="AS118"/>
      <c r="AT118"/>
      <c r="AU118"/>
      <c r="AV118"/>
    </row>
    <row r="119" spans="2:48">
      <c r="B119" s="26">
        <v>114</v>
      </c>
      <c r="C119" s="228" t="s">
        <v>755</v>
      </c>
      <c r="D119" s="229" t="s">
        <v>574</v>
      </c>
      <c r="E119" s="274" t="s">
        <v>999</v>
      </c>
      <c r="F119" s="13"/>
      <c r="G119" s="276" t="s">
        <v>99</v>
      </c>
      <c r="H119" s="235" t="s">
        <v>916</v>
      </c>
      <c r="I119" s="13"/>
      <c r="J119" s="13"/>
      <c r="K119" s="16"/>
      <c r="AQ119"/>
      <c r="AR119"/>
      <c r="AS119"/>
      <c r="AT119"/>
      <c r="AU119"/>
      <c r="AV119"/>
    </row>
    <row r="120" spans="2:48">
      <c r="B120" s="26">
        <v>115</v>
      </c>
      <c r="C120" s="228" t="s">
        <v>240</v>
      </c>
      <c r="D120" s="229" t="s">
        <v>595</v>
      </c>
      <c r="E120" s="274" t="s">
        <v>999</v>
      </c>
      <c r="F120" s="13"/>
      <c r="G120" s="276" t="s">
        <v>88</v>
      </c>
      <c r="H120" s="235" t="s">
        <v>916</v>
      </c>
      <c r="I120" s="13"/>
      <c r="J120" s="13"/>
      <c r="K120" s="16"/>
      <c r="AQ120"/>
      <c r="AR120"/>
      <c r="AS120"/>
      <c r="AT120"/>
      <c r="AU120"/>
      <c r="AV120"/>
    </row>
    <row r="121" spans="2:48">
      <c r="B121" s="26">
        <v>116</v>
      </c>
      <c r="C121" s="228" t="s">
        <v>248</v>
      </c>
      <c r="D121" s="229" t="s">
        <v>596</v>
      </c>
      <c r="E121" s="274" t="s">
        <v>999</v>
      </c>
      <c r="F121" s="13"/>
      <c r="G121" s="276" t="s">
        <v>98</v>
      </c>
      <c r="H121" s="235" t="s">
        <v>916</v>
      </c>
      <c r="I121" s="13"/>
      <c r="J121" s="13"/>
      <c r="K121" s="16"/>
      <c r="AQ121"/>
      <c r="AR121"/>
      <c r="AS121"/>
      <c r="AT121"/>
      <c r="AU121"/>
      <c r="AV121"/>
    </row>
    <row r="122" spans="2:48">
      <c r="B122" s="26">
        <v>117</v>
      </c>
      <c r="C122" s="228" t="s">
        <v>276</v>
      </c>
      <c r="D122" s="229" t="s">
        <v>597</v>
      </c>
      <c r="E122" s="271" t="s">
        <v>999</v>
      </c>
      <c r="F122" s="13"/>
      <c r="G122" s="270" t="s">
        <v>128</v>
      </c>
      <c r="H122" s="235" t="s">
        <v>916</v>
      </c>
      <c r="I122" s="13"/>
      <c r="J122" s="13"/>
      <c r="K122" s="16"/>
      <c r="AQ122"/>
      <c r="AR122"/>
      <c r="AS122"/>
      <c r="AT122"/>
      <c r="AU122"/>
      <c r="AV122"/>
    </row>
    <row r="123" spans="2:48">
      <c r="B123" s="26">
        <v>118</v>
      </c>
      <c r="C123" s="228" t="s">
        <v>286</v>
      </c>
      <c r="D123" s="229" t="s">
        <v>598</v>
      </c>
      <c r="E123" s="271" t="s">
        <v>999</v>
      </c>
      <c r="F123" s="13"/>
      <c r="G123" s="270" t="s">
        <v>129</v>
      </c>
      <c r="H123" s="235" t="s">
        <v>916</v>
      </c>
      <c r="I123" s="13"/>
      <c r="J123" s="13"/>
      <c r="K123" s="16"/>
      <c r="AQ123"/>
      <c r="AR123"/>
      <c r="AS123"/>
      <c r="AT123"/>
      <c r="AU123"/>
      <c r="AV123"/>
    </row>
    <row r="124" spans="2:48">
      <c r="B124" s="26">
        <v>119</v>
      </c>
      <c r="C124" s="228" t="s">
        <v>162</v>
      </c>
      <c r="D124" s="229" t="s">
        <v>493</v>
      </c>
      <c r="E124" s="271"/>
      <c r="F124" s="184"/>
      <c r="G124" s="244"/>
      <c r="H124" s="340" t="s">
        <v>917</v>
      </c>
      <c r="I124" s="13"/>
      <c r="J124" s="13"/>
      <c r="K124" s="16"/>
      <c r="AQ124"/>
      <c r="AR124"/>
      <c r="AS124"/>
      <c r="AT124"/>
      <c r="AU124"/>
      <c r="AV124"/>
    </row>
    <row r="125" spans="2:48">
      <c r="B125" s="26">
        <v>120</v>
      </c>
      <c r="C125" s="228" t="s">
        <v>170</v>
      </c>
      <c r="D125" s="229" t="s">
        <v>494</v>
      </c>
      <c r="E125" s="271"/>
      <c r="F125" s="184"/>
      <c r="G125" s="244"/>
      <c r="H125" s="235" t="s">
        <v>917</v>
      </c>
      <c r="I125" s="13"/>
      <c r="J125" s="13"/>
      <c r="K125" s="16"/>
      <c r="AQ125"/>
      <c r="AR125"/>
      <c r="AS125"/>
      <c r="AT125"/>
      <c r="AU125"/>
      <c r="AV125"/>
    </row>
    <row r="126" spans="2:48">
      <c r="B126" s="26">
        <v>121</v>
      </c>
      <c r="C126" s="228" t="s">
        <v>200</v>
      </c>
      <c r="D126" s="229" t="s">
        <v>495</v>
      </c>
      <c r="E126" s="271"/>
      <c r="F126" s="184"/>
      <c r="G126" s="184"/>
      <c r="H126" s="235" t="s">
        <v>917</v>
      </c>
      <c r="I126" s="13"/>
      <c r="J126" s="13"/>
      <c r="K126" s="16"/>
      <c r="AQ126"/>
      <c r="AR126"/>
      <c r="AS126"/>
      <c r="AT126"/>
      <c r="AU126"/>
      <c r="AV126"/>
    </row>
    <row r="127" spans="2:48">
      <c r="B127" s="26">
        <v>122</v>
      </c>
      <c r="C127" s="228" t="s">
        <v>210</v>
      </c>
      <c r="D127" s="229" t="s">
        <v>496</v>
      </c>
      <c r="E127" s="271"/>
      <c r="F127" s="184"/>
      <c r="G127" s="184"/>
      <c r="H127" s="235" t="s">
        <v>917</v>
      </c>
      <c r="I127" s="13"/>
      <c r="J127" s="13"/>
      <c r="K127" s="16"/>
      <c r="AQ127"/>
      <c r="AR127"/>
      <c r="AS127"/>
      <c r="AT127"/>
      <c r="AU127"/>
      <c r="AV127"/>
    </row>
    <row r="128" spans="2:48">
      <c r="B128" s="26">
        <v>123</v>
      </c>
      <c r="C128" s="228" t="s">
        <v>185</v>
      </c>
      <c r="D128" s="229" t="s">
        <v>617</v>
      </c>
      <c r="E128" s="271" t="s">
        <v>999</v>
      </c>
      <c r="F128" s="13"/>
      <c r="G128" s="270" t="s">
        <v>188</v>
      </c>
      <c r="H128" s="235" t="s">
        <v>917</v>
      </c>
      <c r="I128" s="13"/>
      <c r="J128" s="13"/>
      <c r="K128" s="16"/>
      <c r="AQ128"/>
      <c r="AR128"/>
      <c r="AS128"/>
      <c r="AT128"/>
      <c r="AU128"/>
      <c r="AV128"/>
    </row>
    <row r="129" spans="2:48">
      <c r="B129" s="26">
        <v>124</v>
      </c>
      <c r="C129" s="228" t="s">
        <v>195</v>
      </c>
      <c r="D129" s="229" t="s">
        <v>618</v>
      </c>
      <c r="E129" s="271" t="s">
        <v>999</v>
      </c>
      <c r="F129" s="13"/>
      <c r="G129" s="270" t="s">
        <v>189</v>
      </c>
      <c r="H129" s="235" t="s">
        <v>917</v>
      </c>
      <c r="I129" s="13"/>
      <c r="J129" s="13"/>
      <c r="K129" s="16"/>
      <c r="AQ129"/>
      <c r="AR129"/>
      <c r="AS129"/>
      <c r="AT129"/>
      <c r="AU129"/>
      <c r="AV129"/>
    </row>
    <row r="130" spans="2:48">
      <c r="B130" s="26">
        <v>125</v>
      </c>
      <c r="C130" s="228" t="s">
        <v>225</v>
      </c>
      <c r="D130" s="229" t="s">
        <v>619</v>
      </c>
      <c r="E130" s="271" t="s">
        <v>999</v>
      </c>
      <c r="F130" s="13"/>
      <c r="G130" s="270" t="s">
        <v>178</v>
      </c>
      <c r="H130" s="235" t="s">
        <v>917</v>
      </c>
      <c r="I130" s="13"/>
      <c r="J130" s="13"/>
      <c r="K130" s="16"/>
      <c r="AQ130"/>
      <c r="AR130"/>
      <c r="AS130"/>
      <c r="AT130"/>
      <c r="AU130"/>
      <c r="AV130"/>
    </row>
    <row r="131" spans="2:48">
      <c r="B131" s="26">
        <v>126</v>
      </c>
      <c r="C131" s="228" t="s">
        <v>233</v>
      </c>
      <c r="D131" s="229" t="s">
        <v>620</v>
      </c>
      <c r="E131" s="271" t="s">
        <v>999</v>
      </c>
      <c r="F131" s="13"/>
      <c r="G131" s="270" t="s">
        <v>179</v>
      </c>
      <c r="H131" s="235" t="s">
        <v>917</v>
      </c>
      <c r="I131" s="13"/>
      <c r="J131" s="13"/>
      <c r="K131" s="16"/>
      <c r="AQ131"/>
      <c r="AR131"/>
      <c r="AS131"/>
      <c r="AT131"/>
      <c r="AU131"/>
      <c r="AV131"/>
    </row>
    <row r="132" spans="2:48">
      <c r="B132" s="26">
        <v>127</v>
      </c>
      <c r="C132" s="228" t="s">
        <v>181</v>
      </c>
      <c r="D132" s="229" t="s">
        <v>519</v>
      </c>
      <c r="E132" s="274" t="s">
        <v>999</v>
      </c>
      <c r="F132" s="13"/>
      <c r="G132" s="276" t="s">
        <v>216</v>
      </c>
      <c r="H132" s="235" t="s">
        <v>917</v>
      </c>
      <c r="I132" s="13"/>
      <c r="J132" s="13"/>
      <c r="K132" s="16"/>
      <c r="AQ132"/>
      <c r="AR132"/>
      <c r="AS132"/>
      <c r="AT132"/>
      <c r="AU132"/>
      <c r="AV132"/>
    </row>
    <row r="133" spans="2:48">
      <c r="B133" s="26">
        <v>128</v>
      </c>
      <c r="C133" s="228" t="s">
        <v>191</v>
      </c>
      <c r="D133" s="229" t="s">
        <v>520</v>
      </c>
      <c r="E133" s="274" t="s">
        <v>999</v>
      </c>
      <c r="F133" s="13"/>
      <c r="G133" s="276" t="s">
        <v>217</v>
      </c>
      <c r="H133" s="235" t="s">
        <v>917</v>
      </c>
      <c r="I133" s="13"/>
      <c r="J133" s="13"/>
      <c r="K133" s="16"/>
      <c r="AQ133"/>
      <c r="AR133"/>
      <c r="AS133"/>
      <c r="AT133"/>
      <c r="AU133"/>
      <c r="AV133"/>
    </row>
    <row r="134" spans="2:48">
      <c r="B134" s="26">
        <v>129</v>
      </c>
      <c r="C134" s="228" t="s">
        <v>221</v>
      </c>
      <c r="D134" s="230" t="s">
        <v>521</v>
      </c>
      <c r="E134" s="274" t="s">
        <v>999</v>
      </c>
      <c r="F134" s="13"/>
      <c r="G134" s="276" t="s">
        <v>206</v>
      </c>
      <c r="H134" s="235" t="s">
        <v>917</v>
      </c>
      <c r="I134" s="13"/>
      <c r="J134" s="13"/>
      <c r="K134" s="16"/>
      <c r="AQ134"/>
      <c r="AR134"/>
      <c r="AS134"/>
      <c r="AT134"/>
      <c r="AU134"/>
      <c r="AV134"/>
    </row>
    <row r="135" spans="2:48">
      <c r="B135" s="26">
        <v>130</v>
      </c>
      <c r="C135" s="228" t="s">
        <v>229</v>
      </c>
      <c r="D135" s="230" t="s">
        <v>522</v>
      </c>
      <c r="E135" s="274" t="s">
        <v>999</v>
      </c>
      <c r="F135" s="13"/>
      <c r="G135" s="276" t="s">
        <v>207</v>
      </c>
      <c r="H135" s="235" t="s">
        <v>917</v>
      </c>
      <c r="I135" s="13"/>
      <c r="J135" s="13"/>
      <c r="K135" s="16"/>
      <c r="AQ135"/>
      <c r="AR135"/>
      <c r="AS135"/>
      <c r="AT135"/>
      <c r="AU135"/>
      <c r="AV135"/>
    </row>
    <row r="136" spans="2:48">
      <c r="B136" s="26">
        <v>131</v>
      </c>
      <c r="C136" s="228" t="s">
        <v>164</v>
      </c>
      <c r="D136" s="230" t="s">
        <v>543</v>
      </c>
      <c r="E136" s="271" t="s">
        <v>999</v>
      </c>
      <c r="F136" s="13"/>
      <c r="G136" s="270" t="s">
        <v>196</v>
      </c>
      <c r="H136" s="235" t="s">
        <v>917</v>
      </c>
      <c r="I136" s="13"/>
      <c r="J136" s="13"/>
      <c r="K136" s="16"/>
      <c r="AQ136"/>
      <c r="AR136"/>
      <c r="AS136"/>
      <c r="AT136"/>
      <c r="AU136"/>
      <c r="AV136"/>
    </row>
    <row r="137" spans="2:48">
      <c r="B137" s="26">
        <v>132</v>
      </c>
      <c r="C137" s="228" t="s">
        <v>172</v>
      </c>
      <c r="D137" s="230" t="s">
        <v>544</v>
      </c>
      <c r="E137" s="271" t="s">
        <v>999</v>
      </c>
      <c r="F137" s="13"/>
      <c r="G137" s="270" t="s">
        <v>197</v>
      </c>
      <c r="H137" s="235" t="s">
        <v>917</v>
      </c>
      <c r="I137" s="13"/>
      <c r="J137" s="13"/>
      <c r="K137" s="16"/>
      <c r="AQ137"/>
      <c r="AR137"/>
      <c r="AS137"/>
      <c r="AT137"/>
      <c r="AU137"/>
      <c r="AV137"/>
    </row>
    <row r="138" spans="2:48">
      <c r="B138" s="26">
        <v>133</v>
      </c>
      <c r="C138" s="228" t="s">
        <v>202</v>
      </c>
      <c r="D138" s="229" t="s">
        <v>545</v>
      </c>
      <c r="E138" s="271" t="s">
        <v>999</v>
      </c>
      <c r="F138" s="184"/>
      <c r="G138" s="270" t="s">
        <v>186</v>
      </c>
      <c r="H138" s="235" t="s">
        <v>917</v>
      </c>
      <c r="I138" s="13"/>
      <c r="J138" s="13"/>
      <c r="K138" s="16"/>
      <c r="AQ138"/>
      <c r="AR138"/>
      <c r="AS138"/>
      <c r="AT138"/>
      <c r="AU138"/>
      <c r="AV138"/>
    </row>
    <row r="139" spans="2:48">
      <c r="B139" s="26">
        <v>134</v>
      </c>
      <c r="C139" s="228" t="s">
        <v>212</v>
      </c>
      <c r="D139" s="230" t="s">
        <v>546</v>
      </c>
      <c r="E139" s="271" t="s">
        <v>999</v>
      </c>
      <c r="F139" s="184"/>
      <c r="G139" s="270" t="s">
        <v>187</v>
      </c>
      <c r="H139" s="235" t="s">
        <v>917</v>
      </c>
      <c r="I139" s="13"/>
      <c r="J139" s="13"/>
      <c r="K139" s="16"/>
      <c r="AQ139"/>
      <c r="AR139"/>
      <c r="AS139"/>
      <c r="AT139"/>
      <c r="AU139"/>
      <c r="AV139"/>
    </row>
    <row r="140" spans="2:48">
      <c r="B140" s="26">
        <v>135</v>
      </c>
      <c r="C140" s="228" t="s">
        <v>183</v>
      </c>
      <c r="D140" s="229" t="s">
        <v>567</v>
      </c>
      <c r="E140" s="271" t="s">
        <v>999</v>
      </c>
      <c r="F140" s="184"/>
      <c r="G140" s="270" t="s">
        <v>176</v>
      </c>
      <c r="H140" s="235" t="s">
        <v>917</v>
      </c>
      <c r="I140" s="13"/>
      <c r="J140" s="13"/>
      <c r="K140" s="16"/>
    </row>
    <row r="141" spans="2:48">
      <c r="B141" s="26">
        <v>136</v>
      </c>
      <c r="C141" s="228" t="s">
        <v>193</v>
      </c>
      <c r="D141" s="229" t="s">
        <v>568</v>
      </c>
      <c r="E141" s="271" t="s">
        <v>999</v>
      </c>
      <c r="F141" s="184"/>
      <c r="G141" s="270" t="s">
        <v>177</v>
      </c>
      <c r="H141" s="235" t="s">
        <v>917</v>
      </c>
      <c r="I141" s="13"/>
      <c r="J141" s="13"/>
      <c r="K141" s="16"/>
    </row>
    <row r="142" spans="2:48">
      <c r="B142" s="26">
        <v>137</v>
      </c>
      <c r="C142" s="228" t="s">
        <v>223</v>
      </c>
      <c r="D142" s="229" t="s">
        <v>569</v>
      </c>
      <c r="E142" s="274" t="s">
        <v>999</v>
      </c>
      <c r="F142" s="13"/>
      <c r="G142" s="276" t="s">
        <v>218</v>
      </c>
      <c r="H142" s="235" t="s">
        <v>917</v>
      </c>
      <c r="I142" s="13"/>
      <c r="J142" s="13"/>
      <c r="K142" s="16"/>
    </row>
    <row r="143" spans="2:48">
      <c r="B143" s="26">
        <v>138</v>
      </c>
      <c r="C143" s="228" t="s">
        <v>231</v>
      </c>
      <c r="D143" s="229" t="s">
        <v>570</v>
      </c>
      <c r="E143" s="274" t="s">
        <v>999</v>
      </c>
      <c r="F143" s="13"/>
      <c r="G143" s="276" t="s">
        <v>219</v>
      </c>
      <c r="H143" s="235" t="s">
        <v>917</v>
      </c>
      <c r="I143" s="13"/>
      <c r="J143" s="13"/>
      <c r="K143" s="16"/>
    </row>
    <row r="144" spans="2:48">
      <c r="B144" s="26">
        <v>139</v>
      </c>
      <c r="C144" s="228" t="s">
        <v>166</v>
      </c>
      <c r="D144" s="229" t="s">
        <v>591</v>
      </c>
      <c r="E144" s="274" t="s">
        <v>999</v>
      </c>
      <c r="F144" s="13"/>
      <c r="G144" s="276" t="s">
        <v>208</v>
      </c>
      <c r="H144" s="235" t="s">
        <v>917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999</v>
      </c>
      <c r="F145" s="13"/>
      <c r="G145" s="276" t="s">
        <v>209</v>
      </c>
      <c r="H145" s="235" t="s">
        <v>917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999</v>
      </c>
      <c r="F146" s="13"/>
      <c r="G146" s="270" t="s">
        <v>198</v>
      </c>
      <c r="H146" s="235" t="s">
        <v>917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999</v>
      </c>
      <c r="F147" s="13"/>
      <c r="G147" s="270" t="s">
        <v>199</v>
      </c>
      <c r="H147" s="235" t="s">
        <v>917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1"/>
      <c r="F148" s="184"/>
      <c r="G148" s="184"/>
      <c r="H148" s="339" t="s">
        <v>918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1"/>
      <c r="F149" s="184"/>
      <c r="G149" s="184"/>
      <c r="H149" s="235" t="s">
        <v>918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1"/>
      <c r="F150" s="13"/>
      <c r="G150" s="13"/>
      <c r="H150" s="235" t="s">
        <v>918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1"/>
      <c r="F151" s="13"/>
      <c r="G151" s="13"/>
      <c r="H151" s="235" t="s">
        <v>918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999</v>
      </c>
      <c r="F152" s="13"/>
      <c r="G152" s="276" t="s">
        <v>316</v>
      </c>
      <c r="H152" s="235" t="s">
        <v>918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999</v>
      </c>
      <c r="F153" s="13"/>
      <c r="G153" s="276" t="s">
        <v>323</v>
      </c>
      <c r="H153" s="235" t="s">
        <v>918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999</v>
      </c>
      <c r="F154" s="13"/>
      <c r="G154" s="276" t="s">
        <v>327</v>
      </c>
      <c r="H154" s="235" t="s">
        <v>918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999</v>
      </c>
      <c r="F155" s="13"/>
      <c r="G155" s="276" t="s">
        <v>326</v>
      </c>
      <c r="H155" s="235" t="s">
        <v>918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 t="s">
        <v>999</v>
      </c>
      <c r="F156" s="13"/>
      <c r="G156" s="276" t="s">
        <v>296</v>
      </c>
      <c r="H156" s="235" t="s">
        <v>918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 t="s">
        <v>999</v>
      </c>
      <c r="F157" s="13"/>
      <c r="G157" s="276" t="s">
        <v>305</v>
      </c>
      <c r="H157" s="235" t="s">
        <v>918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999</v>
      </c>
      <c r="F158" s="13"/>
      <c r="G158" s="276" t="s">
        <v>297</v>
      </c>
      <c r="H158" s="235" t="s">
        <v>918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999</v>
      </c>
      <c r="F159" s="13"/>
      <c r="G159" s="276" t="s">
        <v>306</v>
      </c>
      <c r="H159" s="235" t="s">
        <v>918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999</v>
      </c>
      <c r="F160" s="184"/>
      <c r="G160" s="276" t="s">
        <v>300</v>
      </c>
      <c r="H160" s="235" t="s">
        <v>918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999</v>
      </c>
      <c r="F161" s="184"/>
      <c r="G161" s="276" t="s">
        <v>299</v>
      </c>
      <c r="H161" s="235" t="s">
        <v>918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999</v>
      </c>
      <c r="F162" s="184"/>
      <c r="G162" s="276" t="s">
        <v>307</v>
      </c>
      <c r="H162" s="235" t="s">
        <v>918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999</v>
      </c>
      <c r="F163" s="184"/>
      <c r="G163" s="276" t="s">
        <v>298</v>
      </c>
      <c r="H163" s="235" t="s">
        <v>918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999</v>
      </c>
      <c r="F164" s="184"/>
      <c r="G164" s="276" t="s">
        <v>322</v>
      </c>
      <c r="H164" s="235" t="s">
        <v>918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999</v>
      </c>
      <c r="F165" s="184"/>
      <c r="G165" s="276" t="s">
        <v>315</v>
      </c>
      <c r="H165" s="235" t="s">
        <v>918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 t="s">
        <v>999</v>
      </c>
      <c r="F166" s="184"/>
      <c r="G166" s="276" t="s">
        <v>314</v>
      </c>
      <c r="H166" s="235" t="s">
        <v>918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 t="s">
        <v>999</v>
      </c>
      <c r="F167" s="184"/>
      <c r="G167" s="276" t="s">
        <v>321</v>
      </c>
      <c r="H167" s="235" t="s">
        <v>918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999</v>
      </c>
      <c r="F168" s="13"/>
      <c r="G168" s="276" t="s">
        <v>308</v>
      </c>
      <c r="H168" s="235" t="s">
        <v>918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999</v>
      </c>
      <c r="F169" s="13"/>
      <c r="G169" s="276" t="s">
        <v>309</v>
      </c>
      <c r="H169" s="235" t="s">
        <v>918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999</v>
      </c>
      <c r="F170" s="13"/>
      <c r="G170" s="276" t="s">
        <v>324</v>
      </c>
      <c r="H170" s="235" t="s">
        <v>918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999</v>
      </c>
      <c r="F171" s="13"/>
      <c r="G171" s="276" t="s">
        <v>325</v>
      </c>
      <c r="H171" s="235" t="s">
        <v>918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1"/>
      <c r="F172" s="184"/>
      <c r="G172" s="244"/>
      <c r="H172" s="339" t="s">
        <v>919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1"/>
      <c r="F173" s="184"/>
      <c r="G173" s="244"/>
      <c r="H173" s="235" t="s">
        <v>919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1"/>
      <c r="F174" s="13"/>
      <c r="G174" s="13"/>
      <c r="H174" s="235" t="s">
        <v>919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1"/>
      <c r="F175" s="13"/>
      <c r="G175" s="13"/>
      <c r="H175" s="235" t="s">
        <v>919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999</v>
      </c>
      <c r="F176" s="13"/>
      <c r="G176" s="276" t="s">
        <v>50</v>
      </c>
      <c r="H176" s="235" t="s">
        <v>919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4" t="s">
        <v>999</v>
      </c>
      <c r="F177" s="13"/>
      <c r="G177" s="276" t="s">
        <v>51</v>
      </c>
      <c r="H177" s="235" t="s">
        <v>919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4" t="s">
        <v>999</v>
      </c>
      <c r="F178" s="13"/>
      <c r="G178" s="276" t="s">
        <v>40</v>
      </c>
      <c r="H178" s="235" t="s">
        <v>919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4" t="s">
        <v>999</v>
      </c>
      <c r="F179" s="13"/>
      <c r="G179" s="276" t="s">
        <v>41</v>
      </c>
      <c r="H179" s="235" t="s">
        <v>919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4" t="s">
        <v>999</v>
      </c>
      <c r="F180" s="13"/>
      <c r="G180" s="276" t="s">
        <v>69</v>
      </c>
      <c r="H180" s="235" t="s">
        <v>919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4" t="s">
        <v>999</v>
      </c>
      <c r="F181" s="13"/>
      <c r="G181" s="276" t="s">
        <v>68</v>
      </c>
      <c r="H181" s="235" t="s">
        <v>919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999</v>
      </c>
      <c r="F182" s="13"/>
      <c r="G182" s="276" t="s">
        <v>81</v>
      </c>
      <c r="H182" s="235" t="s">
        <v>919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999</v>
      </c>
      <c r="F183" s="13"/>
      <c r="G183" s="276" t="s">
        <v>80</v>
      </c>
      <c r="H183" s="235" t="s">
        <v>919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4" t="s">
        <v>999</v>
      </c>
      <c r="F184" s="184"/>
      <c r="G184" s="276" t="s">
        <v>79</v>
      </c>
      <c r="H184" s="235" t="s">
        <v>919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4" t="s">
        <v>999</v>
      </c>
      <c r="F185" s="184"/>
      <c r="G185" s="276" t="s">
        <v>78</v>
      </c>
      <c r="H185" s="235" t="s">
        <v>919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4" t="s">
        <v>999</v>
      </c>
      <c r="F186" s="13"/>
      <c r="G186" s="276" t="s">
        <v>59</v>
      </c>
      <c r="H186" s="235" t="s">
        <v>919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4" t="s">
        <v>999</v>
      </c>
      <c r="F187" s="13"/>
      <c r="G187" s="276" t="s">
        <v>58</v>
      </c>
      <c r="H187" s="235" t="s">
        <v>919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4" t="s">
        <v>999</v>
      </c>
      <c r="F188" s="13"/>
      <c r="G188" s="276" t="s">
        <v>31</v>
      </c>
      <c r="H188" s="235" t="s">
        <v>919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4" t="s">
        <v>999</v>
      </c>
      <c r="F189" s="13"/>
      <c r="G189" s="276" t="s">
        <v>30</v>
      </c>
      <c r="H189" s="235" t="s">
        <v>919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4" t="s">
        <v>999</v>
      </c>
      <c r="F190" s="13"/>
      <c r="G190" s="276" t="s">
        <v>71</v>
      </c>
      <c r="H190" s="235" t="s">
        <v>919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4" t="s">
        <v>999</v>
      </c>
      <c r="F191" s="13"/>
      <c r="G191" s="276" t="s">
        <v>70</v>
      </c>
      <c r="H191" s="235" t="s">
        <v>919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999</v>
      </c>
      <c r="F192" s="184"/>
      <c r="G192" s="276" t="s">
        <v>61</v>
      </c>
      <c r="H192" s="235" t="s">
        <v>919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999</v>
      </c>
      <c r="F193" s="184"/>
      <c r="G193" s="276" t="s">
        <v>60</v>
      </c>
      <c r="H193" s="235" t="s">
        <v>919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4" t="s">
        <v>999</v>
      </c>
      <c r="F194" s="13"/>
      <c r="G194" s="276" t="s">
        <v>49</v>
      </c>
      <c r="H194" s="235" t="s">
        <v>919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4" t="s">
        <v>999</v>
      </c>
      <c r="F195" s="13"/>
      <c r="G195" s="276" t="s">
        <v>48</v>
      </c>
      <c r="H195" s="235" t="s">
        <v>919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998</v>
      </c>
      <c r="F196" s="274"/>
      <c r="G196" s="270" t="s">
        <v>137</v>
      </c>
      <c r="H196" s="339" t="s">
        <v>920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998</v>
      </c>
      <c r="F197" s="274"/>
      <c r="G197" s="270" t="s">
        <v>136</v>
      </c>
      <c r="H197" s="235" t="s">
        <v>920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998</v>
      </c>
      <c r="F198" s="271"/>
      <c r="G198" s="270" t="s">
        <v>118</v>
      </c>
      <c r="H198" s="235" t="s">
        <v>920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998</v>
      </c>
      <c r="F199" s="271"/>
      <c r="G199" s="270" t="s">
        <v>119</v>
      </c>
      <c r="H199" s="235" t="s">
        <v>920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998</v>
      </c>
      <c r="F200" s="271"/>
      <c r="G200" s="270" t="s">
        <v>188</v>
      </c>
      <c r="H200" s="235" t="s">
        <v>920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998</v>
      </c>
      <c r="F201" s="271"/>
      <c r="G201" s="270" t="s">
        <v>189</v>
      </c>
      <c r="H201" s="235" t="s">
        <v>920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998</v>
      </c>
      <c r="F202" s="271"/>
      <c r="G202" s="270" t="s">
        <v>178</v>
      </c>
      <c r="H202" s="235" t="s">
        <v>920</v>
      </c>
      <c r="I202" s="13"/>
      <c r="J202" s="13"/>
      <c r="K202" s="16"/>
    </row>
    <row r="203" spans="2:11" ht="16.2" thickBot="1">
      <c r="B203" s="26">
        <v>198</v>
      </c>
      <c r="C203" s="228" t="s">
        <v>7</v>
      </c>
      <c r="D203" s="229" t="s">
        <v>608</v>
      </c>
      <c r="E203" s="271" t="s">
        <v>998</v>
      </c>
      <c r="F203" s="271"/>
      <c r="G203" s="270" t="s">
        <v>179</v>
      </c>
      <c r="H203" s="235" t="s">
        <v>920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998</v>
      </c>
      <c r="F204" s="271"/>
      <c r="G204" s="337" t="s">
        <v>110</v>
      </c>
      <c r="H204" s="235" t="s">
        <v>920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998</v>
      </c>
      <c r="F205" s="271"/>
      <c r="G205" s="270" t="s">
        <v>111</v>
      </c>
      <c r="H205" s="235" t="s">
        <v>920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998</v>
      </c>
      <c r="F206" s="271"/>
      <c r="G206" s="270" t="s">
        <v>128</v>
      </c>
      <c r="H206" s="235" t="s">
        <v>920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998</v>
      </c>
      <c r="F207" s="271"/>
      <c r="G207" s="270" t="s">
        <v>129</v>
      </c>
      <c r="H207" s="235" t="s">
        <v>920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998</v>
      </c>
      <c r="F208" s="274"/>
      <c r="G208" s="270" t="s">
        <v>121</v>
      </c>
      <c r="H208" s="235" t="s">
        <v>920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998</v>
      </c>
      <c r="F209" s="274"/>
      <c r="G209" s="270" t="s">
        <v>120</v>
      </c>
      <c r="H209" s="235" t="s">
        <v>920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998</v>
      </c>
      <c r="F210" s="274"/>
      <c r="G210" s="270" t="s">
        <v>108</v>
      </c>
      <c r="H210" s="235" t="s">
        <v>920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998</v>
      </c>
      <c r="F211" s="274"/>
      <c r="G211" s="270" t="s">
        <v>109</v>
      </c>
      <c r="H211" s="235" t="s">
        <v>920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998</v>
      </c>
      <c r="F212" s="274"/>
      <c r="G212" s="270" t="s">
        <v>196</v>
      </c>
      <c r="H212" s="235" t="s">
        <v>920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998</v>
      </c>
      <c r="F213" s="274"/>
      <c r="G213" s="270" t="s">
        <v>197</v>
      </c>
      <c r="H213" s="235" t="s">
        <v>920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998</v>
      </c>
      <c r="F214" s="274"/>
      <c r="G214" s="270" t="s">
        <v>186</v>
      </c>
      <c r="H214" s="235" t="s">
        <v>920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998</v>
      </c>
      <c r="F215" s="274"/>
      <c r="G215" s="270" t="s">
        <v>187</v>
      </c>
      <c r="H215" s="235" t="s">
        <v>920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998</v>
      </c>
      <c r="F216" s="271"/>
      <c r="G216" s="270" t="s">
        <v>176</v>
      </c>
      <c r="H216" s="235" t="s">
        <v>920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998</v>
      </c>
      <c r="F217" s="271"/>
      <c r="G217" s="270" t="s">
        <v>177</v>
      </c>
      <c r="H217" s="235" t="s">
        <v>920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998</v>
      </c>
      <c r="F218" s="271"/>
      <c r="G218" s="270" t="s">
        <v>198</v>
      </c>
      <c r="H218" s="235" t="s">
        <v>920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998</v>
      </c>
      <c r="F219" s="271"/>
      <c r="G219" s="270" t="s">
        <v>199</v>
      </c>
      <c r="H219" s="235" t="s">
        <v>920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4" t="s">
        <v>999</v>
      </c>
      <c r="F221" s="271"/>
      <c r="G221" s="276" t="s">
        <v>952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999</v>
      </c>
      <c r="F223" s="275"/>
      <c r="G223" s="270" t="s">
        <v>948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999</v>
      </c>
      <c r="F224" s="271"/>
      <c r="G224" s="272" t="s">
        <v>958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998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4" t="s">
        <v>999</v>
      </c>
      <c r="F230" s="5"/>
      <c r="G230" s="276" t="s">
        <v>955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5"/>
      <c r="F231" s="5"/>
      <c r="G231" s="5"/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999</v>
      </c>
      <c r="F232" s="5"/>
      <c r="G232" s="270" t="s">
        <v>949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271" t="s">
        <v>999</v>
      </c>
      <c r="F233" s="13"/>
      <c r="G233" s="272" t="s">
        <v>960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998</v>
      </c>
      <c r="F234" s="271"/>
      <c r="G234" s="270" t="s">
        <v>949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4" t="s">
        <v>999</v>
      </c>
      <c r="F236" s="5"/>
      <c r="G236" s="276" t="s">
        <v>954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5"/>
      <c r="F237" s="5"/>
      <c r="G237" s="5"/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999</v>
      </c>
      <c r="F238" s="5"/>
      <c r="G238" s="270" t="s">
        <v>160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271" t="s">
        <v>999</v>
      </c>
      <c r="F239" s="5"/>
      <c r="G239" s="272" t="s">
        <v>959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998</v>
      </c>
      <c r="F240" s="271"/>
      <c r="G240" s="270" t="s">
        <v>160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4" t="s">
        <v>999</v>
      </c>
      <c r="F242" s="275"/>
      <c r="G242" s="276" t="s">
        <v>953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999</v>
      </c>
      <c r="F244" s="13"/>
      <c r="G244" s="270" t="s">
        <v>947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999</v>
      </c>
      <c r="F245" s="13"/>
      <c r="G245" s="272" t="s">
        <v>0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998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967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967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967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967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967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967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969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969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969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969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969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969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999</v>
      </c>
      <c r="F396" s="13"/>
      <c r="G396" s="276" t="s">
        <v>950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999</v>
      </c>
      <c r="F397" s="13"/>
      <c r="G397" s="276" t="s">
        <v>951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999</v>
      </c>
      <c r="F400" s="5"/>
      <c r="G400" s="270" t="s">
        <v>945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999</v>
      </c>
      <c r="F401" s="5"/>
      <c r="G401" s="270" t="s">
        <v>946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999</v>
      </c>
      <c r="F402" s="13"/>
      <c r="G402" s="272" t="s">
        <v>956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999</v>
      </c>
      <c r="F403" s="13"/>
      <c r="G403" s="272" t="s">
        <v>957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998</v>
      </c>
      <c r="F404" s="263"/>
      <c r="G404" s="270" t="s">
        <v>945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71" t="s">
        <v>998</v>
      </c>
      <c r="F405" s="297"/>
      <c r="G405" s="270" t="s">
        <v>946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E275">
    <cfRule type="expression" dxfId="1715" priority="313">
      <formula>MOD(ROW(),2)=0</formula>
    </cfRule>
  </conditionalFormatting>
  <conditionalFormatting sqref="G262">
    <cfRule type="expression" dxfId="1714" priority="312">
      <formula>MOD(ROW(),2)=0</formula>
    </cfRule>
  </conditionalFormatting>
  <conditionalFormatting sqref="G276">
    <cfRule type="expression" dxfId="1713" priority="311">
      <formula>MOD(ROW(),2)=0</formula>
    </cfRule>
  </conditionalFormatting>
  <conditionalFormatting sqref="E276">
    <cfRule type="expression" dxfId="1712" priority="310">
      <formula>MOD(ROW(),2)=0</formula>
    </cfRule>
  </conditionalFormatting>
  <conditionalFormatting sqref="G263">
    <cfRule type="expression" dxfId="1711" priority="309">
      <formula>MOD(ROW(),2)=0</formula>
    </cfRule>
  </conditionalFormatting>
  <conditionalFormatting sqref="G277">
    <cfRule type="expression" dxfId="1710" priority="308">
      <formula>MOD(ROW(),2)=0</formula>
    </cfRule>
  </conditionalFormatting>
  <conditionalFormatting sqref="G264">
    <cfRule type="expression" dxfId="1709" priority="306">
      <formula>MOD(ROW(),2)=0</formula>
    </cfRule>
  </conditionalFormatting>
  <conditionalFormatting sqref="G265">
    <cfRule type="expression" dxfId="1708" priority="304">
      <formula>MOD(ROW(),2)=0</formula>
    </cfRule>
  </conditionalFormatting>
  <conditionalFormatting sqref="G266">
    <cfRule type="expression" dxfId="1707" priority="302">
      <formula>MOD(ROW(),2)=0</formula>
    </cfRule>
  </conditionalFormatting>
  <conditionalFormatting sqref="G267">
    <cfRule type="expression" dxfId="1706" priority="300">
      <formula>MOD(ROW(),2)=0</formula>
    </cfRule>
  </conditionalFormatting>
  <conditionalFormatting sqref="G268">
    <cfRule type="expression" dxfId="1705" priority="298">
      <formula>MOD(ROW(),2)=0</formula>
    </cfRule>
  </conditionalFormatting>
  <conditionalFormatting sqref="G257">
    <cfRule type="expression" dxfId="1704" priority="296">
      <formula>MOD(ROW(),2)=0</formula>
    </cfRule>
  </conditionalFormatting>
  <conditionalFormatting sqref="G258">
    <cfRule type="expression" dxfId="1703" priority="294">
      <formula>MOD(ROW(),2)=0</formula>
    </cfRule>
  </conditionalFormatting>
  <conditionalFormatting sqref="G259">
    <cfRule type="expression" dxfId="1702" priority="292">
      <formula>MOD(ROW(),2)=0</formula>
    </cfRule>
  </conditionalFormatting>
  <conditionalFormatting sqref="G273">
    <cfRule type="expression" dxfId="1701" priority="291">
      <formula>MOD(ROW(),2)=0</formula>
    </cfRule>
  </conditionalFormatting>
  <conditionalFormatting sqref="F243">
    <cfRule type="expression" dxfId="1699" priority="284">
      <formula>MOD(ROW(),2)=0</formula>
    </cfRule>
  </conditionalFormatting>
  <conditionalFormatting sqref="E243">
    <cfRule type="expression" dxfId="1698" priority="283">
      <formula>MOD(ROW(),2)=0</formula>
    </cfRule>
  </conditionalFormatting>
  <conditionalFormatting sqref="F245">
    <cfRule type="expression" dxfId="1697" priority="281">
      <formula>MOD(ROW(),2)=0</formula>
    </cfRule>
  </conditionalFormatting>
  <conditionalFormatting sqref="F246">
    <cfRule type="expression" dxfId="1696" priority="278">
      <formula>MOD(ROW(),2)=0</formula>
    </cfRule>
  </conditionalFormatting>
  <conditionalFormatting sqref="F247">
    <cfRule type="expression" dxfId="1695" priority="275">
      <formula>MOD(ROW(),2)=0</formula>
    </cfRule>
  </conditionalFormatting>
  <conditionalFormatting sqref="E247">
    <cfRule type="expression" dxfId="1694" priority="274">
      <formula>MOD(ROW(),2)=0</formula>
    </cfRule>
  </conditionalFormatting>
  <conditionalFormatting sqref="G241">
    <cfRule type="expression" dxfId="1691" priority="265">
      <formula>MOD(ROW(),2)=0</formula>
    </cfRule>
  </conditionalFormatting>
  <conditionalFormatting sqref="E241">
    <cfRule type="expression" dxfId="1690" priority="264">
      <formula>MOD(ROW(),2)=0</formula>
    </cfRule>
  </conditionalFormatting>
  <conditionalFormatting sqref="E56">
    <cfRule type="expression" dxfId="1689" priority="263">
      <formula>MOD(ROW(),2)=0</formula>
    </cfRule>
  </conditionalFormatting>
  <conditionalFormatting sqref="G283">
    <cfRule type="expression" dxfId="1688" priority="261">
      <formula>MOD(ROW(),2)=0</formula>
    </cfRule>
  </conditionalFormatting>
  <conditionalFormatting sqref="E283">
    <cfRule type="expression" dxfId="1687" priority="260">
      <formula>MOD(ROW(),2)=0</formula>
    </cfRule>
  </conditionalFormatting>
  <conditionalFormatting sqref="E288">
    <cfRule type="expression" dxfId="1686" priority="259">
      <formula>MOD(ROW(),2)=0</formula>
    </cfRule>
  </conditionalFormatting>
  <conditionalFormatting sqref="G289">
    <cfRule type="expression" dxfId="1685" priority="258">
      <formula>MOD(ROW(),2)=0</formula>
    </cfRule>
  </conditionalFormatting>
  <conditionalFormatting sqref="G226:H226 H223:H225">
    <cfRule type="expression" dxfId="1684" priority="245">
      <formula>MOD(ROW(),2)=0</formula>
    </cfRule>
  </conditionalFormatting>
  <conditionalFormatting sqref="H227:H230">
    <cfRule type="expression" dxfId="1683" priority="244">
      <formula>MOD(ROW(),2)=0</formula>
    </cfRule>
  </conditionalFormatting>
  <conditionalFormatting sqref="G227:G228">
    <cfRule type="expression" dxfId="1682" priority="243">
      <formula>MOD(ROW(),2)=0</formula>
    </cfRule>
  </conditionalFormatting>
  <conditionalFormatting sqref="E286">
    <cfRule type="expression" dxfId="1681" priority="224">
      <formula>MOD(ROW(),2)=0</formula>
    </cfRule>
  </conditionalFormatting>
  <conditionalFormatting sqref="F284">
    <cfRule type="expression" dxfId="1680" priority="239">
      <formula>MOD(ROW(),2)=0</formula>
    </cfRule>
  </conditionalFormatting>
  <conditionalFormatting sqref="G284">
    <cfRule type="expression" dxfId="1679" priority="238">
      <formula>MOD(ROW(),2)=0</formula>
    </cfRule>
  </conditionalFormatting>
  <conditionalFormatting sqref="E284">
    <cfRule type="expression" dxfId="1678" priority="237">
      <formula>MOD(ROW(),2)=0</formula>
    </cfRule>
  </conditionalFormatting>
  <conditionalFormatting sqref="G289">
    <cfRule type="expression" dxfId="1677" priority="236">
      <formula>MOD(ROW(),2)=0</formula>
    </cfRule>
  </conditionalFormatting>
  <conditionalFormatting sqref="E287">
    <cfRule type="expression" dxfId="1676" priority="233">
      <formula>MOD(ROW(),2)=0</formula>
    </cfRule>
  </conditionalFormatting>
  <conditionalFormatting sqref="G288">
    <cfRule type="expression" dxfId="1675" priority="232">
      <formula>MOD(ROW(),2)=0</formula>
    </cfRule>
  </conditionalFormatting>
  <conditionalFormatting sqref="G292">
    <cfRule type="expression" dxfId="1674" priority="229">
      <formula>MOD(ROW(),2)=0</formula>
    </cfRule>
  </conditionalFormatting>
  <conditionalFormatting sqref="G294">
    <cfRule type="expression" dxfId="1673" priority="227">
      <formula>MOD(ROW(),2)=0</formula>
    </cfRule>
  </conditionalFormatting>
  <conditionalFormatting sqref="G286">
    <cfRule type="expression" dxfId="1672" priority="225">
      <formula>MOD(ROW(),2)=0</formula>
    </cfRule>
  </conditionalFormatting>
  <conditionalFormatting sqref="G243">
    <cfRule type="expression" dxfId="1671" priority="223">
      <formula>MOD(ROW(),2)=0</formula>
    </cfRule>
  </conditionalFormatting>
  <conditionalFormatting sqref="F243">
    <cfRule type="expression" dxfId="1670" priority="221">
      <formula>MOD(ROW(),2)=0</formula>
    </cfRule>
  </conditionalFormatting>
  <conditionalFormatting sqref="G243">
    <cfRule type="expression" dxfId="1669" priority="220">
      <formula>MOD(ROW(),2)=0</formula>
    </cfRule>
  </conditionalFormatting>
  <conditionalFormatting sqref="E247">
    <cfRule type="expression" dxfId="1668" priority="204">
      <formula>MOD(ROW(),2)=0</formula>
    </cfRule>
  </conditionalFormatting>
  <conditionalFormatting sqref="F249">
    <cfRule type="expression" dxfId="1667" priority="203">
      <formula>MOD(ROW(),2)=0</formula>
    </cfRule>
  </conditionalFormatting>
  <conditionalFormatting sqref="E249">
    <cfRule type="expression" dxfId="1666" priority="202">
      <formula>MOD(ROW(),2)=0</formula>
    </cfRule>
  </conditionalFormatting>
  <conditionalFormatting sqref="F250">
    <cfRule type="expression" dxfId="1665" priority="201">
      <formula>MOD(ROW(),2)=0</formula>
    </cfRule>
  </conditionalFormatting>
  <conditionalFormatting sqref="E250">
    <cfRule type="expression" dxfId="1664" priority="200">
      <formula>MOD(ROW(),2)=0</formula>
    </cfRule>
  </conditionalFormatting>
  <conditionalFormatting sqref="K244:K246 K255:K282 K285:K294 K60:K87 K91:K234 K6:K55 K236:K242 K57 K301:K387 K394:K405">
    <cfRule type="expression" dxfId="1659" priority="189">
      <formula>MOD(ROW(),2)=0</formula>
    </cfRule>
  </conditionalFormatting>
  <conditionalFormatting sqref="K58">
    <cfRule type="expression" dxfId="1658" priority="187">
      <formula>MOD(ROW(),2)=0</formula>
    </cfRule>
  </conditionalFormatting>
  <conditionalFormatting sqref="K253">
    <cfRule type="expression" dxfId="1657" priority="186">
      <formula>MOD(ROW(),2)=0</formula>
    </cfRule>
  </conditionalFormatting>
  <conditionalFormatting sqref="K59">
    <cfRule type="expression" dxfId="1656" priority="185">
      <formula>MOD(ROW(),2)=0</formula>
    </cfRule>
  </conditionalFormatting>
  <conditionalFormatting sqref="K254">
    <cfRule type="expression" dxfId="1655" priority="183">
      <formula>MOD(ROW(),2)=0</formula>
    </cfRule>
  </conditionalFormatting>
  <conditionalFormatting sqref="K235">
    <cfRule type="expression" dxfId="1654" priority="182">
      <formula>MOD(ROW(),2)=0</formula>
    </cfRule>
  </conditionalFormatting>
  <conditionalFormatting sqref="K89">
    <cfRule type="expression" dxfId="1653" priority="181">
      <formula>MOD(ROW(),2)=0</formula>
    </cfRule>
  </conditionalFormatting>
  <conditionalFormatting sqref="K243">
    <cfRule type="expression" dxfId="1652" priority="180">
      <formula>MOD(ROW(),2)=0</formula>
    </cfRule>
  </conditionalFormatting>
  <conditionalFormatting sqref="K90">
    <cfRule type="expression" dxfId="1651" priority="179">
      <formula>MOD(ROW(),2)=0</formula>
    </cfRule>
  </conditionalFormatting>
  <conditionalFormatting sqref="K56">
    <cfRule type="expression" dxfId="1650" priority="178">
      <formula>MOD(ROW(),2)=0</formula>
    </cfRule>
  </conditionalFormatting>
  <conditionalFormatting sqref="K283">
    <cfRule type="expression" dxfId="1649" priority="177">
      <formula>MOD(ROW(),2)=0</formula>
    </cfRule>
  </conditionalFormatting>
  <conditionalFormatting sqref="K284">
    <cfRule type="expression" dxfId="1648" priority="176">
      <formula>MOD(ROW(),2)=0</formula>
    </cfRule>
  </conditionalFormatting>
  <conditionalFormatting sqref="K88">
    <cfRule type="expression" dxfId="1647" priority="175">
      <formula>MOD(ROW(),2)=0</formula>
    </cfRule>
  </conditionalFormatting>
  <conditionalFormatting sqref="K295:K300">
    <cfRule type="expression" dxfId="1646" priority="174">
      <formula>MOD(ROW(),2)=0</formula>
    </cfRule>
  </conditionalFormatting>
  <conditionalFormatting sqref="E6:J55 E388:F395 E220:J220 E60:F63 F64 F255:F256 F269:F270 F275:F277 E257:F268 E271:F274 F244 F241:F242 E253:J254 E57:J59 F56:J56 E278:F282 F283 E295:J387 H60:J64 I223:J230 H255:J294 E292:F294 E285:F285 F286:F291 I65:J219 F209:F219 E226:F228 F223:F225 H394:J405 E222:J222 F221 H221:J221 F396:F405 E251:F252 H231:J246 H388:I393 H247:I252">
    <cfRule type="expression" dxfId="1645" priority="360">
      <formula>MOD(ROW(),2)=0</formula>
    </cfRule>
  </conditionalFormatting>
  <conditionalFormatting sqref="B6:B405">
    <cfRule type="expression" dxfId="1644" priority="359">
      <formula>MOD(ROW(),2)=0</formula>
    </cfRule>
  </conditionalFormatting>
  <conditionalFormatting sqref="D6:D228 D235:D405">
    <cfRule type="expression" dxfId="1643" priority="358">
      <formula>MOD(ROW(),2)=0</formula>
    </cfRule>
  </conditionalFormatting>
  <conditionalFormatting sqref="F100:G103 F65:F71 H65:H75 F124:G127 F148:G151 F172:G175 E196:F196 F197:F208 E197:E219 F84:F99 F104:F123 F128:F147 F152:F171 F176:F195">
    <cfRule type="expression" dxfId="1642" priority="357">
      <formula>MOD(ROW(),2)=0</formula>
    </cfRule>
  </conditionalFormatting>
  <conditionalFormatting sqref="G394:G395">
    <cfRule type="expression" dxfId="1641" priority="353">
      <formula>MOD(ROW(),2)=0</formula>
    </cfRule>
  </conditionalFormatting>
  <conditionalFormatting sqref="G398:G399">
    <cfRule type="expression" dxfId="1640" priority="351">
      <formula>MOD(ROW(),2)=0</formula>
    </cfRule>
  </conditionalFormatting>
  <conditionalFormatting sqref="E398:E399">
    <cfRule type="expression" dxfId="1639" priority="350">
      <formula>MOD(ROW(),2)=0</formula>
    </cfRule>
  </conditionalFormatting>
  <conditionalFormatting sqref="C401:C405">
    <cfRule type="expression" dxfId="1638" priority="349">
      <formula>MOD(ROW(),2)=0</formula>
    </cfRule>
  </conditionalFormatting>
  <conditionalFormatting sqref="C6:C400">
    <cfRule type="expression" dxfId="1637" priority="348">
      <formula>MOD(ROW(),2)=0</formula>
    </cfRule>
  </conditionalFormatting>
  <conditionalFormatting sqref="G60:G61">
    <cfRule type="expression" dxfId="1636" priority="347">
      <formula>MOD(ROW(),2)=0</formula>
    </cfRule>
  </conditionalFormatting>
  <conditionalFormatting sqref="G62:G63">
    <cfRule type="expression" dxfId="1635" priority="346">
      <formula>MOD(ROW(),2)=0</formula>
    </cfRule>
  </conditionalFormatting>
  <conditionalFormatting sqref="G64:G65">
    <cfRule type="expression" dxfId="1634" priority="345">
      <formula>MOD(ROW(),2)=0</formula>
    </cfRule>
  </conditionalFormatting>
  <conditionalFormatting sqref="E64:E65">
    <cfRule type="expression" dxfId="1633" priority="344">
      <formula>MOD(ROW(),2)=0</formula>
    </cfRule>
  </conditionalFormatting>
  <conditionalFormatting sqref="G68:G69">
    <cfRule type="expression" dxfId="1632" priority="341">
      <formula>MOD(ROW(),2)=0</formula>
    </cfRule>
  </conditionalFormatting>
  <conditionalFormatting sqref="E68:E69">
    <cfRule type="expression" dxfId="1631" priority="340">
      <formula>MOD(ROW(),2)=0</formula>
    </cfRule>
  </conditionalFormatting>
  <conditionalFormatting sqref="F76 E74:F75 F72:F73">
    <cfRule type="expression" dxfId="1630" priority="338">
      <formula>MOD(ROW(),2)=0</formula>
    </cfRule>
  </conditionalFormatting>
  <conditionalFormatting sqref="F77:F83">
    <cfRule type="expression" dxfId="1629" priority="337">
      <formula>MOD(ROW(),2)=0</formula>
    </cfRule>
  </conditionalFormatting>
  <conditionalFormatting sqref="E76:E99">
    <cfRule type="expression" dxfId="1628" priority="333">
      <formula>MOD(ROW(),2)=0</formula>
    </cfRule>
  </conditionalFormatting>
  <conditionalFormatting sqref="G255">
    <cfRule type="expression" dxfId="1627" priority="323">
      <formula>MOD(ROW(),2)=0</formula>
    </cfRule>
  </conditionalFormatting>
  <conditionalFormatting sqref="E255">
    <cfRule type="expression" dxfId="1626" priority="322">
      <formula>MOD(ROW(),2)=0</formula>
    </cfRule>
  </conditionalFormatting>
  <conditionalFormatting sqref="G269">
    <cfRule type="expression" dxfId="1625" priority="321">
      <formula>MOD(ROW(),2)=0</formula>
    </cfRule>
  </conditionalFormatting>
  <conditionalFormatting sqref="E269">
    <cfRule type="expression" dxfId="1624" priority="320">
      <formula>MOD(ROW(),2)=0</formula>
    </cfRule>
  </conditionalFormatting>
  <conditionalFormatting sqref="G256">
    <cfRule type="expression" dxfId="1623" priority="319">
      <formula>MOD(ROW(),2)=0</formula>
    </cfRule>
  </conditionalFormatting>
  <conditionalFormatting sqref="E256">
    <cfRule type="expression" dxfId="1622" priority="318">
      <formula>MOD(ROW(),2)=0</formula>
    </cfRule>
  </conditionalFormatting>
  <conditionalFormatting sqref="G270">
    <cfRule type="expression" dxfId="1621" priority="317">
      <formula>MOD(ROW(),2)=0</formula>
    </cfRule>
  </conditionalFormatting>
  <conditionalFormatting sqref="E270">
    <cfRule type="expression" dxfId="1620" priority="316">
      <formula>MOD(ROW(),2)=0</formula>
    </cfRule>
  </conditionalFormatting>
  <conditionalFormatting sqref="G261">
    <cfRule type="expression" dxfId="1619" priority="315">
      <formula>MOD(ROW(),2)=0</formula>
    </cfRule>
  </conditionalFormatting>
  <conditionalFormatting sqref="G275">
    <cfRule type="expression" dxfId="1618" priority="314">
      <formula>MOD(ROW(),2)=0</formula>
    </cfRule>
  </conditionalFormatting>
  <conditionalFormatting sqref="E277">
    <cfRule type="expression" dxfId="1617" priority="307">
      <formula>MOD(ROW(),2)=0</formula>
    </cfRule>
  </conditionalFormatting>
  <conditionalFormatting sqref="G278">
    <cfRule type="expression" dxfId="1616" priority="305">
      <formula>MOD(ROW(),2)=0</formula>
    </cfRule>
  </conditionalFormatting>
  <conditionalFormatting sqref="G279">
    <cfRule type="expression" dxfId="1615" priority="303">
      <formula>MOD(ROW(),2)=0</formula>
    </cfRule>
  </conditionalFormatting>
  <conditionalFormatting sqref="G280">
    <cfRule type="expression" dxfId="1614" priority="301">
      <formula>MOD(ROW(),2)=0</formula>
    </cfRule>
  </conditionalFormatting>
  <conditionalFormatting sqref="G281">
    <cfRule type="expression" dxfId="1613" priority="299">
      <formula>MOD(ROW(),2)=0</formula>
    </cfRule>
  </conditionalFormatting>
  <conditionalFormatting sqref="G282">
    <cfRule type="expression" dxfId="1612" priority="297">
      <formula>MOD(ROW(),2)=0</formula>
    </cfRule>
  </conditionalFormatting>
  <conditionalFormatting sqref="G271">
    <cfRule type="expression" dxfId="1611" priority="295">
      <formula>MOD(ROW(),2)=0</formula>
    </cfRule>
  </conditionalFormatting>
  <conditionalFormatting sqref="G272">
    <cfRule type="expression" dxfId="1610" priority="293">
      <formula>MOD(ROW(),2)=0</formula>
    </cfRule>
  </conditionalFormatting>
  <conditionalFormatting sqref="G260">
    <cfRule type="expression" dxfId="1609" priority="290">
      <formula>MOD(ROW(),2)=0</formula>
    </cfRule>
  </conditionalFormatting>
  <conditionalFormatting sqref="G274">
    <cfRule type="expression" dxfId="1608" priority="289">
      <formula>MOD(ROW(),2)=0</formula>
    </cfRule>
  </conditionalFormatting>
  <conditionalFormatting sqref="F248">
    <cfRule type="expression" dxfId="1606" priority="273">
      <formula>MOD(ROW(),2)=0</formula>
    </cfRule>
  </conditionalFormatting>
  <conditionalFormatting sqref="E248">
    <cfRule type="expression" dxfId="1605" priority="272">
      <formula>MOD(ROW(),2)=0</formula>
    </cfRule>
  </conditionalFormatting>
  <conditionalFormatting sqref="G290">
    <cfRule type="expression" dxfId="1604" priority="257">
      <formula>MOD(ROW(),2)=0</formula>
    </cfRule>
  </conditionalFormatting>
  <conditionalFormatting sqref="E289">
    <cfRule type="expression" dxfId="1603" priority="256">
      <formula>MOD(ROW(),2)=0</formula>
    </cfRule>
  </conditionalFormatting>
  <conditionalFormatting sqref="E290">
    <cfRule type="expression" dxfId="1602" priority="255">
      <formula>MOD(ROW(),2)=0</formula>
    </cfRule>
  </conditionalFormatting>
  <conditionalFormatting sqref="G290">
    <cfRule type="expression" dxfId="1601" priority="235">
      <formula>MOD(ROW(),2)=0</formula>
    </cfRule>
  </conditionalFormatting>
  <conditionalFormatting sqref="G287">
    <cfRule type="expression" dxfId="1600" priority="234">
      <formula>MOD(ROW(),2)=0</formula>
    </cfRule>
  </conditionalFormatting>
  <conditionalFormatting sqref="E291">
    <cfRule type="expression" dxfId="1599" priority="231">
      <formula>MOD(ROW(),2)=0</formula>
    </cfRule>
  </conditionalFormatting>
  <conditionalFormatting sqref="G291">
    <cfRule type="expression" dxfId="1598" priority="230">
      <formula>MOD(ROW(),2)=0</formula>
    </cfRule>
  </conditionalFormatting>
  <conditionalFormatting sqref="G293">
    <cfRule type="expression" dxfId="1597" priority="228">
      <formula>MOD(ROW(),2)=0</formula>
    </cfRule>
  </conditionalFormatting>
  <conditionalFormatting sqref="G285">
    <cfRule type="expression" dxfId="1596" priority="226">
      <formula>MOD(ROW(),2)=0</formula>
    </cfRule>
  </conditionalFormatting>
  <conditionalFormatting sqref="E243">
    <cfRule type="expression" dxfId="1594" priority="219">
      <formula>MOD(ROW(),2)=0</formula>
    </cfRule>
  </conditionalFormatting>
  <conditionalFormatting sqref="F244">
    <cfRule type="expression" dxfId="1593" priority="218">
      <formula>MOD(ROW(),2)=0</formula>
    </cfRule>
  </conditionalFormatting>
  <conditionalFormatting sqref="F245">
    <cfRule type="expression" dxfId="1592" priority="215">
      <formula>MOD(ROW(),2)=0</formula>
    </cfRule>
  </conditionalFormatting>
  <conditionalFormatting sqref="F246">
    <cfRule type="expression" dxfId="1591" priority="213">
      <formula>MOD(ROW(),2)=0</formula>
    </cfRule>
  </conditionalFormatting>
  <conditionalFormatting sqref="F247">
    <cfRule type="expression" dxfId="1590" priority="211">
      <formula>MOD(ROW(),2)=0</formula>
    </cfRule>
  </conditionalFormatting>
  <conditionalFormatting sqref="F248">
    <cfRule type="expression" dxfId="1589" priority="210">
      <formula>MOD(ROW(),2)=0</formula>
    </cfRule>
  </conditionalFormatting>
  <conditionalFormatting sqref="E248">
    <cfRule type="expression" dxfId="1588" priority="209">
      <formula>MOD(ROW(),2)=0</formula>
    </cfRule>
  </conditionalFormatting>
  <conditionalFormatting sqref="H132:H147 H124:H127">
    <cfRule type="expression" dxfId="1587" priority="168">
      <formula>MOD(ROW(),2)=0</formula>
    </cfRule>
  </conditionalFormatting>
  <conditionalFormatting sqref="H76:H123 H148:H162 H172:H219">
    <cfRule type="expression" dxfId="1586" priority="167">
      <formula>MOD(ROW(),2)=0</formula>
    </cfRule>
  </conditionalFormatting>
  <conditionalFormatting sqref="H128:H131">
    <cfRule type="expression" dxfId="1585" priority="166">
      <formula>MOD(ROW(),2)=0</formula>
    </cfRule>
  </conditionalFormatting>
  <conditionalFormatting sqref="H163:H164">
    <cfRule type="expression" dxfId="1584" priority="165">
      <formula>MOD(ROW(),2)=0</formula>
    </cfRule>
  </conditionalFormatting>
  <conditionalFormatting sqref="H165:H171">
    <cfRule type="expression" dxfId="1583" priority="164">
      <formula>MOD(ROW(),2)=0</formula>
    </cfRule>
  </conditionalFormatting>
  <conditionalFormatting sqref="G196:G197">
    <cfRule type="expression" dxfId="1582" priority="163">
      <formula>MOD(ROW(),2)=0</formula>
    </cfRule>
  </conditionalFormatting>
  <conditionalFormatting sqref="G198:G199">
    <cfRule type="expression" dxfId="1581" priority="162">
      <formula>MOD(ROW(),2)=0</formula>
    </cfRule>
  </conditionalFormatting>
  <conditionalFormatting sqref="G204:G205">
    <cfRule type="expression" dxfId="1580" priority="161">
      <formula>MOD(ROW(),2)=0</formula>
    </cfRule>
  </conditionalFormatting>
  <conditionalFormatting sqref="G206:G207">
    <cfRule type="expression" dxfId="1579" priority="160">
      <formula>MOD(ROW(),2)=0</formula>
    </cfRule>
  </conditionalFormatting>
  <conditionalFormatting sqref="G208:G209">
    <cfRule type="expression" dxfId="1578" priority="159">
      <formula>MOD(ROW(),2)=0</formula>
    </cfRule>
  </conditionalFormatting>
  <conditionalFormatting sqref="G210:G211">
    <cfRule type="expression" dxfId="1577" priority="158">
      <formula>MOD(ROW(),2)=0</formula>
    </cfRule>
  </conditionalFormatting>
  <conditionalFormatting sqref="G212:G213">
    <cfRule type="expression" dxfId="1576" priority="157">
      <formula>MOD(ROW(),2)=0</formula>
    </cfRule>
  </conditionalFormatting>
  <conditionalFormatting sqref="G214:G215">
    <cfRule type="expression" dxfId="1575" priority="156">
      <formula>MOD(ROW(),2)=0</formula>
    </cfRule>
  </conditionalFormatting>
  <conditionalFormatting sqref="G216:G217">
    <cfRule type="expression" dxfId="1574" priority="155">
      <formula>MOD(ROW(),2)=0</formula>
    </cfRule>
  </conditionalFormatting>
  <conditionalFormatting sqref="G218:G219">
    <cfRule type="expression" dxfId="1573" priority="154">
      <formula>MOD(ROW(),2)=0</formula>
    </cfRule>
  </conditionalFormatting>
  <conditionalFormatting sqref="G200:G201">
    <cfRule type="expression" dxfId="1572" priority="153">
      <formula>MOD(ROW(),2)=0</formula>
    </cfRule>
  </conditionalFormatting>
  <conditionalFormatting sqref="G202:G203">
    <cfRule type="expression" dxfId="1571" priority="152">
      <formula>MOD(ROW(),2)=0</formula>
    </cfRule>
  </conditionalFormatting>
  <conditionalFormatting sqref="G76:G77">
    <cfRule type="expression" dxfId="1570" priority="151">
      <formula>MOD(ROW(),2)=0</formula>
    </cfRule>
  </conditionalFormatting>
  <conditionalFormatting sqref="G78:G79">
    <cfRule type="expression" dxfId="1569" priority="150">
      <formula>MOD(ROW(),2)=0</formula>
    </cfRule>
  </conditionalFormatting>
  <conditionalFormatting sqref="G84:G85">
    <cfRule type="expression" dxfId="1568" priority="149">
      <formula>MOD(ROW(),2)=0</formula>
    </cfRule>
  </conditionalFormatting>
  <conditionalFormatting sqref="G86:G87">
    <cfRule type="expression" dxfId="1567" priority="148">
      <formula>MOD(ROW(),2)=0</formula>
    </cfRule>
  </conditionalFormatting>
  <conditionalFormatting sqref="G88:G89">
    <cfRule type="expression" dxfId="1566" priority="147">
      <formula>MOD(ROW(),2)=0</formula>
    </cfRule>
  </conditionalFormatting>
  <conditionalFormatting sqref="G90:G91">
    <cfRule type="expression" dxfId="1565" priority="146">
      <formula>MOD(ROW(),2)=0</formula>
    </cfRule>
  </conditionalFormatting>
  <conditionalFormatting sqref="G92:G93">
    <cfRule type="expression" dxfId="1564" priority="145">
      <formula>MOD(ROW(),2)=0</formula>
    </cfRule>
  </conditionalFormatting>
  <conditionalFormatting sqref="G94:G95">
    <cfRule type="expression" dxfId="1563" priority="144">
      <formula>MOD(ROW(),2)=0</formula>
    </cfRule>
  </conditionalFormatting>
  <conditionalFormatting sqref="G96:G97">
    <cfRule type="expression" dxfId="1562" priority="143">
      <formula>MOD(ROW(),2)=0</formula>
    </cfRule>
  </conditionalFormatting>
  <conditionalFormatting sqref="G98:G99">
    <cfRule type="expression" dxfId="1561" priority="142">
      <formula>MOD(ROW(),2)=0</formula>
    </cfRule>
  </conditionalFormatting>
  <conditionalFormatting sqref="G80:G81">
    <cfRule type="expression" dxfId="1560" priority="141">
      <formula>MOD(ROW(),2)=0</formula>
    </cfRule>
  </conditionalFormatting>
  <conditionalFormatting sqref="G82:G83">
    <cfRule type="expression" dxfId="1559" priority="140">
      <formula>MOD(ROW(),2)=0</formula>
    </cfRule>
  </conditionalFormatting>
  <conditionalFormatting sqref="E100:E123">
    <cfRule type="expression" dxfId="1558" priority="139">
      <formula>MOD(ROW(),2)=0</formula>
    </cfRule>
  </conditionalFormatting>
  <conditionalFormatting sqref="G108:G109">
    <cfRule type="expression" dxfId="1557" priority="138">
      <formula>MOD(ROW(),2)=0</formula>
    </cfRule>
  </conditionalFormatting>
  <conditionalFormatting sqref="G110:G111">
    <cfRule type="expression" dxfId="1556" priority="137">
      <formula>MOD(ROW(),2)=0</formula>
    </cfRule>
  </conditionalFormatting>
  <conditionalFormatting sqref="G112:G113">
    <cfRule type="expression" dxfId="1555" priority="136">
      <formula>MOD(ROW(),2)=0</formula>
    </cfRule>
  </conditionalFormatting>
  <conditionalFormatting sqref="G114:G115">
    <cfRule type="expression" dxfId="1554" priority="135">
      <formula>MOD(ROW(),2)=0</formula>
    </cfRule>
  </conditionalFormatting>
  <conditionalFormatting sqref="G116:G117">
    <cfRule type="expression" dxfId="1553" priority="134">
      <formula>MOD(ROW(),2)=0</formula>
    </cfRule>
  </conditionalFormatting>
  <conditionalFormatting sqref="G118:G119">
    <cfRule type="expression" dxfId="1552" priority="133">
      <formula>MOD(ROW(),2)=0</formula>
    </cfRule>
  </conditionalFormatting>
  <conditionalFormatting sqref="G120:G121">
    <cfRule type="expression" dxfId="1551" priority="132">
      <formula>MOD(ROW(),2)=0</formula>
    </cfRule>
  </conditionalFormatting>
  <conditionalFormatting sqref="G122:G123">
    <cfRule type="expression" dxfId="1550" priority="131">
      <formula>MOD(ROW(),2)=0</formula>
    </cfRule>
  </conditionalFormatting>
  <conditionalFormatting sqref="G104:G105">
    <cfRule type="expression" dxfId="1549" priority="130">
      <formula>MOD(ROW(),2)=0</formula>
    </cfRule>
  </conditionalFormatting>
  <conditionalFormatting sqref="G106:G107">
    <cfRule type="expression" dxfId="1548" priority="129">
      <formula>MOD(ROW(),2)=0</formula>
    </cfRule>
  </conditionalFormatting>
  <conditionalFormatting sqref="E124:E147">
    <cfRule type="expression" dxfId="1547" priority="128">
      <formula>MOD(ROW(),2)=0</formula>
    </cfRule>
  </conditionalFormatting>
  <conditionalFormatting sqref="G132:G133">
    <cfRule type="expression" dxfId="1546" priority="127">
      <formula>MOD(ROW(),2)=0</formula>
    </cfRule>
  </conditionalFormatting>
  <conditionalFormatting sqref="G134:G135">
    <cfRule type="expression" dxfId="1545" priority="126">
      <formula>MOD(ROW(),2)=0</formula>
    </cfRule>
  </conditionalFormatting>
  <conditionalFormatting sqref="G136:G137">
    <cfRule type="expression" dxfId="1544" priority="125">
      <formula>MOD(ROW(),2)=0</formula>
    </cfRule>
  </conditionalFormatting>
  <conditionalFormatting sqref="G138:G139">
    <cfRule type="expression" dxfId="1543" priority="124">
      <formula>MOD(ROW(),2)=0</formula>
    </cfRule>
  </conditionalFormatting>
  <conditionalFormatting sqref="G140:G141">
    <cfRule type="expression" dxfId="1542" priority="123">
      <formula>MOD(ROW(),2)=0</formula>
    </cfRule>
  </conditionalFormatting>
  <conditionalFormatting sqref="G142:G143">
    <cfRule type="expression" dxfId="1541" priority="122">
      <formula>MOD(ROW(),2)=0</formula>
    </cfRule>
  </conditionalFormatting>
  <conditionalFormatting sqref="G144:G145">
    <cfRule type="expression" dxfId="1540" priority="121">
      <formula>MOD(ROW(),2)=0</formula>
    </cfRule>
  </conditionalFormatting>
  <conditionalFormatting sqref="G146:G147">
    <cfRule type="expression" dxfId="1539" priority="120">
      <formula>MOD(ROW(),2)=0</formula>
    </cfRule>
  </conditionalFormatting>
  <conditionalFormatting sqref="G128:G129">
    <cfRule type="expression" dxfId="1538" priority="119">
      <formula>MOD(ROW(),2)=0</formula>
    </cfRule>
  </conditionalFormatting>
  <conditionalFormatting sqref="G130:G131">
    <cfRule type="expression" dxfId="1537" priority="118">
      <formula>MOD(ROW(),2)=0</formula>
    </cfRule>
  </conditionalFormatting>
  <conditionalFormatting sqref="E148:E171">
    <cfRule type="expression" dxfId="1536" priority="117">
      <formula>MOD(ROW(),2)=0</formula>
    </cfRule>
  </conditionalFormatting>
  <conditionalFormatting sqref="G156:G157">
    <cfRule type="expression" dxfId="1535" priority="116">
      <formula>MOD(ROW(),2)=0</formula>
    </cfRule>
  </conditionalFormatting>
  <conditionalFormatting sqref="G158:G159">
    <cfRule type="expression" dxfId="1534" priority="115">
      <formula>MOD(ROW(),2)=0</formula>
    </cfRule>
  </conditionalFormatting>
  <conditionalFormatting sqref="G160:G161">
    <cfRule type="expression" dxfId="1533" priority="114">
      <formula>MOD(ROW(),2)=0</formula>
    </cfRule>
  </conditionalFormatting>
  <conditionalFormatting sqref="G162:G163">
    <cfRule type="expression" dxfId="1532" priority="113">
      <formula>MOD(ROW(),2)=0</formula>
    </cfRule>
  </conditionalFormatting>
  <conditionalFormatting sqref="G164:G165">
    <cfRule type="expression" dxfId="1531" priority="112">
      <formula>MOD(ROW(),2)=0</formula>
    </cfRule>
  </conditionalFormatting>
  <conditionalFormatting sqref="G166:G167">
    <cfRule type="expression" dxfId="1530" priority="111">
      <formula>MOD(ROW(),2)=0</formula>
    </cfRule>
  </conditionalFormatting>
  <conditionalFormatting sqref="G168:G169">
    <cfRule type="expression" dxfId="1529" priority="110">
      <formula>MOD(ROW(),2)=0</formula>
    </cfRule>
  </conditionalFormatting>
  <conditionalFormatting sqref="G170:G171">
    <cfRule type="expression" dxfId="1528" priority="109">
      <formula>MOD(ROW(),2)=0</formula>
    </cfRule>
  </conditionalFormatting>
  <conditionalFormatting sqref="G152:G153">
    <cfRule type="expression" dxfId="1527" priority="108">
      <formula>MOD(ROW(),2)=0</formula>
    </cfRule>
  </conditionalFormatting>
  <conditionalFormatting sqref="G154:G155">
    <cfRule type="expression" dxfId="1526" priority="107">
      <formula>MOD(ROW(),2)=0</formula>
    </cfRule>
  </conditionalFormatting>
  <conditionalFormatting sqref="E172:E195">
    <cfRule type="expression" dxfId="1525" priority="106">
      <formula>MOD(ROW(),2)=0</formula>
    </cfRule>
  </conditionalFormatting>
  <conditionalFormatting sqref="G180:G181">
    <cfRule type="expression" dxfId="1524" priority="105">
      <formula>MOD(ROW(),2)=0</formula>
    </cfRule>
  </conditionalFormatting>
  <conditionalFormatting sqref="G182:G183">
    <cfRule type="expression" dxfId="1523" priority="104">
      <formula>MOD(ROW(),2)=0</formula>
    </cfRule>
  </conditionalFormatting>
  <conditionalFormatting sqref="G184:G185">
    <cfRule type="expression" dxfId="1522" priority="103">
      <formula>MOD(ROW(),2)=0</formula>
    </cfRule>
  </conditionalFormatting>
  <conditionalFormatting sqref="G186:G187">
    <cfRule type="expression" dxfId="1521" priority="102">
      <formula>MOD(ROW(),2)=0</formula>
    </cfRule>
  </conditionalFormatting>
  <conditionalFormatting sqref="G188:G189">
    <cfRule type="expression" dxfId="1520" priority="101">
      <formula>MOD(ROW(),2)=0</formula>
    </cfRule>
  </conditionalFormatting>
  <conditionalFormatting sqref="G190:G191">
    <cfRule type="expression" dxfId="1519" priority="100">
      <formula>MOD(ROW(),2)=0</formula>
    </cfRule>
  </conditionalFormatting>
  <conditionalFormatting sqref="G192:G193">
    <cfRule type="expression" dxfId="1518" priority="99">
      <formula>MOD(ROW(),2)=0</formula>
    </cfRule>
  </conditionalFormatting>
  <conditionalFormatting sqref="G194:G195">
    <cfRule type="expression" dxfId="1517" priority="98">
      <formula>MOD(ROW(),2)=0</formula>
    </cfRule>
  </conditionalFormatting>
  <conditionalFormatting sqref="G176:G177">
    <cfRule type="expression" dxfId="1516" priority="97">
      <formula>MOD(ROW(),2)=0</formula>
    </cfRule>
  </conditionalFormatting>
  <conditionalFormatting sqref="G178:G179">
    <cfRule type="expression" dxfId="1515" priority="96">
      <formula>MOD(ROW(),2)=0</formula>
    </cfRule>
  </conditionalFormatting>
  <conditionalFormatting sqref="G404:G405">
    <cfRule type="expression" dxfId="1514" priority="95">
      <formula>MOD(ROW(),2)=0</formula>
    </cfRule>
  </conditionalFormatting>
  <conditionalFormatting sqref="G225">
    <cfRule type="expression" dxfId="1513" priority="94">
      <formula>MOD(ROW(),2)=0</formula>
    </cfRule>
  </conditionalFormatting>
  <conditionalFormatting sqref="G246">
    <cfRule type="expression" dxfId="1512" priority="93">
      <formula>MOD(ROW(),2)=0</formula>
    </cfRule>
  </conditionalFormatting>
  <conditionalFormatting sqref="G74:G75">
    <cfRule type="expression" dxfId="1509" priority="90">
      <formula>MOD(ROW(),2)=0</formula>
    </cfRule>
  </conditionalFormatting>
  <conditionalFormatting sqref="E246">
    <cfRule type="expression" dxfId="1508" priority="89">
      <formula>MOD(ROW(),2)=0</formula>
    </cfRule>
  </conditionalFormatting>
  <conditionalFormatting sqref="G223">
    <cfRule type="expression" dxfId="1506" priority="69">
      <formula>MOD(ROW(),2)=0</formula>
    </cfRule>
  </conditionalFormatting>
  <conditionalFormatting sqref="E225">
    <cfRule type="expression" dxfId="1505" priority="86">
      <formula>MOD(ROW(),2)=0</formula>
    </cfRule>
  </conditionalFormatting>
  <conditionalFormatting sqref="E404">
    <cfRule type="expression" dxfId="1504" priority="85">
      <formula>MOD(ROW(),2)=0</formula>
    </cfRule>
  </conditionalFormatting>
  <conditionalFormatting sqref="E405">
    <cfRule type="expression" dxfId="1503" priority="84">
      <formula>MOD(ROW(),2)=0</formula>
    </cfRule>
  </conditionalFormatting>
  <conditionalFormatting sqref="G402:G403">
    <cfRule type="expression" dxfId="1502" priority="83">
      <formula>MOD(ROW(),2)=0</formula>
    </cfRule>
  </conditionalFormatting>
  <conditionalFormatting sqref="G224">
    <cfRule type="expression" dxfId="1501" priority="82">
      <formula>MOD(ROW(),2)=0</formula>
    </cfRule>
  </conditionalFormatting>
  <conditionalFormatting sqref="G245">
    <cfRule type="expression" dxfId="1500" priority="81">
      <formula>MOD(ROW(),2)=0</formula>
    </cfRule>
  </conditionalFormatting>
  <conditionalFormatting sqref="G72:G73">
    <cfRule type="expression" dxfId="1497" priority="78">
      <formula>MOD(ROW(),2)=0</formula>
    </cfRule>
  </conditionalFormatting>
  <conditionalFormatting sqref="E72:E73">
    <cfRule type="expression" dxfId="1496" priority="77">
      <formula>MOD(ROW(),2)=0</formula>
    </cfRule>
  </conditionalFormatting>
  <conditionalFormatting sqref="E245">
    <cfRule type="expression" dxfId="1495" priority="76">
      <formula>MOD(ROW(),2)=0</formula>
    </cfRule>
  </conditionalFormatting>
  <conditionalFormatting sqref="G221">
    <cfRule type="expression" dxfId="1493" priority="56">
      <formula>MOD(ROW(),2)=0</formula>
    </cfRule>
  </conditionalFormatting>
  <conditionalFormatting sqref="E224">
    <cfRule type="expression" dxfId="1492" priority="73">
      <formula>MOD(ROW(),2)=0</formula>
    </cfRule>
  </conditionalFormatting>
  <conditionalFormatting sqref="E403">
    <cfRule type="expression" dxfId="1491" priority="72">
      <formula>MOD(ROW(),2)=0</formula>
    </cfRule>
  </conditionalFormatting>
  <conditionalFormatting sqref="E402">
    <cfRule type="expression" dxfId="1490" priority="71">
      <formula>MOD(ROW(),2)=0</formula>
    </cfRule>
  </conditionalFormatting>
  <conditionalFormatting sqref="G400:G401">
    <cfRule type="expression" dxfId="1489" priority="70">
      <formula>MOD(ROW(),2)=0</formula>
    </cfRule>
  </conditionalFormatting>
  <conditionalFormatting sqref="G244">
    <cfRule type="expression" dxfId="1487" priority="68">
      <formula>MOD(ROW(),2)=0</formula>
    </cfRule>
  </conditionalFormatting>
  <conditionalFormatting sqref="E242">
    <cfRule type="expression" dxfId="1486" priority="49">
      <formula>MOD(ROW(),2)=0</formula>
    </cfRule>
  </conditionalFormatting>
  <conditionalFormatting sqref="G70:G71">
    <cfRule type="expression" dxfId="1484" priority="65">
      <formula>MOD(ROW(),2)=0</formula>
    </cfRule>
  </conditionalFormatting>
  <conditionalFormatting sqref="E70:E71">
    <cfRule type="expression" dxfId="1483" priority="64">
      <formula>MOD(ROW(),2)=0</formula>
    </cfRule>
  </conditionalFormatting>
  <conditionalFormatting sqref="E244">
    <cfRule type="expression" dxfId="1482" priority="63">
      <formula>MOD(ROW(),2)=0</formula>
    </cfRule>
  </conditionalFormatting>
  <conditionalFormatting sqref="G251:G252">
    <cfRule type="expression" dxfId="1480" priority="43">
      <formula>MOD(ROW(),2)=0</formula>
    </cfRule>
  </conditionalFormatting>
  <conditionalFormatting sqref="E223">
    <cfRule type="expression" dxfId="1479" priority="60">
      <formula>MOD(ROW(),2)=0</formula>
    </cfRule>
  </conditionalFormatting>
  <conditionalFormatting sqref="E400">
    <cfRule type="expression" dxfId="1478" priority="59">
      <formula>MOD(ROW(),2)=0</formula>
    </cfRule>
  </conditionalFormatting>
  <conditionalFormatting sqref="E401">
    <cfRule type="expression" dxfId="1477" priority="58">
      <formula>MOD(ROW(),2)=0</formula>
    </cfRule>
  </conditionalFormatting>
  <conditionalFormatting sqref="G396:G397">
    <cfRule type="expression" dxfId="1476" priority="57">
      <formula>MOD(ROW(),2)=0</formula>
    </cfRule>
  </conditionalFormatting>
  <conditionalFormatting sqref="G242">
    <cfRule type="expression" dxfId="1474" priority="55">
      <formula>MOD(ROW(),2)=0</formula>
    </cfRule>
  </conditionalFormatting>
  <conditionalFormatting sqref="G388:G393">
    <cfRule type="expression" dxfId="1473" priority="36">
      <formula>MOD(ROW(),2)=0</formula>
    </cfRule>
  </conditionalFormatting>
  <conditionalFormatting sqref="G66:G67">
    <cfRule type="expression" dxfId="1471" priority="52">
      <formula>MOD(ROW(),2)=0</formula>
    </cfRule>
  </conditionalFormatting>
  <conditionalFormatting sqref="E66">
    <cfRule type="expression" dxfId="1470" priority="51">
      <formula>MOD(ROW(),2)=0</formula>
    </cfRule>
  </conditionalFormatting>
  <conditionalFormatting sqref="E67">
    <cfRule type="expression" dxfId="1469" priority="50">
      <formula>MOD(ROW(),2)=0</formula>
    </cfRule>
  </conditionalFormatting>
  <conditionalFormatting sqref="E237:G237 E235:F235 F238:F240 F236">
    <cfRule type="expression" dxfId="1466" priority="29">
      <formula>MOD(ROW(),2)=0</formula>
    </cfRule>
  </conditionalFormatting>
  <conditionalFormatting sqref="E221">
    <cfRule type="expression" dxfId="1465" priority="46">
      <formula>MOD(ROW(),2)=0</formula>
    </cfRule>
  </conditionalFormatting>
  <conditionalFormatting sqref="E396">
    <cfRule type="expression" dxfId="1464" priority="45">
      <formula>MOD(ROW(),2)=0</formula>
    </cfRule>
  </conditionalFormatting>
  <conditionalFormatting sqref="E397">
    <cfRule type="expression" dxfId="1463" priority="44">
      <formula>MOD(ROW(),2)=0</formula>
    </cfRule>
  </conditionalFormatting>
  <conditionalFormatting sqref="G247">
    <cfRule type="expression" dxfId="1462" priority="40">
      <formula>MOD(ROW(),2)=0</formula>
    </cfRule>
  </conditionalFormatting>
  <conditionalFormatting sqref="G248">
    <cfRule type="expression" dxfId="1461" priority="39">
      <formula>MOD(ROW(),2)=0</formula>
    </cfRule>
  </conditionalFormatting>
  <conditionalFormatting sqref="G249">
    <cfRule type="expression" dxfId="1460" priority="38">
      <formula>MOD(ROW(),2)=0</formula>
    </cfRule>
  </conditionalFormatting>
  <conditionalFormatting sqref="G250">
    <cfRule type="expression" dxfId="1459" priority="37">
      <formula>MOD(ROW(),2)=0</formula>
    </cfRule>
  </conditionalFormatting>
  <conditionalFormatting sqref="G247">
    <cfRule type="expression" dxfId="1457" priority="42">
      <formula>MOD(ROW(),2)=0</formula>
    </cfRule>
  </conditionalFormatting>
  <conditionalFormatting sqref="G248">
    <cfRule type="expression" dxfId="1456" priority="41">
      <formula>MOD(ROW(),2)=0</formula>
    </cfRule>
  </conditionalFormatting>
  <conditionalFormatting sqref="K388:K393">
    <cfRule type="expression" dxfId="1454" priority="34">
      <formula>MOD(ROW(),2)=0</formula>
    </cfRule>
  </conditionalFormatting>
  <conditionalFormatting sqref="J388:J393">
    <cfRule type="expression" dxfId="1453" priority="35">
      <formula>MOD(ROW(),2)=0</formula>
    </cfRule>
  </conditionalFormatting>
  <conditionalFormatting sqref="K247:K250">
    <cfRule type="expression" dxfId="1452" priority="33">
      <formula>MOD(ROW(),2)=0</formula>
    </cfRule>
  </conditionalFormatting>
  <conditionalFormatting sqref="K251">
    <cfRule type="expression" dxfId="1451" priority="32">
      <formula>MOD(ROW(),2)=0</formula>
    </cfRule>
  </conditionalFormatting>
  <conditionalFormatting sqref="K252">
    <cfRule type="expression" dxfId="1450" priority="31">
      <formula>MOD(ROW(),2)=0</formula>
    </cfRule>
  </conditionalFormatting>
  <conditionalFormatting sqref="J247:J252">
    <cfRule type="expression" dxfId="1449" priority="30">
      <formula>MOD(ROW(),2)=0</formula>
    </cfRule>
  </conditionalFormatting>
  <conditionalFormatting sqref="G235">
    <cfRule type="expression" dxfId="1448" priority="27">
      <formula>MOD(ROW(),2)=0</formula>
    </cfRule>
  </conditionalFormatting>
  <conditionalFormatting sqref="D235:D240">
    <cfRule type="expression" dxfId="1446" priority="28">
      <formula>MOD(ROW(),2)=0</formula>
    </cfRule>
  </conditionalFormatting>
  <conditionalFormatting sqref="G240">
    <cfRule type="expression" dxfId="1445" priority="26">
      <formula>MOD(ROW(),2)=0</formula>
    </cfRule>
  </conditionalFormatting>
  <conditionalFormatting sqref="E240">
    <cfRule type="expression" dxfId="1444" priority="25">
      <formula>MOD(ROW(),2)=0</formula>
    </cfRule>
  </conditionalFormatting>
  <conditionalFormatting sqref="G239">
    <cfRule type="expression" dxfId="1443" priority="24">
      <formula>MOD(ROW(),2)=0</formula>
    </cfRule>
  </conditionalFormatting>
  <conditionalFormatting sqref="E239">
    <cfRule type="expression" dxfId="1442" priority="23">
      <formula>MOD(ROW(),2)=0</formula>
    </cfRule>
  </conditionalFormatting>
  <conditionalFormatting sqref="G238">
    <cfRule type="expression" dxfId="1441" priority="22">
      <formula>MOD(ROW(),2)=0</formula>
    </cfRule>
  </conditionalFormatting>
  <conditionalFormatting sqref="E238">
    <cfRule type="expression" dxfId="1440" priority="21">
      <formula>MOD(ROW(),2)=0</formula>
    </cfRule>
  </conditionalFormatting>
  <conditionalFormatting sqref="G236">
    <cfRule type="expression" dxfId="1439" priority="20">
      <formula>MOD(ROW(),2)=0</formula>
    </cfRule>
  </conditionalFormatting>
  <conditionalFormatting sqref="E236">
    <cfRule type="expression" dxfId="1438" priority="19">
      <formula>MOD(ROW(),2)=0</formula>
    </cfRule>
  </conditionalFormatting>
  <conditionalFormatting sqref="E229">
    <cfRule type="expression" dxfId="1437" priority="15">
      <formula>MOD(ROW(),2)=0</formula>
    </cfRule>
  </conditionalFormatting>
  <conditionalFormatting sqref="F233">
    <cfRule type="expression" dxfId="1436" priority="14">
      <formula>MOD(ROW(),2)=0</formula>
    </cfRule>
  </conditionalFormatting>
  <conditionalFormatting sqref="F234">
    <cfRule type="expression" dxfId="1435" priority="13">
      <formula>MOD(ROW(),2)=0</formula>
    </cfRule>
  </conditionalFormatting>
  <conditionalFormatting sqref="F231">
    <cfRule type="expression" dxfId="1434" priority="12">
      <formula>MOD(ROW(),2)=0</formula>
    </cfRule>
  </conditionalFormatting>
  <conditionalFormatting sqref="E231">
    <cfRule type="expression" dxfId="1433" priority="11">
      <formula>MOD(ROW(),2)=0</formula>
    </cfRule>
  </conditionalFormatting>
  <conditionalFormatting sqref="F232">
    <cfRule type="expression" dxfId="1432" priority="10">
      <formula>MOD(ROW(),2)=0</formula>
    </cfRule>
  </conditionalFormatting>
  <conditionalFormatting sqref="G231">
    <cfRule type="expression" dxfId="1431" priority="9">
      <formula>MOD(ROW(),2)=0</formula>
    </cfRule>
  </conditionalFormatting>
  <conditionalFormatting sqref="F229:F230">
    <cfRule type="expression" dxfId="1430" priority="18">
      <formula>MOD(ROW(),2)=0</formula>
    </cfRule>
  </conditionalFormatting>
  <conditionalFormatting sqref="D229:D234">
    <cfRule type="expression" dxfId="1429" priority="17">
      <formula>MOD(ROW(),2)=0</formula>
    </cfRule>
  </conditionalFormatting>
  <conditionalFormatting sqref="G229">
    <cfRule type="expression" dxfId="1428" priority="16">
      <formula>MOD(ROW(),2)=0</formula>
    </cfRule>
  </conditionalFormatting>
  <conditionalFormatting sqref="G234">
    <cfRule type="expression" dxfId="1427" priority="8">
      <formula>MOD(ROW(),2)=0</formula>
    </cfRule>
  </conditionalFormatting>
  <conditionalFormatting sqref="E234">
    <cfRule type="expression" dxfId="1426" priority="7">
      <formula>MOD(ROW(),2)=0</formula>
    </cfRule>
  </conditionalFormatting>
  <conditionalFormatting sqref="G233">
    <cfRule type="expression" dxfId="1425" priority="6">
      <formula>MOD(ROW(),2)=0</formula>
    </cfRule>
  </conditionalFormatting>
  <conditionalFormatting sqref="E233">
    <cfRule type="expression" dxfId="1424" priority="5">
      <formula>MOD(ROW(),2)=0</formula>
    </cfRule>
  </conditionalFormatting>
  <conditionalFormatting sqref="G232">
    <cfRule type="expression" dxfId="1423" priority="4">
      <formula>MOD(ROW(),2)=0</formula>
    </cfRule>
  </conditionalFormatting>
  <conditionalFormatting sqref="E232">
    <cfRule type="expression" dxfId="1422" priority="3">
      <formula>MOD(ROW(),2)=0</formula>
    </cfRule>
  </conditionalFormatting>
  <conditionalFormatting sqref="G230">
    <cfRule type="expression" dxfId="1421" priority="2">
      <formula>MOD(ROW(),2)=0</formula>
    </cfRule>
  </conditionalFormatting>
  <conditionalFormatting sqref="E230">
    <cfRule type="expression" dxfId="1420" priority="1">
      <formula>MOD(ROW(),2)=0</formula>
    </cfRule>
  </conditionalFormatting>
  <hyperlinks>
    <hyperlink ref="AN6" location="'0'!A1" tooltip="X stave 0, Front" display="'0'!A1" xr:uid="{00000000-0004-0000-0A00-000000000000}"/>
    <hyperlink ref="AN7:AN10" location="'0'!A1" tooltip="X stave 0, Front" display="'0'!A1" xr:uid="{00000000-0004-0000-0A00-000001000000}"/>
    <hyperlink ref="AJ6" location="'0'!A1" tooltip="X stave 0, Front" display="'0'!A1" xr:uid="{00000000-0004-0000-0A00-000002000000}"/>
    <hyperlink ref="AJ7:AJ10" location="'0'!A1" tooltip="X stave 0, Front" display="'0'!A1" xr:uid="{00000000-0004-0000-0A00-000003000000}"/>
    <hyperlink ref="AH6" location="'0'!A1" tooltip="X stave 0, Front" display="'0'!A1" xr:uid="{00000000-0004-0000-0A00-000004000000}"/>
    <hyperlink ref="AH7:AH10" location="'0'!A1" tooltip="X stave 0, Front" display="'0'!A1" xr:uid="{00000000-0004-0000-0A00-000005000000}"/>
    <hyperlink ref="AJ6:AJ10" location="'2'!A1" tooltip="DCB 2" display="'2'!A1" xr:uid="{00000000-0004-0000-0A00-000006000000}"/>
    <hyperlink ref="AN6:AN10" location="'0'!A1" tooltip="DCB 0" display="'0'!A1" xr:uid="{00000000-0004-0000-0A00-000007000000}"/>
    <hyperlink ref="AL6" location="'0'!A1" tooltip="X stave 0, Front" display="'0'!A1" xr:uid="{00000000-0004-0000-0A00-000008000000}"/>
    <hyperlink ref="AL7:AL10" location="'0'!A1" tooltip="X stave 0, Front" display="'0'!A1" xr:uid="{00000000-0004-0000-0A00-000009000000}"/>
    <hyperlink ref="AL6:AL10" location="'1'!A1" tooltip="DCB 1" display="'1'!A1" xr:uid="{00000000-0004-0000-0A00-00000A000000}"/>
    <hyperlink ref="AH6:AH10" location="'3'!A1" display="'3'!A1" xr:uid="{00000000-0004-0000-0A00-00000B000000}"/>
    <hyperlink ref="AF6" location="'0'!A1" tooltip="X stave 0, Front" display="'0'!A1" xr:uid="{00000000-0004-0000-0A00-00000C000000}"/>
    <hyperlink ref="AF7:AF10" location="'0'!A1" tooltip="X stave 0, Front" display="'0'!A1" xr:uid="{00000000-0004-0000-0A00-00000D000000}"/>
    <hyperlink ref="AF6:AF10" location="'4'!A1" display="'4'!A1" xr:uid="{00000000-0004-0000-0A00-00000E000000}"/>
    <hyperlink ref="AD6" location="'0'!A1" tooltip="X stave 0, Front" display="'0'!A1" xr:uid="{00000000-0004-0000-0A00-00000F000000}"/>
    <hyperlink ref="AD7:AD10" location="'0'!A1" tooltip="X stave 0, Front" display="'0'!A1" xr:uid="{00000000-0004-0000-0A00-000010000000}"/>
    <hyperlink ref="AD6:AD10" location="'5'!A1" display="'5'!A1" xr:uid="{00000000-0004-0000-0A00-000011000000}"/>
    <hyperlink ref="AB6" location="'0'!A1" tooltip="X stave 0, Front" display="'0'!A1" xr:uid="{00000000-0004-0000-0A00-000012000000}"/>
    <hyperlink ref="AB7:AB10" location="'0'!A1" tooltip="X stave 0, Front" display="'0'!A1" xr:uid="{00000000-0004-0000-0A00-000013000000}"/>
    <hyperlink ref="AB6:AB10" location="'6'!A1" display="'6'!A1" xr:uid="{00000000-0004-0000-0A00-000014000000}"/>
    <hyperlink ref="Z6" location="'0'!A1" tooltip="X stave 0, Front" display="'0'!A1" xr:uid="{00000000-0004-0000-0A00-000015000000}"/>
    <hyperlink ref="Z7:Z10" location="'0'!A1" tooltip="X stave 0, Front" display="'0'!A1" xr:uid="{00000000-0004-0000-0A00-000016000000}"/>
    <hyperlink ref="Z6:Z10" location="'7'!A1" display="'7'!A1" xr:uid="{00000000-0004-0000-0A00-000017000000}"/>
    <hyperlink ref="X6" location="'0'!A1" tooltip="X stave 0, Front" display="'0'!A1" xr:uid="{00000000-0004-0000-0A00-000018000000}"/>
    <hyperlink ref="X7:X10" location="'0'!A1" tooltip="X stave 0, Front" display="'0'!A1" xr:uid="{00000000-0004-0000-0A00-000019000000}"/>
    <hyperlink ref="X6:X10" location="'8'!A1" display="'8'!A1" xr:uid="{00000000-0004-0000-0A00-00001A000000}"/>
    <hyperlink ref="V6" location="'0'!A1" tooltip="X stave 0, Front" display="'0'!A1" xr:uid="{00000000-0004-0000-0A00-00001B000000}"/>
    <hyperlink ref="V7:V10" location="'0'!A1" tooltip="X stave 0, Front" display="'0'!A1" xr:uid="{00000000-0004-0000-0A00-00001C000000}"/>
    <hyperlink ref="V6:V10" location="'9'!A1" display="'9'!A1" xr:uid="{00000000-0004-0000-0A00-00001D000000}"/>
    <hyperlink ref="T6" location="'0'!A1" tooltip="X stave 0, Front" display="'0'!A1" xr:uid="{00000000-0004-0000-0A00-00001E000000}"/>
    <hyperlink ref="T7:T10" location="'0'!A1" tooltip="X stave 0, Front" display="'0'!A1" xr:uid="{00000000-0004-0000-0A00-00001F000000}"/>
    <hyperlink ref="T6:T10" location="'10'!A1" display="'10'!A1" xr:uid="{00000000-0004-0000-0A00-000020000000}"/>
    <hyperlink ref="R6" location="'0'!A1" tooltip="X stave 0, Front" display="'0'!A1" xr:uid="{00000000-0004-0000-0A00-000021000000}"/>
    <hyperlink ref="R7:R10" location="'0'!A1" tooltip="X stave 0, Front" display="'0'!A1" xr:uid="{00000000-0004-0000-0A00-000022000000}"/>
    <hyperlink ref="R6:R10" location="'11'!A1" display="'11'!A1" xr:uid="{00000000-0004-0000-0A00-000023000000}"/>
  </hyperlinks>
  <pageMargins left="0.75" right="0.75" top="1" bottom="1" header="0.5" footer="0.5"/>
  <pageSetup orientation="portrait" horizontalDpi="4294967292" verticalDpi="4294967292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B1:AR506"/>
  <sheetViews>
    <sheetView zoomScale="85" zoomScaleNormal="85" workbookViewId="0">
      <selection activeCell="V8" sqref="V8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474</v>
      </c>
      <c r="E2" s="511"/>
      <c r="F2" s="511"/>
      <c r="G2" s="512" t="s">
        <v>701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348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349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41">
        <v>0</v>
      </c>
      <c r="W6" s="166"/>
      <c r="X6" s="241">
        <v>0</v>
      </c>
      <c r="Y6" s="166"/>
      <c r="Z6" s="241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345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42">
        <v>0</v>
      </c>
      <c r="W7" s="166"/>
      <c r="X7" s="242">
        <v>0</v>
      </c>
      <c r="Y7" s="166"/>
      <c r="Z7" s="242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346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42">
        <v>0</v>
      </c>
      <c r="W8" s="166"/>
      <c r="X8" s="242">
        <v>0</v>
      </c>
      <c r="Y8" s="166"/>
      <c r="Z8" s="242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346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42">
        <v>0</v>
      </c>
      <c r="W9" s="166"/>
      <c r="X9" s="242">
        <v>0</v>
      </c>
      <c r="Y9" s="166"/>
      <c r="Z9" s="242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346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3">
        <v>0</v>
      </c>
      <c r="W10" s="166"/>
      <c r="X10" s="243">
        <v>0</v>
      </c>
      <c r="Y10" s="166"/>
      <c r="Z10" s="243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347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267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25"/>
      <c r="U17" s="19"/>
      <c r="V17" s="509"/>
      <c r="W17" s="19"/>
      <c r="X17" s="508"/>
      <c r="Y17" s="19"/>
      <c r="Z17" s="508"/>
      <c r="AA17" s="19"/>
      <c r="AB17" s="509"/>
      <c r="AC17" s="19"/>
      <c r="AD17" s="509"/>
      <c r="AE17" s="19"/>
      <c r="AF17" s="508"/>
      <c r="AG17" s="15"/>
      <c r="AH17" s="508"/>
      <c r="AI17" s="19"/>
      <c r="AJ17" s="508"/>
      <c r="AK17" s="19"/>
      <c r="AL17" s="508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6"/>
      <c r="Q18" s="19"/>
      <c r="R18" s="356"/>
      <c r="S18" s="19"/>
      <c r="T18" s="526"/>
      <c r="U18" s="19"/>
      <c r="V18" s="510"/>
      <c r="W18" s="19"/>
      <c r="X18" s="356"/>
      <c r="Y18" s="19"/>
      <c r="Z18" s="356"/>
      <c r="AA18" s="19"/>
      <c r="AB18" s="510"/>
      <c r="AC18" s="19"/>
      <c r="AD18" s="510"/>
      <c r="AE18" s="19"/>
      <c r="AF18" s="356"/>
      <c r="AG18" s="19"/>
      <c r="AH18" s="356"/>
      <c r="AI18" s="19"/>
      <c r="AJ18" s="356"/>
      <c r="AK18" s="19"/>
      <c r="AL18" s="356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7">
        <v>11</v>
      </c>
      <c r="Q19" s="357"/>
      <c r="R19" s="357">
        <v>10</v>
      </c>
      <c r="S19" s="357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980</v>
      </c>
      <c r="F61" s="5"/>
      <c r="G61" s="5" t="s">
        <v>981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1000</v>
      </c>
      <c r="F66" s="271"/>
      <c r="G66" s="270" t="s">
        <v>168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1000</v>
      </c>
      <c r="F67" s="271"/>
      <c r="G67" s="270" t="s">
        <v>169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997</v>
      </c>
      <c r="F68" s="271"/>
      <c r="G68" s="270" t="s">
        <v>35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997</v>
      </c>
      <c r="F69" s="271"/>
      <c r="G69" s="270" t="s">
        <v>36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997</v>
      </c>
      <c r="F70" s="271"/>
      <c r="G70" s="272" t="s">
        <v>961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997</v>
      </c>
      <c r="F71" s="271"/>
      <c r="G71" s="272" t="s">
        <v>962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996</v>
      </c>
      <c r="F72" s="13"/>
      <c r="G72" s="270" t="s">
        <v>157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996</v>
      </c>
      <c r="F73" s="13"/>
      <c r="G73" s="270" t="s">
        <v>158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996</v>
      </c>
      <c r="F74" s="13"/>
      <c r="G74" s="270" t="s">
        <v>35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996</v>
      </c>
      <c r="F75" s="13"/>
      <c r="G75" s="270" t="s">
        <v>36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996</v>
      </c>
      <c r="F76" s="184"/>
      <c r="G76" s="270" t="s">
        <v>211</v>
      </c>
      <c r="H76" s="339" t="s">
        <v>921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996</v>
      </c>
      <c r="F77" s="184"/>
      <c r="G77" s="270" t="s">
        <v>210</v>
      </c>
      <c r="H77" s="235" t="s">
        <v>921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996</v>
      </c>
      <c r="F78" s="13"/>
      <c r="G78" s="270" t="s">
        <v>221</v>
      </c>
      <c r="H78" s="235" t="s">
        <v>921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996</v>
      </c>
      <c r="F79" s="13"/>
      <c r="G79" s="270" t="s">
        <v>220</v>
      </c>
      <c r="H79" s="235" t="s">
        <v>921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996</v>
      </c>
      <c r="F80" s="13"/>
      <c r="G80" s="270" t="s">
        <v>147</v>
      </c>
      <c r="H80" s="235" t="s">
        <v>921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996</v>
      </c>
      <c r="F81" s="13"/>
      <c r="G81" s="270" t="s">
        <v>148</v>
      </c>
      <c r="H81" s="235" t="s">
        <v>921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996</v>
      </c>
      <c r="F82" s="13"/>
      <c r="G82" s="270" t="s">
        <v>155</v>
      </c>
      <c r="H82" s="235" t="s">
        <v>921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996</v>
      </c>
      <c r="F83" s="13"/>
      <c r="G83" s="270" t="s">
        <v>156</v>
      </c>
      <c r="H83" s="235" t="s">
        <v>921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996</v>
      </c>
      <c r="F84" s="13"/>
      <c r="G84" s="270" t="s">
        <v>229</v>
      </c>
      <c r="H84" s="235" t="s">
        <v>921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996</v>
      </c>
      <c r="F85" s="13"/>
      <c r="G85" s="270" t="s">
        <v>228</v>
      </c>
      <c r="H85" s="235" t="s">
        <v>921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996</v>
      </c>
      <c r="F86" s="13"/>
      <c r="G86" s="270" t="s">
        <v>223</v>
      </c>
      <c r="H86" s="235" t="s">
        <v>921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996</v>
      </c>
      <c r="F87" s="13"/>
      <c r="G87" s="270" t="s">
        <v>213</v>
      </c>
      <c r="H87" s="235" t="s">
        <v>921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996</v>
      </c>
      <c r="F88" s="184"/>
      <c r="G88" s="270" t="s">
        <v>202</v>
      </c>
      <c r="H88" s="235" t="s">
        <v>921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996</v>
      </c>
      <c r="F89" s="184"/>
      <c r="G89" s="270" t="s">
        <v>192</v>
      </c>
      <c r="H89" s="235" t="s">
        <v>921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996</v>
      </c>
      <c r="F90" s="13"/>
      <c r="G90" s="270" t="s">
        <v>212</v>
      </c>
      <c r="H90" s="235" t="s">
        <v>921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996</v>
      </c>
      <c r="F91" s="13"/>
      <c r="G91" s="270" t="s">
        <v>222</v>
      </c>
      <c r="H91" s="235" t="s">
        <v>921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996</v>
      </c>
      <c r="F92" s="185"/>
      <c r="G92" s="270" t="s">
        <v>133</v>
      </c>
      <c r="H92" s="235" t="s">
        <v>921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996</v>
      </c>
      <c r="F93" s="13"/>
      <c r="G93" s="270" t="s">
        <v>134</v>
      </c>
      <c r="H93" s="235" t="s">
        <v>921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996</v>
      </c>
      <c r="F94" s="13"/>
      <c r="G94" s="270" t="s">
        <v>141</v>
      </c>
      <c r="H94" s="235" t="s">
        <v>921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996</v>
      </c>
      <c r="F95" s="13"/>
      <c r="G95" s="270" t="s">
        <v>142</v>
      </c>
      <c r="H95" s="235" t="s">
        <v>921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996</v>
      </c>
      <c r="F96" s="184"/>
      <c r="G96" s="270" t="s">
        <v>149</v>
      </c>
      <c r="H96" s="235" t="s">
        <v>921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996</v>
      </c>
      <c r="F97" s="184"/>
      <c r="G97" s="270" t="s">
        <v>150</v>
      </c>
      <c r="H97" s="235" t="s">
        <v>921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996</v>
      </c>
      <c r="F98" s="13"/>
      <c r="G98" s="270" t="s">
        <v>131</v>
      </c>
      <c r="H98" s="235" t="s">
        <v>921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996</v>
      </c>
      <c r="F99" s="13"/>
      <c r="G99" s="270" t="s">
        <v>132</v>
      </c>
      <c r="H99" s="235" t="s">
        <v>921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997</v>
      </c>
      <c r="F100" s="274"/>
      <c r="G100" s="272" t="s">
        <v>16</v>
      </c>
      <c r="H100" s="340" t="s">
        <v>922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997</v>
      </c>
      <c r="F101" s="274"/>
      <c r="G101" s="272" t="s">
        <v>17</v>
      </c>
      <c r="H101" s="235" t="s">
        <v>922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997</v>
      </c>
      <c r="F102" s="274"/>
      <c r="G102" s="272" t="s">
        <v>18</v>
      </c>
      <c r="H102" s="235" t="s">
        <v>922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997</v>
      </c>
      <c r="F103" s="274"/>
      <c r="G103" s="272" t="s">
        <v>19</v>
      </c>
      <c r="H103" s="235" t="s">
        <v>922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997</v>
      </c>
      <c r="F104" s="271"/>
      <c r="G104" s="272" t="s">
        <v>310</v>
      </c>
      <c r="H104" s="235" t="s">
        <v>922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997</v>
      </c>
      <c r="F105" s="271"/>
      <c r="G105" s="272" t="s">
        <v>311</v>
      </c>
      <c r="H105" s="235" t="s">
        <v>922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997</v>
      </c>
      <c r="F106" s="271"/>
      <c r="G106" s="272" t="s">
        <v>317</v>
      </c>
      <c r="H106" s="235" t="s">
        <v>922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997</v>
      </c>
      <c r="F107" s="271"/>
      <c r="G107" s="272" t="s">
        <v>318</v>
      </c>
      <c r="H107" s="235" t="s">
        <v>922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997</v>
      </c>
      <c r="F108" s="271"/>
      <c r="G108" s="272" t="s">
        <v>4</v>
      </c>
      <c r="H108" s="235" t="s">
        <v>922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997</v>
      </c>
      <c r="F109" s="271"/>
      <c r="G109" s="272" t="s">
        <v>5</v>
      </c>
      <c r="H109" s="235" t="s">
        <v>922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997</v>
      </c>
      <c r="F110" s="271"/>
      <c r="G110" s="272" t="s">
        <v>329</v>
      </c>
      <c r="H110" s="235" t="s">
        <v>922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997</v>
      </c>
      <c r="F111" s="271"/>
      <c r="G111" s="272" t="s">
        <v>328</v>
      </c>
      <c r="H111" s="235" t="s">
        <v>922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997</v>
      </c>
      <c r="F112" s="271"/>
      <c r="G112" s="272" t="s">
        <v>331</v>
      </c>
      <c r="H112" s="235" t="s">
        <v>922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997</v>
      </c>
      <c r="F113" s="271"/>
      <c r="G113" s="272" t="s">
        <v>330</v>
      </c>
      <c r="H113" s="235" t="s">
        <v>922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997</v>
      </c>
      <c r="F114" s="274"/>
      <c r="G114" s="272" t="s">
        <v>335</v>
      </c>
      <c r="H114" s="235" t="s">
        <v>922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997</v>
      </c>
      <c r="F115" s="274"/>
      <c r="G115" s="272" t="s">
        <v>334</v>
      </c>
      <c r="H115" s="235" t="s">
        <v>922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997</v>
      </c>
      <c r="F116" s="274"/>
      <c r="G116" s="272" t="s">
        <v>303</v>
      </c>
      <c r="H116" s="235" t="s">
        <v>922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997</v>
      </c>
      <c r="F117" s="274"/>
      <c r="G117" s="272" t="s">
        <v>294</v>
      </c>
      <c r="H117" s="235" t="s">
        <v>922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997</v>
      </c>
      <c r="F118" s="271"/>
      <c r="G118" s="272" t="s">
        <v>304</v>
      </c>
      <c r="H118" s="235" t="s">
        <v>922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997</v>
      </c>
      <c r="F119" s="271"/>
      <c r="G119" s="272" t="s">
        <v>295</v>
      </c>
      <c r="H119" s="235" t="s">
        <v>922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997</v>
      </c>
      <c r="F120" s="271"/>
      <c r="G120" s="272" t="s">
        <v>313</v>
      </c>
      <c r="H120" s="235" t="s">
        <v>922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997</v>
      </c>
      <c r="F121" s="271"/>
      <c r="G121" s="272" t="s">
        <v>320</v>
      </c>
      <c r="H121" s="235" t="s">
        <v>922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997</v>
      </c>
      <c r="F122" s="271"/>
      <c r="G122" s="272" t="s">
        <v>301</v>
      </c>
      <c r="H122" s="235" t="s">
        <v>922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997</v>
      </c>
      <c r="F123" s="271"/>
      <c r="G123" s="272" t="s">
        <v>302</v>
      </c>
      <c r="H123" s="235" t="s">
        <v>922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997</v>
      </c>
      <c r="F124" s="184"/>
      <c r="G124" s="270" t="s">
        <v>93</v>
      </c>
      <c r="H124" s="340" t="s">
        <v>923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997</v>
      </c>
      <c r="F125" s="184"/>
      <c r="G125" s="270" t="s">
        <v>103</v>
      </c>
      <c r="H125" s="235" t="s">
        <v>923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997</v>
      </c>
      <c r="F126" s="184"/>
      <c r="G126" s="270" t="s">
        <v>95</v>
      </c>
      <c r="H126" s="235" t="s">
        <v>923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997</v>
      </c>
      <c r="F127" s="184"/>
      <c r="G127" s="270" t="s">
        <v>94</v>
      </c>
      <c r="H127" s="235" t="s">
        <v>923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997</v>
      </c>
      <c r="F128" s="13"/>
      <c r="G128" s="270" t="s">
        <v>32</v>
      </c>
      <c r="H128" s="235" t="s">
        <v>923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997</v>
      </c>
      <c r="F129" s="13"/>
      <c r="G129" s="270" t="s">
        <v>24</v>
      </c>
      <c r="H129" s="235" t="s">
        <v>923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997</v>
      </c>
      <c r="F130" s="13"/>
      <c r="G130" s="270" t="s">
        <v>52</v>
      </c>
      <c r="H130" s="235" t="s">
        <v>923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997</v>
      </c>
      <c r="F131" s="13"/>
      <c r="G131" s="270" t="s">
        <v>42</v>
      </c>
      <c r="H131" s="235" t="s">
        <v>923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997</v>
      </c>
      <c r="F132" s="13"/>
      <c r="G132" s="270" t="s">
        <v>105</v>
      </c>
      <c r="H132" s="235" t="s">
        <v>923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997</v>
      </c>
      <c r="F133" s="13"/>
      <c r="G133" s="270" t="s">
        <v>104</v>
      </c>
      <c r="H133" s="235" t="s">
        <v>923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997</v>
      </c>
      <c r="F134" s="13"/>
      <c r="G134" s="270" t="s">
        <v>87</v>
      </c>
      <c r="H134" s="235" t="s">
        <v>923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997</v>
      </c>
      <c r="F135" s="13"/>
      <c r="G135" s="270" t="s">
        <v>86</v>
      </c>
      <c r="H135" s="235" t="s">
        <v>923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997</v>
      </c>
      <c r="F136" s="13"/>
      <c r="G136" s="270" t="s">
        <v>115</v>
      </c>
      <c r="H136" s="235" t="s">
        <v>923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997</v>
      </c>
      <c r="F137" s="13"/>
      <c r="G137" s="270" t="s">
        <v>114</v>
      </c>
      <c r="H137" s="235" t="s">
        <v>923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997</v>
      </c>
      <c r="F138" s="184"/>
      <c r="G138" s="270" t="s">
        <v>125</v>
      </c>
      <c r="H138" s="235" t="s">
        <v>923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997</v>
      </c>
      <c r="F139" s="184"/>
      <c r="G139" s="270" t="s">
        <v>124</v>
      </c>
      <c r="H139" s="235" t="s">
        <v>923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997</v>
      </c>
      <c r="F140" s="184"/>
      <c r="G140" s="270" t="s">
        <v>25</v>
      </c>
      <c r="H140" s="235" t="s">
        <v>923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997</v>
      </c>
      <c r="F141" s="184"/>
      <c r="G141" s="270" t="s">
        <v>26</v>
      </c>
      <c r="H141" s="235" t="s">
        <v>923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997</v>
      </c>
      <c r="F142" s="13"/>
      <c r="G142" s="270" t="s">
        <v>33</v>
      </c>
      <c r="H142" s="235" t="s">
        <v>923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997</v>
      </c>
      <c r="F143" s="13"/>
      <c r="G143" s="270" t="s">
        <v>34</v>
      </c>
      <c r="H143" s="235" t="s">
        <v>923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997</v>
      </c>
      <c r="F144" s="13"/>
      <c r="G144" s="270" t="s">
        <v>27</v>
      </c>
      <c r="H144" s="235" t="s">
        <v>923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997</v>
      </c>
      <c r="F145" s="13"/>
      <c r="G145" s="270" t="s">
        <v>28</v>
      </c>
      <c r="H145" s="235" t="s">
        <v>923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997</v>
      </c>
      <c r="F146" s="13"/>
      <c r="G146" s="270" t="s">
        <v>43</v>
      </c>
      <c r="H146" s="235" t="s">
        <v>923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997</v>
      </c>
      <c r="F147" s="13"/>
      <c r="G147" s="270" t="s">
        <v>44</v>
      </c>
      <c r="H147" s="235" t="s">
        <v>923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924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924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235" t="s">
        <v>924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235" t="s">
        <v>924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1000</v>
      </c>
      <c r="F152" s="271"/>
      <c r="G152" s="270" t="s">
        <v>121</v>
      </c>
      <c r="H152" s="235" t="s">
        <v>924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1000</v>
      </c>
      <c r="F153" s="271"/>
      <c r="G153" s="270" t="s">
        <v>120</v>
      </c>
      <c r="H153" s="235" t="s">
        <v>924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1000</v>
      </c>
      <c r="F154" s="271"/>
      <c r="G154" s="270" t="s">
        <v>108</v>
      </c>
      <c r="H154" s="235" t="s">
        <v>924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1000</v>
      </c>
      <c r="F155" s="271"/>
      <c r="G155" s="270" t="s">
        <v>109</v>
      </c>
      <c r="H155" s="235" t="s">
        <v>924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/>
      <c r="F156" s="271"/>
      <c r="G156" s="271"/>
      <c r="H156" s="235" t="s">
        <v>924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/>
      <c r="F157" s="271"/>
      <c r="G157" s="271"/>
      <c r="H157" s="235" t="s">
        <v>924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1000</v>
      </c>
      <c r="F158" s="271"/>
      <c r="G158" s="276" t="s">
        <v>100</v>
      </c>
      <c r="H158" s="235" t="s">
        <v>924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1000</v>
      </c>
      <c r="F159" s="271"/>
      <c r="G159" s="276" t="s">
        <v>101</v>
      </c>
      <c r="H159" s="235" t="s">
        <v>924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1000</v>
      </c>
      <c r="F160" s="274"/>
      <c r="G160" s="270" t="s">
        <v>137</v>
      </c>
      <c r="H160" s="235" t="s">
        <v>924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1000</v>
      </c>
      <c r="F161" s="274"/>
      <c r="G161" s="270" t="s">
        <v>136</v>
      </c>
      <c r="H161" s="235" t="s">
        <v>924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1000</v>
      </c>
      <c r="F162" s="274"/>
      <c r="G162" s="270" t="s">
        <v>118</v>
      </c>
      <c r="H162" s="235" t="s">
        <v>924</v>
      </c>
      <c r="I162" s="13"/>
      <c r="J162" s="13"/>
      <c r="K162" s="16"/>
    </row>
    <row r="163" spans="2:11" ht="16.2" thickBot="1">
      <c r="B163" s="26">
        <v>158</v>
      </c>
      <c r="C163" s="228" t="s">
        <v>140</v>
      </c>
      <c r="D163" s="230" t="s">
        <v>542</v>
      </c>
      <c r="E163" s="271" t="s">
        <v>1000</v>
      </c>
      <c r="F163" s="274"/>
      <c r="G163" s="270" t="s">
        <v>119</v>
      </c>
      <c r="H163" s="235" t="s">
        <v>924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1000</v>
      </c>
      <c r="F164" s="274"/>
      <c r="G164" s="337" t="s">
        <v>110</v>
      </c>
      <c r="H164" s="235" t="s">
        <v>924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1000</v>
      </c>
      <c r="F165" s="274"/>
      <c r="G165" s="270" t="s">
        <v>111</v>
      </c>
      <c r="H165" s="235" t="s">
        <v>924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/>
      <c r="F166" s="274"/>
      <c r="G166" s="338"/>
      <c r="H166" s="235" t="s">
        <v>924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/>
      <c r="F167" s="274"/>
      <c r="G167" s="338"/>
      <c r="H167" s="235" t="s">
        <v>924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1000</v>
      </c>
      <c r="F168" s="271"/>
      <c r="G168" s="276" t="s">
        <v>88</v>
      </c>
      <c r="H168" s="235" t="s">
        <v>924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1000</v>
      </c>
      <c r="F169" s="271"/>
      <c r="G169" s="276" t="s">
        <v>98</v>
      </c>
      <c r="H169" s="235" t="s">
        <v>924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1000</v>
      </c>
      <c r="F170" s="271"/>
      <c r="G170" s="270" t="s">
        <v>128</v>
      </c>
      <c r="H170" s="235" t="s">
        <v>924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1000</v>
      </c>
      <c r="F171" s="271"/>
      <c r="G171" s="270" t="s">
        <v>129</v>
      </c>
      <c r="H171" s="235" t="s">
        <v>924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925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925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925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925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1000</v>
      </c>
      <c r="F176" s="13"/>
      <c r="G176" s="270" t="s">
        <v>188</v>
      </c>
      <c r="H176" s="235" t="s">
        <v>925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1000</v>
      </c>
      <c r="F177" s="13"/>
      <c r="G177" s="270" t="s">
        <v>189</v>
      </c>
      <c r="H177" s="235" t="s">
        <v>925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1000</v>
      </c>
      <c r="F178" s="13"/>
      <c r="G178" s="270" t="s">
        <v>178</v>
      </c>
      <c r="H178" s="235" t="s">
        <v>925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1000</v>
      </c>
      <c r="F179" s="13"/>
      <c r="G179" s="270" t="s">
        <v>179</v>
      </c>
      <c r="H179" s="235" t="s">
        <v>925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/>
      <c r="F180" s="13"/>
      <c r="G180" s="271"/>
      <c r="H180" s="235" t="s">
        <v>925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/>
      <c r="F181" s="13"/>
      <c r="G181" s="271"/>
      <c r="H181" s="235" t="s">
        <v>925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1000</v>
      </c>
      <c r="F182" s="13"/>
      <c r="G182" s="276" t="s">
        <v>206</v>
      </c>
      <c r="H182" s="235" t="s">
        <v>925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1000</v>
      </c>
      <c r="F183" s="13"/>
      <c r="G183" s="276" t="s">
        <v>207</v>
      </c>
      <c r="H183" s="235" t="s">
        <v>925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1000</v>
      </c>
      <c r="F184" s="184"/>
      <c r="G184" s="270" t="s">
        <v>196</v>
      </c>
      <c r="H184" s="235" t="s">
        <v>925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1000</v>
      </c>
      <c r="F185" s="184"/>
      <c r="G185" s="270" t="s">
        <v>197</v>
      </c>
      <c r="H185" s="235" t="s">
        <v>925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1000</v>
      </c>
      <c r="F186" s="13"/>
      <c r="G186" s="270" t="s">
        <v>186</v>
      </c>
      <c r="H186" s="235" t="s">
        <v>925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1000</v>
      </c>
      <c r="F187" s="13"/>
      <c r="G187" s="270" t="s">
        <v>187</v>
      </c>
      <c r="H187" s="235" t="s">
        <v>925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1000</v>
      </c>
      <c r="F188" s="13"/>
      <c r="G188" s="270" t="s">
        <v>176</v>
      </c>
      <c r="H188" s="235" t="s">
        <v>925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1000</v>
      </c>
      <c r="F189" s="13"/>
      <c r="G189" s="270" t="s">
        <v>177</v>
      </c>
      <c r="H189" s="235" t="s">
        <v>925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/>
      <c r="F190" s="13"/>
      <c r="G190" s="271"/>
      <c r="H190" s="235" t="s">
        <v>925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/>
      <c r="F191" s="13"/>
      <c r="G191" s="271"/>
      <c r="H191" s="235" t="s">
        <v>925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1000</v>
      </c>
      <c r="F192" s="184"/>
      <c r="G192" s="276" t="s">
        <v>208</v>
      </c>
      <c r="H192" s="235" t="s">
        <v>925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1000</v>
      </c>
      <c r="F193" s="184"/>
      <c r="G193" s="276" t="s">
        <v>209</v>
      </c>
      <c r="H193" s="235" t="s">
        <v>925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1000</v>
      </c>
      <c r="F194" s="13"/>
      <c r="G194" s="270" t="s">
        <v>198</v>
      </c>
      <c r="H194" s="235" t="s">
        <v>925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1000</v>
      </c>
      <c r="F195" s="13"/>
      <c r="G195" s="270" t="s">
        <v>199</v>
      </c>
      <c r="H195" s="235" t="s">
        <v>925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996</v>
      </c>
      <c r="F196" s="184"/>
      <c r="G196" s="270" t="s">
        <v>93</v>
      </c>
      <c r="H196" s="339" t="s">
        <v>926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996</v>
      </c>
      <c r="F197" s="184"/>
      <c r="G197" s="270" t="s">
        <v>103</v>
      </c>
      <c r="H197" s="235" t="s">
        <v>926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996</v>
      </c>
      <c r="F198" s="13"/>
      <c r="G198" s="270" t="s">
        <v>95</v>
      </c>
      <c r="H198" s="235" t="s">
        <v>926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996</v>
      </c>
      <c r="F199" s="13"/>
      <c r="G199" s="270" t="s">
        <v>94</v>
      </c>
      <c r="H199" s="235" t="s">
        <v>926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996</v>
      </c>
      <c r="F200" s="13"/>
      <c r="G200" s="270" t="s">
        <v>32</v>
      </c>
      <c r="H200" s="235" t="s">
        <v>926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996</v>
      </c>
      <c r="F201" s="13"/>
      <c r="G201" s="270" t="s">
        <v>24</v>
      </c>
      <c r="H201" s="235" t="s">
        <v>926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996</v>
      </c>
      <c r="F202" s="13"/>
      <c r="G202" s="270" t="s">
        <v>52</v>
      </c>
      <c r="H202" s="235" t="s">
        <v>926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996</v>
      </c>
      <c r="F203" s="13"/>
      <c r="G203" s="270" t="s">
        <v>42</v>
      </c>
      <c r="H203" s="235" t="s">
        <v>926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996</v>
      </c>
      <c r="F204" s="13"/>
      <c r="G204" s="270" t="s">
        <v>105</v>
      </c>
      <c r="H204" s="235" t="s">
        <v>926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996</v>
      </c>
      <c r="F205" s="13"/>
      <c r="G205" s="270" t="s">
        <v>104</v>
      </c>
      <c r="H205" s="235" t="s">
        <v>926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996</v>
      </c>
      <c r="F206" s="13"/>
      <c r="G206" s="270" t="s">
        <v>87</v>
      </c>
      <c r="H206" s="235" t="s">
        <v>926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996</v>
      </c>
      <c r="F207" s="13"/>
      <c r="G207" s="270" t="s">
        <v>86</v>
      </c>
      <c r="H207" s="235" t="s">
        <v>926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996</v>
      </c>
      <c r="F208" s="184"/>
      <c r="G208" s="270" t="s">
        <v>115</v>
      </c>
      <c r="H208" s="235" t="s">
        <v>926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996</v>
      </c>
      <c r="F209" s="184"/>
      <c r="G209" s="270" t="s">
        <v>114</v>
      </c>
      <c r="H209" s="235" t="s">
        <v>926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996</v>
      </c>
      <c r="F210" s="184"/>
      <c r="G210" s="270" t="s">
        <v>125</v>
      </c>
      <c r="H210" s="235" t="s">
        <v>926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996</v>
      </c>
      <c r="F211" s="184"/>
      <c r="G211" s="270" t="s">
        <v>124</v>
      </c>
      <c r="H211" s="235" t="s">
        <v>926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996</v>
      </c>
      <c r="F212" s="184"/>
      <c r="G212" s="270" t="s">
        <v>25</v>
      </c>
      <c r="H212" s="235" t="s">
        <v>926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996</v>
      </c>
      <c r="F213" s="184"/>
      <c r="G213" s="270" t="s">
        <v>26</v>
      </c>
      <c r="H213" s="235" t="s">
        <v>926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996</v>
      </c>
      <c r="F214" s="184"/>
      <c r="G214" s="270" t="s">
        <v>33</v>
      </c>
      <c r="H214" s="235" t="s">
        <v>926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996</v>
      </c>
      <c r="F215" s="184"/>
      <c r="G215" s="270" t="s">
        <v>34</v>
      </c>
      <c r="H215" s="235" t="s">
        <v>926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996</v>
      </c>
      <c r="F216" s="13"/>
      <c r="G216" s="270" t="s">
        <v>27</v>
      </c>
      <c r="H216" s="235" t="s">
        <v>926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996</v>
      </c>
      <c r="F217" s="13"/>
      <c r="G217" s="270" t="s">
        <v>28</v>
      </c>
      <c r="H217" s="235" t="s">
        <v>926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996</v>
      </c>
      <c r="F218" s="13"/>
      <c r="G218" s="270" t="s">
        <v>43</v>
      </c>
      <c r="H218" s="235" t="s">
        <v>926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996</v>
      </c>
      <c r="F219" s="13"/>
      <c r="G219" s="270" t="s">
        <v>44</v>
      </c>
      <c r="H219" s="235" t="s">
        <v>926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1000</v>
      </c>
      <c r="F221" s="271"/>
      <c r="G221" s="270" t="s">
        <v>948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997</v>
      </c>
      <c r="F222" s="275"/>
      <c r="G222" s="270" t="s">
        <v>45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997</v>
      </c>
      <c r="F223" s="275"/>
      <c r="G223" s="272" t="s">
        <v>958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996</v>
      </c>
      <c r="F224" s="271"/>
      <c r="G224" s="293" t="s">
        <v>140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996</v>
      </c>
      <c r="F225" s="271"/>
      <c r="G225" s="293" t="s">
        <v>45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1" t="s">
        <v>1000</v>
      </c>
      <c r="F230" s="5"/>
      <c r="G230" s="270" t="s">
        <v>949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271" t="s">
        <v>997</v>
      </c>
      <c r="F231" s="5"/>
      <c r="G231" s="270" t="s">
        <v>74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997</v>
      </c>
      <c r="F232" s="5"/>
      <c r="G232" s="272" t="s">
        <v>960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271" t="s">
        <v>996</v>
      </c>
      <c r="F233" s="13"/>
      <c r="G233" s="270" t="s">
        <v>172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996</v>
      </c>
      <c r="F234" s="271"/>
      <c r="G234" s="270" t="s">
        <v>74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1" t="s">
        <v>1000</v>
      </c>
      <c r="F236" s="5"/>
      <c r="G236" s="270" t="s">
        <v>160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271" t="s">
        <v>997</v>
      </c>
      <c r="F237" s="5"/>
      <c r="G237" s="270" t="s">
        <v>72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997</v>
      </c>
      <c r="F238" s="5"/>
      <c r="G238" s="272" t="s">
        <v>959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271" t="s">
        <v>996</v>
      </c>
      <c r="F239" s="5"/>
      <c r="G239" s="270" t="s">
        <v>173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996</v>
      </c>
      <c r="F240" s="271"/>
      <c r="G240" s="270" t="s">
        <v>72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1000</v>
      </c>
      <c r="F242" s="275"/>
      <c r="G242" s="270" t="s">
        <v>947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997</v>
      </c>
      <c r="F243" s="13"/>
      <c r="G243" s="270" t="s">
        <v>113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997</v>
      </c>
      <c r="F244" s="13"/>
      <c r="G244" s="272" t="s">
        <v>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996</v>
      </c>
      <c r="F245" s="13"/>
      <c r="G245" s="271" t="s">
        <v>200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996</v>
      </c>
      <c r="F246" s="13"/>
      <c r="G246" s="271" t="s">
        <v>113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968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968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968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968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968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968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970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970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970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970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970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970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1000</v>
      </c>
      <c r="F396" s="13"/>
      <c r="G396" s="282" t="s">
        <v>945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1000</v>
      </c>
      <c r="F397" s="13"/>
      <c r="G397" s="282" t="s">
        <v>946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997</v>
      </c>
      <c r="F398" s="13"/>
      <c r="G398" s="233" t="s">
        <v>85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997</v>
      </c>
      <c r="F399" s="5"/>
      <c r="G399" s="5" t="s">
        <v>84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997</v>
      </c>
      <c r="F400" s="5"/>
      <c r="G400" s="344" t="s">
        <v>956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997</v>
      </c>
      <c r="F401" s="5"/>
      <c r="G401" s="344" t="s">
        <v>957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996</v>
      </c>
      <c r="F402" s="13"/>
      <c r="G402" s="293" t="s">
        <v>203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996</v>
      </c>
      <c r="F403" s="13"/>
      <c r="G403" s="293" t="s">
        <v>193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996</v>
      </c>
      <c r="F404" s="263"/>
      <c r="G404" s="282" t="s">
        <v>85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71" t="s">
        <v>996</v>
      </c>
      <c r="F405" s="297"/>
      <c r="G405" s="298" t="s">
        <v>84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G394:G395">
    <cfRule type="expression" dxfId="1419" priority="358">
      <formula>MOD(ROW(),2)=0</formula>
    </cfRule>
  </conditionalFormatting>
  <conditionalFormatting sqref="G396:G397">
    <cfRule type="expression" dxfId="1418" priority="357">
      <formula>MOD(ROW(),2)=0</formula>
    </cfRule>
  </conditionalFormatting>
  <conditionalFormatting sqref="G398:G399">
    <cfRule type="expression" dxfId="1417" priority="356">
      <formula>MOD(ROW(),2)=0</formula>
    </cfRule>
  </conditionalFormatting>
  <conditionalFormatting sqref="C401:C405">
    <cfRule type="expression" dxfId="1416" priority="354">
      <formula>MOD(ROW(),2)=0</formula>
    </cfRule>
  </conditionalFormatting>
  <conditionalFormatting sqref="C6:C400">
    <cfRule type="expression" dxfId="1415" priority="353">
      <formula>MOD(ROW(),2)=0</formula>
    </cfRule>
  </conditionalFormatting>
  <conditionalFormatting sqref="G60:G61">
    <cfRule type="expression" dxfId="1414" priority="352">
      <formula>MOD(ROW(),2)=0</formula>
    </cfRule>
  </conditionalFormatting>
  <conditionalFormatting sqref="G62:G63">
    <cfRule type="expression" dxfId="1413" priority="351">
      <formula>MOD(ROW(),2)=0</formula>
    </cfRule>
  </conditionalFormatting>
  <conditionalFormatting sqref="G64:G65">
    <cfRule type="expression" dxfId="1412" priority="350">
      <formula>MOD(ROW(),2)=0</formula>
    </cfRule>
  </conditionalFormatting>
  <conditionalFormatting sqref="E64:E65">
    <cfRule type="expression" dxfId="1411" priority="349">
      <formula>MOD(ROW(),2)=0</formula>
    </cfRule>
  </conditionalFormatting>
  <conditionalFormatting sqref="E66:E67">
    <cfRule type="expression" dxfId="1410" priority="347">
      <formula>MOD(ROW(),2)=0</formula>
    </cfRule>
  </conditionalFormatting>
  <conditionalFormatting sqref="F72:F76">
    <cfRule type="expression" dxfId="1409" priority="343">
      <formula>MOD(ROW(),2)=0</formula>
    </cfRule>
  </conditionalFormatting>
  <conditionalFormatting sqref="F77:F83">
    <cfRule type="expression" dxfId="1408" priority="342">
      <formula>MOD(ROW(),2)=0</formula>
    </cfRule>
  </conditionalFormatting>
  <conditionalFormatting sqref="G255">
    <cfRule type="expression" dxfId="1407" priority="328">
      <formula>MOD(ROW(),2)=0</formula>
    </cfRule>
  </conditionalFormatting>
  <conditionalFormatting sqref="E255">
    <cfRule type="expression" dxfId="1406" priority="327">
      <formula>MOD(ROW(),2)=0</formula>
    </cfRule>
  </conditionalFormatting>
  <conditionalFormatting sqref="G272">
    <cfRule type="expression" dxfId="1405" priority="298">
      <formula>MOD(ROW(),2)=0</formula>
    </cfRule>
  </conditionalFormatting>
  <conditionalFormatting sqref="G260">
    <cfRule type="expression" dxfId="1404" priority="295">
      <formula>MOD(ROW(),2)=0</formula>
    </cfRule>
  </conditionalFormatting>
  <conditionalFormatting sqref="G274">
    <cfRule type="expression" dxfId="1403" priority="294">
      <formula>MOD(ROW(),2)=0</formula>
    </cfRule>
  </conditionalFormatting>
  <conditionalFormatting sqref="F243">
    <cfRule type="expression" dxfId="1400" priority="289">
      <formula>MOD(ROW(),2)=0</formula>
    </cfRule>
  </conditionalFormatting>
  <conditionalFormatting sqref="F245">
    <cfRule type="expression" dxfId="1399" priority="286">
      <formula>MOD(ROW(),2)=0</formula>
    </cfRule>
  </conditionalFormatting>
  <conditionalFormatting sqref="F247">
    <cfRule type="expression" dxfId="1398" priority="280">
      <formula>MOD(ROW(),2)=0</formula>
    </cfRule>
  </conditionalFormatting>
  <conditionalFormatting sqref="F248">
    <cfRule type="expression" dxfId="1397" priority="278">
      <formula>MOD(ROW(),2)=0</formula>
    </cfRule>
  </conditionalFormatting>
  <conditionalFormatting sqref="G241">
    <cfRule type="expression" dxfId="1395" priority="270">
      <formula>MOD(ROW(),2)=0</formula>
    </cfRule>
  </conditionalFormatting>
  <conditionalFormatting sqref="E241">
    <cfRule type="expression" dxfId="1394" priority="269">
      <formula>MOD(ROW(),2)=0</formula>
    </cfRule>
  </conditionalFormatting>
  <conditionalFormatting sqref="E56">
    <cfRule type="expression" dxfId="1393" priority="268">
      <formula>MOD(ROW(),2)=0</formula>
    </cfRule>
  </conditionalFormatting>
  <conditionalFormatting sqref="G283">
    <cfRule type="expression" dxfId="1392" priority="266">
      <formula>MOD(ROW(),2)=0</formula>
    </cfRule>
  </conditionalFormatting>
  <conditionalFormatting sqref="E283">
    <cfRule type="expression" dxfId="1391" priority="265">
      <formula>MOD(ROW(),2)=0</formula>
    </cfRule>
  </conditionalFormatting>
  <conditionalFormatting sqref="E288">
    <cfRule type="expression" dxfId="1390" priority="264">
      <formula>MOD(ROW(),2)=0</formula>
    </cfRule>
  </conditionalFormatting>
  <conditionalFormatting sqref="G289">
    <cfRule type="expression" dxfId="1389" priority="263">
      <formula>MOD(ROW(),2)=0</formula>
    </cfRule>
  </conditionalFormatting>
  <conditionalFormatting sqref="G290">
    <cfRule type="expression" dxfId="1388" priority="262">
      <formula>MOD(ROW(),2)=0</formula>
    </cfRule>
  </conditionalFormatting>
  <conditionalFormatting sqref="E289">
    <cfRule type="expression" dxfId="1387" priority="261">
      <formula>MOD(ROW(),2)=0</formula>
    </cfRule>
  </conditionalFormatting>
  <conditionalFormatting sqref="E290">
    <cfRule type="expression" dxfId="1386" priority="260">
      <formula>MOD(ROW(),2)=0</formula>
    </cfRule>
  </conditionalFormatting>
  <conditionalFormatting sqref="G180">
    <cfRule type="expression" dxfId="1385" priority="253">
      <formula>MOD(ROW(),2)=0</formula>
    </cfRule>
  </conditionalFormatting>
  <conditionalFormatting sqref="G181">
    <cfRule type="expression" dxfId="1384" priority="252">
      <formula>MOD(ROW(),2)=0</formula>
    </cfRule>
  </conditionalFormatting>
  <conditionalFormatting sqref="G224:H226 H223">
    <cfRule type="expression" dxfId="1383" priority="250">
      <formula>MOD(ROW(),2)=0</formula>
    </cfRule>
  </conditionalFormatting>
  <conditionalFormatting sqref="G227:G228">
    <cfRule type="expression" dxfId="1382" priority="248">
      <formula>MOD(ROW(),2)=0</formula>
    </cfRule>
  </conditionalFormatting>
  <conditionalFormatting sqref="F284">
    <cfRule type="expression" dxfId="1381" priority="244">
      <formula>MOD(ROW(),2)=0</formula>
    </cfRule>
  </conditionalFormatting>
  <conditionalFormatting sqref="E284">
    <cfRule type="expression" dxfId="1380" priority="242">
      <formula>MOD(ROW(),2)=0</formula>
    </cfRule>
  </conditionalFormatting>
  <conditionalFormatting sqref="G289">
    <cfRule type="expression" dxfId="1379" priority="241">
      <formula>MOD(ROW(),2)=0</formula>
    </cfRule>
  </conditionalFormatting>
  <conditionalFormatting sqref="G287">
    <cfRule type="expression" dxfId="1378" priority="239">
      <formula>MOD(ROW(),2)=0</formula>
    </cfRule>
  </conditionalFormatting>
  <conditionalFormatting sqref="G288">
    <cfRule type="expression" dxfId="1377" priority="237">
      <formula>MOD(ROW(),2)=0</formula>
    </cfRule>
  </conditionalFormatting>
  <conditionalFormatting sqref="G291">
    <cfRule type="expression" dxfId="1376" priority="235">
      <formula>MOD(ROW(),2)=0</formula>
    </cfRule>
  </conditionalFormatting>
  <conditionalFormatting sqref="G292">
    <cfRule type="expression" dxfId="1375" priority="234">
      <formula>MOD(ROW(),2)=0</formula>
    </cfRule>
  </conditionalFormatting>
  <conditionalFormatting sqref="E286">
    <cfRule type="expression" dxfId="1374" priority="229">
      <formula>MOD(ROW(),2)=0</formula>
    </cfRule>
  </conditionalFormatting>
  <conditionalFormatting sqref="F243">
    <cfRule type="expression" dxfId="1373" priority="226">
      <formula>MOD(ROW(),2)=0</formula>
    </cfRule>
  </conditionalFormatting>
  <conditionalFormatting sqref="F244">
    <cfRule type="expression" dxfId="1372" priority="223">
      <formula>MOD(ROW(),2)=0</formula>
    </cfRule>
  </conditionalFormatting>
  <conditionalFormatting sqref="F245">
    <cfRule type="expression" dxfId="1371" priority="220">
      <formula>MOD(ROW(),2)=0</formula>
    </cfRule>
  </conditionalFormatting>
  <conditionalFormatting sqref="F246">
    <cfRule type="expression" dxfId="1370" priority="218">
      <formula>MOD(ROW(),2)=0</formula>
    </cfRule>
  </conditionalFormatting>
  <conditionalFormatting sqref="F247">
    <cfRule type="expression" dxfId="1369" priority="216">
      <formula>MOD(ROW(),2)=0</formula>
    </cfRule>
  </conditionalFormatting>
  <conditionalFormatting sqref="F248">
    <cfRule type="expression" dxfId="1368" priority="215">
      <formula>MOD(ROW(),2)=0</formula>
    </cfRule>
  </conditionalFormatting>
  <conditionalFormatting sqref="G246">
    <cfRule type="expression" dxfId="1367" priority="212">
      <formula>MOD(ROW(),2)=0</formula>
    </cfRule>
  </conditionalFormatting>
  <conditionalFormatting sqref="E247">
    <cfRule type="expression" dxfId="1366" priority="209">
      <formula>MOD(ROW(),2)=0</formula>
    </cfRule>
  </conditionalFormatting>
  <conditionalFormatting sqref="F249">
    <cfRule type="expression" dxfId="1365" priority="208">
      <formula>MOD(ROW(),2)=0</formula>
    </cfRule>
  </conditionalFormatting>
  <conditionalFormatting sqref="E249">
    <cfRule type="expression" dxfId="1364" priority="207">
      <formula>MOD(ROW(),2)=0</formula>
    </cfRule>
  </conditionalFormatting>
  <conditionalFormatting sqref="F250">
    <cfRule type="expression" dxfId="1363" priority="206">
      <formula>MOD(ROW(),2)=0</formula>
    </cfRule>
  </conditionalFormatting>
  <conditionalFormatting sqref="E250">
    <cfRule type="expression" dxfId="1362" priority="205">
      <formula>MOD(ROW(),2)=0</formula>
    </cfRule>
  </conditionalFormatting>
  <conditionalFormatting sqref="K244:K246 K255:K282 K285:K294 K60:K87 K91:K234 K6:K55 K236:K242 K57 K301:K387 K394:K405">
    <cfRule type="expression" dxfId="1359" priority="194">
      <formula>MOD(ROW(),2)=0</formula>
    </cfRule>
  </conditionalFormatting>
  <conditionalFormatting sqref="K58">
    <cfRule type="expression" dxfId="1358" priority="192">
      <formula>MOD(ROW(),2)=0</formula>
    </cfRule>
  </conditionalFormatting>
  <conditionalFormatting sqref="K253">
    <cfRule type="expression" dxfId="1357" priority="191">
      <formula>MOD(ROW(),2)=0</formula>
    </cfRule>
  </conditionalFormatting>
  <conditionalFormatting sqref="K59">
    <cfRule type="expression" dxfId="1356" priority="190">
      <formula>MOD(ROW(),2)=0</formula>
    </cfRule>
  </conditionalFormatting>
  <conditionalFormatting sqref="K254">
    <cfRule type="expression" dxfId="1355" priority="188">
      <formula>MOD(ROW(),2)=0</formula>
    </cfRule>
  </conditionalFormatting>
  <conditionalFormatting sqref="K235">
    <cfRule type="expression" dxfId="1354" priority="187">
      <formula>MOD(ROW(),2)=0</formula>
    </cfRule>
  </conditionalFormatting>
  <conditionalFormatting sqref="K89">
    <cfRule type="expression" dxfId="1353" priority="186">
      <formula>MOD(ROW(),2)=0</formula>
    </cfRule>
  </conditionalFormatting>
  <conditionalFormatting sqref="K243">
    <cfRule type="expression" dxfId="1352" priority="185">
      <formula>MOD(ROW(),2)=0</formula>
    </cfRule>
  </conditionalFormatting>
  <conditionalFormatting sqref="K90">
    <cfRule type="expression" dxfId="1351" priority="184">
      <formula>MOD(ROW(),2)=0</formula>
    </cfRule>
  </conditionalFormatting>
  <conditionalFormatting sqref="K56">
    <cfRule type="expression" dxfId="1350" priority="183">
      <formula>MOD(ROW(),2)=0</formula>
    </cfRule>
  </conditionalFormatting>
  <conditionalFormatting sqref="K283">
    <cfRule type="expression" dxfId="1349" priority="182">
      <formula>MOD(ROW(),2)=0</formula>
    </cfRule>
  </conditionalFormatting>
  <conditionalFormatting sqref="K284">
    <cfRule type="expression" dxfId="1348" priority="181">
      <formula>MOD(ROW(),2)=0</formula>
    </cfRule>
  </conditionalFormatting>
  <conditionalFormatting sqref="K88">
    <cfRule type="expression" dxfId="1347" priority="180">
      <formula>MOD(ROW(),2)=0</formula>
    </cfRule>
  </conditionalFormatting>
  <conditionalFormatting sqref="K295:K300">
    <cfRule type="expression" dxfId="1346" priority="179">
      <formula>MOD(ROW(),2)=0</formula>
    </cfRule>
  </conditionalFormatting>
  <conditionalFormatting sqref="E6:J55 E388:F395 H394:J399 E220:J220 E60:F63 F64 F255:F256 F269:F270 F275:F277 E257:F268 E271:F274 F244 F241:F242 E253:J254 E57:J59 F56:J56 E278:F282 F283 E295:J387 H60:J64 I223:J230 H255:J294 E292:F294 E285:F285 F286:F291 I65:J219 F209:F219 E226:F228 F400:J405 F221:F225 H221:J222 F396:F399 E251:F252 H231:J246 H388:I393 H247:I252">
    <cfRule type="expression" dxfId="1345" priority="365">
      <formula>MOD(ROW(),2)=0</formula>
    </cfRule>
  </conditionalFormatting>
  <conditionalFormatting sqref="B6:B405">
    <cfRule type="expression" dxfId="1344" priority="364">
      <formula>MOD(ROW(),2)=0</formula>
    </cfRule>
  </conditionalFormatting>
  <conditionalFormatting sqref="D6:D228 D235:D405">
    <cfRule type="expression" dxfId="1343" priority="363">
      <formula>MOD(ROW(),2)=0</formula>
    </cfRule>
  </conditionalFormatting>
  <conditionalFormatting sqref="F65:F69 H65:H75 E148:G151 F190:G191 F172:G175 E196:F196 F197:F208 E197:E219 F84:F99 E100:F123 F124:F147 F167:F171 F156:G157 E153:E171 F166:G166 F158:F165 E152:F152 F153:F155 F192:F195 F176:F189 E70:F71">
    <cfRule type="expression" dxfId="1342" priority="362">
      <formula>MOD(ROW(),2)=0</formula>
    </cfRule>
  </conditionalFormatting>
  <conditionalFormatting sqref="G269">
    <cfRule type="expression" dxfId="1341" priority="326">
      <formula>MOD(ROW(),2)=0</formula>
    </cfRule>
  </conditionalFormatting>
  <conditionalFormatting sqref="E269">
    <cfRule type="expression" dxfId="1340" priority="325">
      <formula>MOD(ROW(),2)=0</formula>
    </cfRule>
  </conditionalFormatting>
  <conditionalFormatting sqref="G256">
    <cfRule type="expression" dxfId="1339" priority="324">
      <formula>MOD(ROW(),2)=0</formula>
    </cfRule>
  </conditionalFormatting>
  <conditionalFormatting sqref="E256">
    <cfRule type="expression" dxfId="1338" priority="323">
      <formula>MOD(ROW(),2)=0</formula>
    </cfRule>
  </conditionalFormatting>
  <conditionalFormatting sqref="G270">
    <cfRule type="expression" dxfId="1337" priority="322">
      <formula>MOD(ROW(),2)=0</formula>
    </cfRule>
  </conditionalFormatting>
  <conditionalFormatting sqref="E270">
    <cfRule type="expression" dxfId="1336" priority="321">
      <formula>MOD(ROW(),2)=0</formula>
    </cfRule>
  </conditionalFormatting>
  <conditionalFormatting sqref="G261">
    <cfRule type="expression" dxfId="1335" priority="320">
      <formula>MOD(ROW(),2)=0</formula>
    </cfRule>
  </conditionalFormatting>
  <conditionalFormatting sqref="G275">
    <cfRule type="expression" dxfId="1334" priority="319">
      <formula>MOD(ROW(),2)=0</formula>
    </cfRule>
  </conditionalFormatting>
  <conditionalFormatting sqref="E275">
    <cfRule type="expression" dxfId="1333" priority="318">
      <formula>MOD(ROW(),2)=0</formula>
    </cfRule>
  </conditionalFormatting>
  <conditionalFormatting sqref="G262">
    <cfRule type="expression" dxfId="1332" priority="317">
      <formula>MOD(ROW(),2)=0</formula>
    </cfRule>
  </conditionalFormatting>
  <conditionalFormatting sqref="G276">
    <cfRule type="expression" dxfId="1331" priority="316">
      <formula>MOD(ROW(),2)=0</formula>
    </cfRule>
  </conditionalFormatting>
  <conditionalFormatting sqref="E276">
    <cfRule type="expression" dxfId="1330" priority="315">
      <formula>MOD(ROW(),2)=0</formula>
    </cfRule>
  </conditionalFormatting>
  <conditionalFormatting sqref="G263">
    <cfRule type="expression" dxfId="1329" priority="314">
      <formula>MOD(ROW(),2)=0</formula>
    </cfRule>
  </conditionalFormatting>
  <conditionalFormatting sqref="G277">
    <cfRule type="expression" dxfId="1328" priority="313">
      <formula>MOD(ROW(),2)=0</formula>
    </cfRule>
  </conditionalFormatting>
  <conditionalFormatting sqref="E277">
    <cfRule type="expression" dxfId="1327" priority="312">
      <formula>MOD(ROW(),2)=0</formula>
    </cfRule>
  </conditionalFormatting>
  <conditionalFormatting sqref="G264">
    <cfRule type="expression" dxfId="1326" priority="311">
      <formula>MOD(ROW(),2)=0</formula>
    </cfRule>
  </conditionalFormatting>
  <conditionalFormatting sqref="G278">
    <cfRule type="expression" dxfId="1325" priority="310">
      <formula>MOD(ROW(),2)=0</formula>
    </cfRule>
  </conditionalFormatting>
  <conditionalFormatting sqref="G265">
    <cfRule type="expression" dxfId="1324" priority="309">
      <formula>MOD(ROW(),2)=0</formula>
    </cfRule>
  </conditionalFormatting>
  <conditionalFormatting sqref="G279">
    <cfRule type="expression" dxfId="1323" priority="308">
      <formula>MOD(ROW(),2)=0</formula>
    </cfRule>
  </conditionalFormatting>
  <conditionalFormatting sqref="G266">
    <cfRule type="expression" dxfId="1322" priority="307">
      <formula>MOD(ROW(),2)=0</formula>
    </cfRule>
  </conditionalFormatting>
  <conditionalFormatting sqref="G280">
    <cfRule type="expression" dxfId="1321" priority="306">
      <formula>MOD(ROW(),2)=0</formula>
    </cfRule>
  </conditionalFormatting>
  <conditionalFormatting sqref="G267">
    <cfRule type="expression" dxfId="1320" priority="305">
      <formula>MOD(ROW(),2)=0</formula>
    </cfRule>
  </conditionalFormatting>
  <conditionalFormatting sqref="G281">
    <cfRule type="expression" dxfId="1319" priority="304">
      <formula>MOD(ROW(),2)=0</formula>
    </cfRule>
  </conditionalFormatting>
  <conditionalFormatting sqref="G268">
    <cfRule type="expression" dxfId="1318" priority="303">
      <formula>MOD(ROW(),2)=0</formula>
    </cfRule>
  </conditionalFormatting>
  <conditionalFormatting sqref="G282">
    <cfRule type="expression" dxfId="1317" priority="302">
      <formula>MOD(ROW(),2)=0</formula>
    </cfRule>
  </conditionalFormatting>
  <conditionalFormatting sqref="G257">
    <cfRule type="expression" dxfId="1316" priority="301">
      <formula>MOD(ROW(),2)=0</formula>
    </cfRule>
  </conditionalFormatting>
  <conditionalFormatting sqref="G271">
    <cfRule type="expression" dxfId="1315" priority="300">
      <formula>MOD(ROW(),2)=0</formula>
    </cfRule>
  </conditionalFormatting>
  <conditionalFormatting sqref="G258">
    <cfRule type="expression" dxfId="1314" priority="299">
      <formula>MOD(ROW(),2)=0</formula>
    </cfRule>
  </conditionalFormatting>
  <conditionalFormatting sqref="G259">
    <cfRule type="expression" dxfId="1313" priority="297">
      <formula>MOD(ROW(),2)=0</formula>
    </cfRule>
  </conditionalFormatting>
  <conditionalFormatting sqref="G273">
    <cfRule type="expression" dxfId="1312" priority="296">
      <formula>MOD(ROW(),2)=0</formula>
    </cfRule>
  </conditionalFormatting>
  <conditionalFormatting sqref="G245">
    <cfRule type="expression" dxfId="1311" priority="285">
      <formula>MOD(ROW(),2)=0</formula>
    </cfRule>
  </conditionalFormatting>
  <conditionalFormatting sqref="F246">
    <cfRule type="expression" dxfId="1310" priority="283">
      <formula>MOD(ROW(),2)=0</formula>
    </cfRule>
  </conditionalFormatting>
  <conditionalFormatting sqref="G246">
    <cfRule type="expression" dxfId="1309" priority="282">
      <formula>MOD(ROW(),2)=0</formula>
    </cfRule>
  </conditionalFormatting>
  <conditionalFormatting sqref="E247">
    <cfRule type="expression" dxfId="1308" priority="279">
      <formula>MOD(ROW(),2)=0</formula>
    </cfRule>
  </conditionalFormatting>
  <conditionalFormatting sqref="E248">
    <cfRule type="expression" dxfId="1307" priority="277">
      <formula>MOD(ROW(),2)=0</formula>
    </cfRule>
  </conditionalFormatting>
  <conditionalFormatting sqref="H227:H230">
    <cfRule type="expression" dxfId="1305" priority="249">
      <formula>MOD(ROW(),2)=0</formula>
    </cfRule>
  </conditionalFormatting>
  <conditionalFormatting sqref="G167">
    <cfRule type="expression" dxfId="1303" priority="245">
      <formula>MOD(ROW(),2)=0</formula>
    </cfRule>
  </conditionalFormatting>
  <conditionalFormatting sqref="G284">
    <cfRule type="expression" dxfId="1302" priority="243">
      <formula>MOD(ROW(),2)=0</formula>
    </cfRule>
  </conditionalFormatting>
  <conditionalFormatting sqref="G290">
    <cfRule type="expression" dxfId="1301" priority="240">
      <formula>MOD(ROW(),2)=0</formula>
    </cfRule>
  </conditionalFormatting>
  <conditionalFormatting sqref="E287">
    <cfRule type="expression" dxfId="1300" priority="238">
      <formula>MOD(ROW(),2)=0</formula>
    </cfRule>
  </conditionalFormatting>
  <conditionalFormatting sqref="E291">
    <cfRule type="expression" dxfId="1299" priority="236">
      <formula>MOD(ROW(),2)=0</formula>
    </cfRule>
  </conditionalFormatting>
  <conditionalFormatting sqref="G293">
    <cfRule type="expression" dxfId="1298" priority="233">
      <formula>MOD(ROW(),2)=0</formula>
    </cfRule>
  </conditionalFormatting>
  <conditionalFormatting sqref="G294">
    <cfRule type="expression" dxfId="1297" priority="232">
      <formula>MOD(ROW(),2)=0</formula>
    </cfRule>
  </conditionalFormatting>
  <conditionalFormatting sqref="G285">
    <cfRule type="expression" dxfId="1296" priority="231">
      <formula>MOD(ROW(),2)=0</formula>
    </cfRule>
  </conditionalFormatting>
  <conditionalFormatting sqref="G286">
    <cfRule type="expression" dxfId="1295" priority="230">
      <formula>MOD(ROW(),2)=0</formula>
    </cfRule>
  </conditionalFormatting>
  <conditionalFormatting sqref="E248">
    <cfRule type="expression" dxfId="1294" priority="214">
      <formula>MOD(ROW(),2)=0</formula>
    </cfRule>
  </conditionalFormatting>
  <conditionalFormatting sqref="G245">
    <cfRule type="expression" dxfId="1293" priority="213">
      <formula>MOD(ROW(),2)=0</formula>
    </cfRule>
  </conditionalFormatting>
  <conditionalFormatting sqref="H132:H147 H124:H127">
    <cfRule type="expression" dxfId="1292" priority="173">
      <formula>MOD(ROW(),2)=0</formula>
    </cfRule>
  </conditionalFormatting>
  <conditionalFormatting sqref="H76:H123 H148:H162 H172:H219">
    <cfRule type="expression" dxfId="1291" priority="172">
      <formula>MOD(ROW(),2)=0</formula>
    </cfRule>
  </conditionalFormatting>
  <conditionalFormatting sqref="H128:H131">
    <cfRule type="expression" dxfId="1290" priority="171">
      <formula>MOD(ROW(),2)=0</formula>
    </cfRule>
  </conditionalFormatting>
  <conditionalFormatting sqref="H163:H164">
    <cfRule type="expression" dxfId="1289" priority="170">
      <formula>MOD(ROW(),2)=0</formula>
    </cfRule>
  </conditionalFormatting>
  <conditionalFormatting sqref="H165:H171">
    <cfRule type="expression" dxfId="1288" priority="169">
      <formula>MOD(ROW(),2)=0</formula>
    </cfRule>
  </conditionalFormatting>
  <conditionalFormatting sqref="G196:G197">
    <cfRule type="expression" dxfId="1287" priority="168">
      <formula>MOD(ROW(),2)=0</formula>
    </cfRule>
  </conditionalFormatting>
  <conditionalFormatting sqref="G198:G199">
    <cfRule type="expression" dxfId="1286" priority="167">
      <formula>MOD(ROW(),2)=0</formula>
    </cfRule>
  </conditionalFormatting>
  <conditionalFormatting sqref="G204:G205">
    <cfRule type="expression" dxfId="1285" priority="166">
      <formula>MOD(ROW(),2)=0</formula>
    </cfRule>
  </conditionalFormatting>
  <conditionalFormatting sqref="G206:G207">
    <cfRule type="expression" dxfId="1284" priority="165">
      <formula>MOD(ROW(),2)=0</formula>
    </cfRule>
  </conditionalFormatting>
  <conditionalFormatting sqref="G208:G209">
    <cfRule type="expression" dxfId="1283" priority="164">
      <formula>MOD(ROW(),2)=0</formula>
    </cfRule>
  </conditionalFormatting>
  <conditionalFormatting sqref="G210:G211">
    <cfRule type="expression" dxfId="1282" priority="163">
      <formula>MOD(ROW(),2)=0</formula>
    </cfRule>
  </conditionalFormatting>
  <conditionalFormatting sqref="G212:G213">
    <cfRule type="expression" dxfId="1281" priority="162">
      <formula>MOD(ROW(),2)=0</formula>
    </cfRule>
  </conditionalFormatting>
  <conditionalFormatting sqref="G214:G215">
    <cfRule type="expression" dxfId="1280" priority="161">
      <formula>MOD(ROW(),2)=0</formula>
    </cfRule>
  </conditionalFormatting>
  <conditionalFormatting sqref="G216:G217">
    <cfRule type="expression" dxfId="1279" priority="160">
      <formula>MOD(ROW(),2)=0</formula>
    </cfRule>
  </conditionalFormatting>
  <conditionalFormatting sqref="G218:G219">
    <cfRule type="expression" dxfId="1278" priority="159">
      <formula>MOD(ROW(),2)=0</formula>
    </cfRule>
  </conditionalFormatting>
  <conditionalFormatting sqref="G200:G201">
    <cfRule type="expression" dxfId="1277" priority="158">
      <formula>MOD(ROW(),2)=0</formula>
    </cfRule>
  </conditionalFormatting>
  <conditionalFormatting sqref="G202:G203">
    <cfRule type="expression" dxfId="1276" priority="157">
      <formula>MOD(ROW(),2)=0</formula>
    </cfRule>
  </conditionalFormatting>
  <conditionalFormatting sqref="E76:E99">
    <cfRule type="expression" dxfId="1275" priority="156">
      <formula>MOD(ROW(),2)=0</formula>
    </cfRule>
  </conditionalFormatting>
  <conditionalFormatting sqref="G76:G77">
    <cfRule type="expression" dxfId="1274" priority="155">
      <formula>MOD(ROW(),2)=0</formula>
    </cfRule>
  </conditionalFormatting>
  <conditionalFormatting sqref="G78:G79">
    <cfRule type="expression" dxfId="1273" priority="154">
      <formula>MOD(ROW(),2)=0</formula>
    </cfRule>
  </conditionalFormatting>
  <conditionalFormatting sqref="G84:G85">
    <cfRule type="expression" dxfId="1272" priority="153">
      <formula>MOD(ROW(),2)=0</formula>
    </cfRule>
  </conditionalFormatting>
  <conditionalFormatting sqref="G86:G87">
    <cfRule type="expression" dxfId="1271" priority="152">
      <formula>MOD(ROW(),2)=0</formula>
    </cfRule>
  </conditionalFormatting>
  <conditionalFormatting sqref="G88:G89">
    <cfRule type="expression" dxfId="1270" priority="151">
      <formula>MOD(ROW(),2)=0</formula>
    </cfRule>
  </conditionalFormatting>
  <conditionalFormatting sqref="G90:G91">
    <cfRule type="expression" dxfId="1269" priority="150">
      <formula>MOD(ROW(),2)=0</formula>
    </cfRule>
  </conditionalFormatting>
  <conditionalFormatting sqref="G92:G93">
    <cfRule type="expression" dxfId="1268" priority="149">
      <formula>MOD(ROW(),2)=0</formula>
    </cfRule>
  </conditionalFormatting>
  <conditionalFormatting sqref="G94:G95">
    <cfRule type="expression" dxfId="1267" priority="148">
      <formula>MOD(ROW(),2)=0</formula>
    </cfRule>
  </conditionalFormatting>
  <conditionalFormatting sqref="G96:G97">
    <cfRule type="expression" dxfId="1266" priority="147">
      <formula>MOD(ROW(),2)=0</formula>
    </cfRule>
  </conditionalFormatting>
  <conditionalFormatting sqref="G98:G99">
    <cfRule type="expression" dxfId="1265" priority="146">
      <formula>MOD(ROW(),2)=0</formula>
    </cfRule>
  </conditionalFormatting>
  <conditionalFormatting sqref="G80:G81">
    <cfRule type="expression" dxfId="1264" priority="145">
      <formula>MOD(ROW(),2)=0</formula>
    </cfRule>
  </conditionalFormatting>
  <conditionalFormatting sqref="G82:G83">
    <cfRule type="expression" dxfId="1263" priority="144">
      <formula>MOD(ROW(),2)=0</formula>
    </cfRule>
  </conditionalFormatting>
  <conditionalFormatting sqref="G100:G101">
    <cfRule type="expression" dxfId="1262" priority="143">
      <formula>MOD(ROW(),2)=0</formula>
    </cfRule>
  </conditionalFormatting>
  <conditionalFormatting sqref="G102:G103">
    <cfRule type="expression" dxfId="1261" priority="142">
      <formula>MOD(ROW(),2)=0</formula>
    </cfRule>
  </conditionalFormatting>
  <conditionalFormatting sqref="G108:G109">
    <cfRule type="expression" dxfId="1260" priority="141">
      <formula>MOD(ROW(),2)=0</formula>
    </cfRule>
  </conditionalFormatting>
  <conditionalFormatting sqref="G110:G111">
    <cfRule type="expression" dxfId="1259" priority="140">
      <formula>MOD(ROW(),2)=0</formula>
    </cfRule>
  </conditionalFormatting>
  <conditionalFormatting sqref="G112:G113">
    <cfRule type="expression" dxfId="1258" priority="139">
      <formula>MOD(ROW(),2)=0</formula>
    </cfRule>
  </conditionalFormatting>
  <conditionalFormatting sqref="G114:G115">
    <cfRule type="expression" dxfId="1257" priority="138">
      <formula>MOD(ROW(),2)=0</formula>
    </cfRule>
  </conditionalFormatting>
  <conditionalFormatting sqref="G116:G117">
    <cfRule type="expression" dxfId="1256" priority="137">
      <formula>MOD(ROW(),2)=0</formula>
    </cfRule>
  </conditionalFormatting>
  <conditionalFormatting sqref="G118:G119">
    <cfRule type="expression" dxfId="1255" priority="136">
      <formula>MOD(ROW(),2)=0</formula>
    </cfRule>
  </conditionalFormatting>
  <conditionalFormatting sqref="G120:G121">
    <cfRule type="expression" dxfId="1254" priority="135">
      <formula>MOD(ROW(),2)=0</formula>
    </cfRule>
  </conditionalFormatting>
  <conditionalFormatting sqref="G122:G123">
    <cfRule type="expression" dxfId="1253" priority="134">
      <formula>MOD(ROW(),2)=0</formula>
    </cfRule>
  </conditionalFormatting>
  <conditionalFormatting sqref="G104:G105">
    <cfRule type="expression" dxfId="1252" priority="133">
      <formula>MOD(ROW(),2)=0</formula>
    </cfRule>
  </conditionalFormatting>
  <conditionalFormatting sqref="G106:G107">
    <cfRule type="expression" dxfId="1251" priority="132">
      <formula>MOD(ROW(),2)=0</formula>
    </cfRule>
  </conditionalFormatting>
  <conditionalFormatting sqref="E124:E147">
    <cfRule type="expression" dxfId="1250" priority="131">
      <formula>MOD(ROW(),2)=0</formula>
    </cfRule>
  </conditionalFormatting>
  <conditionalFormatting sqref="G124:G125">
    <cfRule type="expression" dxfId="1249" priority="130">
      <formula>MOD(ROW(),2)=0</formula>
    </cfRule>
  </conditionalFormatting>
  <conditionalFormatting sqref="G126:G127">
    <cfRule type="expression" dxfId="1248" priority="129">
      <formula>MOD(ROW(),2)=0</formula>
    </cfRule>
  </conditionalFormatting>
  <conditionalFormatting sqref="G132:G133">
    <cfRule type="expression" dxfId="1247" priority="128">
      <formula>MOD(ROW(),2)=0</formula>
    </cfRule>
  </conditionalFormatting>
  <conditionalFormatting sqref="G134:G135">
    <cfRule type="expression" dxfId="1246" priority="127">
      <formula>MOD(ROW(),2)=0</formula>
    </cfRule>
  </conditionalFormatting>
  <conditionalFormatting sqref="G136:G137">
    <cfRule type="expression" dxfId="1245" priority="126">
      <formula>MOD(ROW(),2)=0</formula>
    </cfRule>
  </conditionalFormatting>
  <conditionalFormatting sqref="G138:G139">
    <cfRule type="expression" dxfId="1244" priority="125">
      <formula>MOD(ROW(),2)=0</formula>
    </cfRule>
  </conditionalFormatting>
  <conditionalFormatting sqref="G140:G141">
    <cfRule type="expression" dxfId="1243" priority="124">
      <formula>MOD(ROW(),2)=0</formula>
    </cfRule>
  </conditionalFormatting>
  <conditionalFormatting sqref="G142:G143">
    <cfRule type="expression" dxfId="1242" priority="123">
      <formula>MOD(ROW(),2)=0</formula>
    </cfRule>
  </conditionalFormatting>
  <conditionalFormatting sqref="G144:G145">
    <cfRule type="expression" dxfId="1241" priority="122">
      <formula>MOD(ROW(),2)=0</formula>
    </cfRule>
  </conditionalFormatting>
  <conditionalFormatting sqref="G146:G147">
    <cfRule type="expression" dxfId="1240" priority="121">
      <formula>MOD(ROW(),2)=0</formula>
    </cfRule>
  </conditionalFormatting>
  <conditionalFormatting sqref="G128:G129">
    <cfRule type="expression" dxfId="1239" priority="120">
      <formula>MOD(ROW(),2)=0</formula>
    </cfRule>
  </conditionalFormatting>
  <conditionalFormatting sqref="G130:G131">
    <cfRule type="expression" dxfId="1238" priority="119">
      <formula>MOD(ROW(),2)=0</formula>
    </cfRule>
  </conditionalFormatting>
  <conditionalFormatting sqref="G158:G159">
    <cfRule type="expression" dxfId="1237" priority="118">
      <formula>MOD(ROW(),2)=0</formula>
    </cfRule>
  </conditionalFormatting>
  <conditionalFormatting sqref="G160:G161">
    <cfRule type="expression" dxfId="1236" priority="117">
      <formula>MOD(ROW(),2)=0</formula>
    </cfRule>
  </conditionalFormatting>
  <conditionalFormatting sqref="G162:G163">
    <cfRule type="expression" dxfId="1235" priority="116">
      <formula>MOD(ROW(),2)=0</formula>
    </cfRule>
  </conditionalFormatting>
  <conditionalFormatting sqref="G164:G165">
    <cfRule type="expression" dxfId="1234" priority="115">
      <formula>MOD(ROW(),2)=0</formula>
    </cfRule>
  </conditionalFormatting>
  <conditionalFormatting sqref="G168:G169">
    <cfRule type="expression" dxfId="1233" priority="114">
      <formula>MOD(ROW(),2)=0</formula>
    </cfRule>
  </conditionalFormatting>
  <conditionalFormatting sqref="G170:G171">
    <cfRule type="expression" dxfId="1232" priority="113">
      <formula>MOD(ROW(),2)=0</formula>
    </cfRule>
  </conditionalFormatting>
  <conditionalFormatting sqref="G152:G153">
    <cfRule type="expression" dxfId="1231" priority="112">
      <formula>MOD(ROW(),2)=0</formula>
    </cfRule>
  </conditionalFormatting>
  <conditionalFormatting sqref="G154:G155">
    <cfRule type="expression" dxfId="1230" priority="111">
      <formula>MOD(ROW(),2)=0</formula>
    </cfRule>
  </conditionalFormatting>
  <conditionalFormatting sqref="E172:E195">
    <cfRule type="expression" dxfId="1229" priority="110">
      <formula>MOD(ROW(),2)=0</formula>
    </cfRule>
  </conditionalFormatting>
  <conditionalFormatting sqref="G182:G183">
    <cfRule type="expression" dxfId="1228" priority="109">
      <formula>MOD(ROW(),2)=0</formula>
    </cfRule>
  </conditionalFormatting>
  <conditionalFormatting sqref="G184:G185">
    <cfRule type="expression" dxfId="1227" priority="108">
      <formula>MOD(ROW(),2)=0</formula>
    </cfRule>
  </conditionalFormatting>
  <conditionalFormatting sqref="G186:G187">
    <cfRule type="expression" dxfId="1226" priority="107">
      <formula>MOD(ROW(),2)=0</formula>
    </cfRule>
  </conditionalFormatting>
  <conditionalFormatting sqref="G188:G189">
    <cfRule type="expression" dxfId="1225" priority="106">
      <formula>MOD(ROW(),2)=0</formula>
    </cfRule>
  </conditionalFormatting>
  <conditionalFormatting sqref="G192:G193">
    <cfRule type="expression" dxfId="1224" priority="105">
      <formula>MOD(ROW(),2)=0</formula>
    </cfRule>
  </conditionalFormatting>
  <conditionalFormatting sqref="G194:G195">
    <cfRule type="expression" dxfId="1223" priority="104">
      <formula>MOD(ROW(),2)=0</formula>
    </cfRule>
  </conditionalFormatting>
  <conditionalFormatting sqref="G176:G177">
    <cfRule type="expression" dxfId="1222" priority="103">
      <formula>MOD(ROW(),2)=0</formula>
    </cfRule>
  </conditionalFormatting>
  <conditionalFormatting sqref="G178:G179">
    <cfRule type="expression" dxfId="1221" priority="102">
      <formula>MOD(ROW(),2)=0</formula>
    </cfRule>
  </conditionalFormatting>
  <conditionalFormatting sqref="E224">
    <cfRule type="expression" dxfId="1220" priority="83">
      <formula>MOD(ROW(),2)=0</formula>
    </cfRule>
  </conditionalFormatting>
  <conditionalFormatting sqref="G74:G75">
    <cfRule type="expression" dxfId="1218" priority="99">
      <formula>MOD(ROW(),2)=0</formula>
    </cfRule>
  </conditionalFormatting>
  <conditionalFormatting sqref="E74:E75">
    <cfRule type="expression" dxfId="1217" priority="98">
      <formula>MOD(ROW(),2)=0</formula>
    </cfRule>
  </conditionalFormatting>
  <conditionalFormatting sqref="E246">
    <cfRule type="expression" dxfId="1216" priority="97">
      <formula>MOD(ROW(),2)=0</formula>
    </cfRule>
  </conditionalFormatting>
  <conditionalFormatting sqref="E225">
    <cfRule type="expression" dxfId="1213" priority="94">
      <formula>MOD(ROW(),2)=0</formula>
    </cfRule>
  </conditionalFormatting>
  <conditionalFormatting sqref="E404">
    <cfRule type="expression" dxfId="1212" priority="93">
      <formula>MOD(ROW(),2)=0</formula>
    </cfRule>
  </conditionalFormatting>
  <conditionalFormatting sqref="E405">
    <cfRule type="expression" dxfId="1211" priority="92">
      <formula>MOD(ROW(),2)=0</formula>
    </cfRule>
  </conditionalFormatting>
  <conditionalFormatting sqref="G72:G73">
    <cfRule type="expression" dxfId="1208" priority="89">
      <formula>MOD(ROW(),2)=0</formula>
    </cfRule>
  </conditionalFormatting>
  <conditionalFormatting sqref="E72">
    <cfRule type="expression" dxfId="1207" priority="88">
      <formula>MOD(ROW(),2)=0</formula>
    </cfRule>
  </conditionalFormatting>
  <conditionalFormatting sqref="E73">
    <cfRule type="expression" dxfId="1206" priority="87">
      <formula>MOD(ROW(),2)=0</formula>
    </cfRule>
  </conditionalFormatting>
  <conditionalFormatting sqref="E245">
    <cfRule type="expression" dxfId="1205" priority="86">
      <formula>MOD(ROW(),2)=0</formula>
    </cfRule>
  </conditionalFormatting>
  <conditionalFormatting sqref="E403">
    <cfRule type="expression" dxfId="1201" priority="82">
      <formula>MOD(ROW(),2)=0</formula>
    </cfRule>
  </conditionalFormatting>
  <conditionalFormatting sqref="E402">
    <cfRule type="expression" dxfId="1200" priority="81">
      <formula>MOD(ROW(),2)=0</formula>
    </cfRule>
  </conditionalFormatting>
  <conditionalFormatting sqref="G223">
    <cfRule type="expression" dxfId="1199" priority="80">
      <formula>MOD(ROW(),2)=0</formula>
    </cfRule>
  </conditionalFormatting>
  <conditionalFormatting sqref="G244">
    <cfRule type="expression" dxfId="1198" priority="79">
      <formula>MOD(ROW(),2)=0</formula>
    </cfRule>
  </conditionalFormatting>
  <conditionalFormatting sqref="G70:G71">
    <cfRule type="expression" dxfId="1195" priority="76">
      <formula>MOD(ROW(),2)=0</formula>
    </cfRule>
  </conditionalFormatting>
  <conditionalFormatting sqref="E244">
    <cfRule type="expression" dxfId="1194" priority="75">
      <formula>MOD(ROW(),2)=0</formula>
    </cfRule>
  </conditionalFormatting>
  <conditionalFormatting sqref="G242">
    <cfRule type="expression" dxfId="1192" priority="55">
      <formula>MOD(ROW(),2)=0</formula>
    </cfRule>
  </conditionalFormatting>
  <conditionalFormatting sqref="E223">
    <cfRule type="expression" dxfId="1191" priority="72">
      <formula>MOD(ROW(),2)=0</formula>
    </cfRule>
  </conditionalFormatting>
  <conditionalFormatting sqref="E400">
    <cfRule type="expression" dxfId="1190" priority="71">
      <formula>MOD(ROW(),2)=0</formula>
    </cfRule>
  </conditionalFormatting>
  <conditionalFormatting sqref="E401">
    <cfRule type="expression" dxfId="1189" priority="70">
      <formula>MOD(ROW(),2)=0</formula>
    </cfRule>
  </conditionalFormatting>
  <conditionalFormatting sqref="G222">
    <cfRule type="expression" dxfId="1188" priority="69">
      <formula>MOD(ROW(),2)=0</formula>
    </cfRule>
  </conditionalFormatting>
  <conditionalFormatting sqref="G243">
    <cfRule type="expression" dxfId="1187" priority="68">
      <formula>MOD(ROW(),2)=0</formula>
    </cfRule>
  </conditionalFormatting>
  <conditionalFormatting sqref="G68:G69">
    <cfRule type="expression" dxfId="1184" priority="65">
      <formula>MOD(ROW(),2)=0</formula>
    </cfRule>
  </conditionalFormatting>
  <conditionalFormatting sqref="E68">
    <cfRule type="expression" dxfId="1183" priority="64">
      <formula>MOD(ROW(),2)=0</formula>
    </cfRule>
  </conditionalFormatting>
  <conditionalFormatting sqref="E69">
    <cfRule type="expression" dxfId="1182" priority="63">
      <formula>MOD(ROW(),2)=0</formula>
    </cfRule>
  </conditionalFormatting>
  <conditionalFormatting sqref="E243">
    <cfRule type="expression" dxfId="1181" priority="62">
      <formula>MOD(ROW(),2)=0</formula>
    </cfRule>
  </conditionalFormatting>
  <conditionalFormatting sqref="G247">
    <cfRule type="expression" dxfId="1179" priority="42">
      <formula>MOD(ROW(),2)=0</formula>
    </cfRule>
  </conditionalFormatting>
  <conditionalFormatting sqref="E222">
    <cfRule type="expression" dxfId="1178" priority="59">
      <formula>MOD(ROW(),2)=0</formula>
    </cfRule>
  </conditionalFormatting>
  <conditionalFormatting sqref="E399">
    <cfRule type="expression" dxfId="1177" priority="58">
      <formula>MOD(ROW(),2)=0</formula>
    </cfRule>
  </conditionalFormatting>
  <conditionalFormatting sqref="E398">
    <cfRule type="expression" dxfId="1176" priority="57">
      <formula>MOD(ROW(),2)=0</formula>
    </cfRule>
  </conditionalFormatting>
  <conditionalFormatting sqref="G221">
    <cfRule type="expression" dxfId="1175" priority="56">
      <formula>MOD(ROW(),2)=0</formula>
    </cfRule>
  </conditionalFormatting>
  <conditionalFormatting sqref="K388:K393">
    <cfRule type="expression" dxfId="1173" priority="36">
      <formula>MOD(ROW(),2)=0</formula>
    </cfRule>
  </conditionalFormatting>
  <conditionalFormatting sqref="G66:G67">
    <cfRule type="expression" dxfId="1171" priority="52">
      <formula>MOD(ROW(),2)=0</formula>
    </cfRule>
  </conditionalFormatting>
  <conditionalFormatting sqref="E221">
    <cfRule type="expression" dxfId="1170" priority="51">
      <formula>MOD(ROW(),2)=0</formula>
    </cfRule>
  </conditionalFormatting>
  <conditionalFormatting sqref="J247:J252">
    <cfRule type="expression" dxfId="1169" priority="32">
      <formula>MOD(ROW(),2)=0</formula>
    </cfRule>
  </conditionalFormatting>
  <conditionalFormatting sqref="E242">
    <cfRule type="expression" dxfId="1167" priority="48">
      <formula>MOD(ROW(),2)=0</formula>
    </cfRule>
  </conditionalFormatting>
  <conditionalFormatting sqref="E396">
    <cfRule type="expression" dxfId="1166" priority="47">
      <formula>MOD(ROW(),2)=0</formula>
    </cfRule>
  </conditionalFormatting>
  <conditionalFormatting sqref="E397">
    <cfRule type="expression" dxfId="1165" priority="46">
      <formula>MOD(ROW(),2)=0</formula>
    </cfRule>
  </conditionalFormatting>
  <conditionalFormatting sqref="G248">
    <cfRule type="expression" dxfId="1163" priority="41">
      <formula>MOD(ROW(),2)=0</formula>
    </cfRule>
  </conditionalFormatting>
  <conditionalFormatting sqref="G249">
    <cfRule type="expression" dxfId="1162" priority="40">
      <formula>MOD(ROW(),2)=0</formula>
    </cfRule>
  </conditionalFormatting>
  <conditionalFormatting sqref="G250">
    <cfRule type="expression" dxfId="1161" priority="39">
      <formula>MOD(ROW(),2)=0</formula>
    </cfRule>
  </conditionalFormatting>
  <conditionalFormatting sqref="G251:G252">
    <cfRule type="expression" dxfId="1160" priority="45">
      <formula>MOD(ROW(),2)=0</formula>
    </cfRule>
  </conditionalFormatting>
  <conditionalFormatting sqref="G247">
    <cfRule type="expression" dxfId="1159" priority="44">
      <formula>MOD(ROW(),2)=0</formula>
    </cfRule>
  </conditionalFormatting>
  <conditionalFormatting sqref="G248">
    <cfRule type="expression" dxfId="1158" priority="43">
      <formula>MOD(ROW(),2)=0</formula>
    </cfRule>
  </conditionalFormatting>
  <conditionalFormatting sqref="G388:G393">
    <cfRule type="expression" dxfId="1157" priority="38">
      <formula>MOD(ROW(),2)=0</formula>
    </cfRule>
  </conditionalFormatting>
  <conditionalFormatting sqref="J388:J393">
    <cfRule type="expression" dxfId="1155" priority="37">
      <formula>MOD(ROW(),2)=0</formula>
    </cfRule>
  </conditionalFormatting>
  <conditionalFormatting sqref="K247:K250">
    <cfRule type="expression" dxfId="1154" priority="35">
      <formula>MOD(ROW(),2)=0</formula>
    </cfRule>
  </conditionalFormatting>
  <conditionalFormatting sqref="K251">
    <cfRule type="expression" dxfId="1153" priority="34">
      <formula>MOD(ROW(),2)=0</formula>
    </cfRule>
  </conditionalFormatting>
  <conditionalFormatting sqref="K252">
    <cfRule type="expression" dxfId="1152" priority="33">
      <formula>MOD(ROW(),2)=0</formula>
    </cfRule>
  </conditionalFormatting>
  <conditionalFormatting sqref="E235:F235 F236:F240">
    <cfRule type="expression" dxfId="1150" priority="31">
      <formula>MOD(ROW(),2)=0</formula>
    </cfRule>
  </conditionalFormatting>
  <conditionalFormatting sqref="D235:D240">
    <cfRule type="expression" dxfId="1149" priority="30">
      <formula>MOD(ROW(),2)=0</formula>
    </cfRule>
  </conditionalFormatting>
  <conditionalFormatting sqref="G235">
    <cfRule type="expression" dxfId="1148" priority="29">
      <formula>MOD(ROW(),2)=0</formula>
    </cfRule>
  </conditionalFormatting>
  <conditionalFormatting sqref="G240">
    <cfRule type="expression" dxfId="1147" priority="28">
      <formula>MOD(ROW(),2)=0</formula>
    </cfRule>
  </conditionalFormatting>
  <conditionalFormatting sqref="E240">
    <cfRule type="expression" dxfId="1146" priority="27">
      <formula>MOD(ROW(),2)=0</formula>
    </cfRule>
  </conditionalFormatting>
  <conditionalFormatting sqref="G239">
    <cfRule type="expression" dxfId="1145" priority="26">
      <formula>MOD(ROW(),2)=0</formula>
    </cfRule>
  </conditionalFormatting>
  <conditionalFormatting sqref="E239">
    <cfRule type="expression" dxfId="1144" priority="25">
      <formula>MOD(ROW(),2)=0</formula>
    </cfRule>
  </conditionalFormatting>
  <conditionalFormatting sqref="G238">
    <cfRule type="expression" dxfId="1143" priority="24">
      <formula>MOD(ROW(),2)=0</formula>
    </cfRule>
  </conditionalFormatting>
  <conditionalFormatting sqref="E238">
    <cfRule type="expression" dxfId="1142" priority="23">
      <formula>MOD(ROW(),2)=0</formula>
    </cfRule>
  </conditionalFormatting>
  <conditionalFormatting sqref="G237">
    <cfRule type="expression" dxfId="1141" priority="22">
      <formula>MOD(ROW(),2)=0</formula>
    </cfRule>
  </conditionalFormatting>
  <conditionalFormatting sqref="E237">
    <cfRule type="expression" dxfId="1140" priority="21">
      <formula>MOD(ROW(),2)=0</formula>
    </cfRule>
  </conditionalFormatting>
  <conditionalFormatting sqref="G236">
    <cfRule type="expression" dxfId="1139" priority="20">
      <formula>MOD(ROW(),2)=0</formula>
    </cfRule>
  </conditionalFormatting>
  <conditionalFormatting sqref="E236">
    <cfRule type="expression" dxfId="1138" priority="19">
      <formula>MOD(ROW(),2)=0</formula>
    </cfRule>
  </conditionalFormatting>
  <conditionalFormatting sqref="G229">
    <cfRule type="expression" dxfId="1137" priority="16">
      <formula>MOD(ROW(),2)=0</formula>
    </cfRule>
  </conditionalFormatting>
  <conditionalFormatting sqref="E229">
    <cfRule type="expression" dxfId="1136" priority="15">
      <formula>MOD(ROW(),2)=0</formula>
    </cfRule>
  </conditionalFormatting>
  <conditionalFormatting sqref="F233">
    <cfRule type="expression" dxfId="1135" priority="14">
      <formula>MOD(ROW(),2)=0</formula>
    </cfRule>
  </conditionalFormatting>
  <conditionalFormatting sqref="F231">
    <cfRule type="expression" dxfId="1134" priority="12">
      <formula>MOD(ROW(),2)=0</formula>
    </cfRule>
  </conditionalFormatting>
  <conditionalFormatting sqref="F232">
    <cfRule type="expression" dxfId="1133" priority="11">
      <formula>MOD(ROW(),2)=0</formula>
    </cfRule>
  </conditionalFormatting>
  <conditionalFormatting sqref="F229:F230">
    <cfRule type="expression" dxfId="1132" priority="18">
      <formula>MOD(ROW(),2)=0</formula>
    </cfRule>
  </conditionalFormatting>
  <conditionalFormatting sqref="D229:D234">
    <cfRule type="expression" dxfId="1131" priority="17">
      <formula>MOD(ROW(),2)=0</formula>
    </cfRule>
  </conditionalFormatting>
  <conditionalFormatting sqref="F234">
    <cfRule type="expression" dxfId="1130" priority="13">
      <formula>MOD(ROW(),2)=0</formula>
    </cfRule>
  </conditionalFormatting>
  <conditionalFormatting sqref="G234">
    <cfRule type="expression" dxfId="1129" priority="10">
      <formula>MOD(ROW(),2)=0</formula>
    </cfRule>
  </conditionalFormatting>
  <conditionalFormatting sqref="E234">
    <cfRule type="expression" dxfId="1128" priority="9">
      <formula>MOD(ROW(),2)=0</formula>
    </cfRule>
  </conditionalFormatting>
  <conditionalFormatting sqref="G233">
    <cfRule type="expression" dxfId="1127" priority="8">
      <formula>MOD(ROW(),2)=0</formula>
    </cfRule>
  </conditionalFormatting>
  <conditionalFormatting sqref="E233">
    <cfRule type="expression" dxfId="1126" priority="7">
      <formula>MOD(ROW(),2)=0</formula>
    </cfRule>
  </conditionalFormatting>
  <conditionalFormatting sqref="G232">
    <cfRule type="expression" dxfId="1125" priority="6">
      <formula>MOD(ROW(),2)=0</formula>
    </cfRule>
  </conditionalFormatting>
  <conditionalFormatting sqref="E232">
    <cfRule type="expression" dxfId="1124" priority="5">
      <formula>MOD(ROW(),2)=0</formula>
    </cfRule>
  </conditionalFormatting>
  <conditionalFormatting sqref="G231">
    <cfRule type="expression" dxfId="1123" priority="4">
      <formula>MOD(ROW(),2)=0</formula>
    </cfRule>
  </conditionalFormatting>
  <conditionalFormatting sqref="E231">
    <cfRule type="expression" dxfId="1122" priority="3">
      <formula>MOD(ROW(),2)=0</formula>
    </cfRule>
  </conditionalFormatting>
  <conditionalFormatting sqref="G230">
    <cfRule type="expression" dxfId="1121" priority="2">
      <formula>MOD(ROW(),2)=0</formula>
    </cfRule>
  </conditionalFormatting>
  <conditionalFormatting sqref="E230">
    <cfRule type="expression" dxfId="1120" priority="1">
      <formula>MOD(ROW(),2)=0</formula>
    </cfRule>
  </conditionalFormatting>
  <hyperlinks>
    <hyperlink ref="AN6" location="'0'!A1" tooltip="X stave 0, Front" display="'0'!A1" xr:uid="{00000000-0004-0000-0B00-000000000000}"/>
    <hyperlink ref="AN7:AN10" location="'0'!A1" tooltip="X stave 0, Front" display="'0'!A1" xr:uid="{00000000-0004-0000-0B00-000001000000}"/>
    <hyperlink ref="AJ6" location="'0'!A1" tooltip="X stave 0, Front" display="'0'!A1" xr:uid="{00000000-0004-0000-0B00-000002000000}"/>
    <hyperlink ref="AJ7:AJ10" location="'0'!A1" tooltip="X stave 0, Front" display="'0'!A1" xr:uid="{00000000-0004-0000-0B00-000003000000}"/>
    <hyperlink ref="AH6" location="'0'!A1" tooltip="X stave 0, Front" display="'0'!A1" xr:uid="{00000000-0004-0000-0B00-000004000000}"/>
    <hyperlink ref="AH7:AH10" location="'0'!A1" tooltip="X stave 0, Front" display="'0'!A1" xr:uid="{00000000-0004-0000-0B00-000005000000}"/>
    <hyperlink ref="AJ6:AJ10" location="'2'!A1" tooltip="DCB 2" display="'2'!A1" xr:uid="{00000000-0004-0000-0B00-000006000000}"/>
    <hyperlink ref="AN6:AN10" location="'0'!A1" tooltip="DCB 0" display="'0'!A1" xr:uid="{00000000-0004-0000-0B00-000007000000}"/>
    <hyperlink ref="AL6" location="'0'!A1" tooltip="X stave 0, Front" display="'0'!A1" xr:uid="{00000000-0004-0000-0B00-000008000000}"/>
    <hyperlink ref="AL7:AL10" location="'0'!A1" tooltip="X stave 0, Front" display="'0'!A1" xr:uid="{00000000-0004-0000-0B00-000009000000}"/>
    <hyperlink ref="AL6:AL10" location="'1'!A1" tooltip="DCB 1" display="'1'!A1" xr:uid="{00000000-0004-0000-0B00-00000A000000}"/>
    <hyperlink ref="AH6:AH10" location="'3'!A1" display="'3'!A1" xr:uid="{00000000-0004-0000-0B00-00000B000000}"/>
    <hyperlink ref="AF6" location="'0'!A1" tooltip="X stave 0, Front" display="'0'!A1" xr:uid="{00000000-0004-0000-0B00-00000C000000}"/>
    <hyperlink ref="AF7:AF10" location="'0'!A1" tooltip="X stave 0, Front" display="'0'!A1" xr:uid="{00000000-0004-0000-0B00-00000D000000}"/>
    <hyperlink ref="AF6:AF10" location="'4'!A1" display="'4'!A1" xr:uid="{00000000-0004-0000-0B00-00000E000000}"/>
    <hyperlink ref="AD6" location="'0'!A1" tooltip="X stave 0, Front" display="'0'!A1" xr:uid="{00000000-0004-0000-0B00-00000F000000}"/>
    <hyperlink ref="AD7:AD10" location="'0'!A1" tooltip="X stave 0, Front" display="'0'!A1" xr:uid="{00000000-0004-0000-0B00-000010000000}"/>
    <hyperlink ref="AD6:AD10" location="'5'!A1" display="'5'!A1" xr:uid="{00000000-0004-0000-0B00-000011000000}"/>
    <hyperlink ref="AB6" location="'0'!A1" tooltip="X stave 0, Front" display="'0'!A1" xr:uid="{00000000-0004-0000-0B00-000012000000}"/>
    <hyperlink ref="AB7:AB10" location="'0'!A1" tooltip="X stave 0, Front" display="'0'!A1" xr:uid="{00000000-0004-0000-0B00-000013000000}"/>
    <hyperlink ref="AB6:AB10" location="'6'!A1" display="'6'!A1" xr:uid="{00000000-0004-0000-0B00-000014000000}"/>
    <hyperlink ref="Z6" location="'0'!A1" tooltip="X stave 0, Front" display="'0'!A1" xr:uid="{00000000-0004-0000-0B00-000015000000}"/>
    <hyperlink ref="Z7:Z10" location="'0'!A1" tooltip="X stave 0, Front" display="'0'!A1" xr:uid="{00000000-0004-0000-0B00-000016000000}"/>
    <hyperlink ref="Z6:Z10" location="'7'!A1" display="'7'!A1" xr:uid="{00000000-0004-0000-0B00-000017000000}"/>
    <hyperlink ref="X6" location="'0'!A1" tooltip="X stave 0, Front" display="'0'!A1" xr:uid="{00000000-0004-0000-0B00-000018000000}"/>
    <hyperlink ref="X7:X10" location="'0'!A1" tooltip="X stave 0, Front" display="'0'!A1" xr:uid="{00000000-0004-0000-0B00-000019000000}"/>
    <hyperlink ref="X6:X10" location="'8'!A1" display="'8'!A1" xr:uid="{00000000-0004-0000-0B00-00001A000000}"/>
    <hyperlink ref="V6" location="'0'!A1" tooltip="X stave 0, Front" display="'0'!A1" xr:uid="{00000000-0004-0000-0B00-00001B000000}"/>
    <hyperlink ref="V7:V10" location="'0'!A1" tooltip="X stave 0, Front" display="'0'!A1" xr:uid="{00000000-0004-0000-0B00-00001C000000}"/>
    <hyperlink ref="V6:V10" location="'9'!A1" display="'9'!A1" xr:uid="{00000000-0004-0000-0B00-00001D000000}"/>
    <hyperlink ref="T6" location="'0'!A1" tooltip="X stave 0, Front" display="'0'!A1" xr:uid="{00000000-0004-0000-0B00-00001E000000}"/>
    <hyperlink ref="T7:T10" location="'0'!A1" tooltip="X stave 0, Front" display="'0'!A1" xr:uid="{00000000-0004-0000-0B00-00001F000000}"/>
    <hyperlink ref="T6:T10" location="'10'!A1" display="'10'!A1" xr:uid="{00000000-0004-0000-0B00-000020000000}"/>
    <hyperlink ref="R6" location="'0'!A1" tooltip="X stave 0, Front" display="'0'!A1" xr:uid="{00000000-0004-0000-0B00-000021000000}"/>
    <hyperlink ref="R7:R10" location="'0'!A1" tooltip="X stave 0, Front" display="'0'!A1" xr:uid="{00000000-0004-0000-0B00-000022000000}"/>
    <hyperlink ref="R6:R10" location="'11'!A1" display="'11'!A1" xr:uid="{00000000-0004-0000-0B00-000023000000}"/>
  </hyperlinks>
  <pageMargins left="0.75" right="0.75" top="1" bottom="1" header="0.5" footer="0.5"/>
  <pageSetup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B1:AR506"/>
  <sheetViews>
    <sheetView zoomScale="85" zoomScaleNormal="85" workbookViewId="0">
      <selection activeCell="T8" sqref="T8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474</v>
      </c>
      <c r="E2" s="511"/>
      <c r="F2" s="511"/>
      <c r="G2" s="512" t="s">
        <v>702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348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349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345">
        <v>0</v>
      </c>
      <c r="U6" s="166"/>
      <c r="V6" s="241">
        <v>0</v>
      </c>
      <c r="W6" s="166"/>
      <c r="X6" s="241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41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346">
        <v>0</v>
      </c>
      <c r="U7" s="166"/>
      <c r="V7" s="242">
        <v>0</v>
      </c>
      <c r="W7" s="166"/>
      <c r="X7" s="242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42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346">
        <v>0</v>
      </c>
      <c r="U8" s="166"/>
      <c r="V8" s="242">
        <v>0</v>
      </c>
      <c r="W8" s="166"/>
      <c r="X8" s="242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42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346">
        <v>0</v>
      </c>
      <c r="U9" s="166"/>
      <c r="V9" s="242">
        <v>0</v>
      </c>
      <c r="W9" s="166"/>
      <c r="X9" s="242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42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347">
        <v>0</v>
      </c>
      <c r="U10" s="166"/>
      <c r="V10" s="243">
        <v>0</v>
      </c>
      <c r="W10" s="166"/>
      <c r="X10" s="243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3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267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9"/>
      <c r="Q17" s="19"/>
      <c r="R17" s="508"/>
      <c r="S17" s="19"/>
      <c r="T17" s="508"/>
      <c r="U17" s="19"/>
      <c r="V17" s="508"/>
      <c r="W17" s="19"/>
      <c r="X17" s="509"/>
      <c r="Y17" s="19"/>
      <c r="Z17" s="509"/>
      <c r="AA17" s="19"/>
      <c r="AB17" s="508"/>
      <c r="AC17" s="19"/>
      <c r="AD17" s="508"/>
      <c r="AE17" s="19"/>
      <c r="AF17" s="508"/>
      <c r="AG17" s="15"/>
      <c r="AH17" s="508"/>
      <c r="AI17" s="19"/>
      <c r="AJ17" s="508"/>
      <c r="AK17" s="19"/>
      <c r="AL17" s="508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510"/>
      <c r="Q18" s="19"/>
      <c r="R18" s="356"/>
      <c r="S18" s="19"/>
      <c r="T18" s="356"/>
      <c r="U18" s="19"/>
      <c r="V18" s="356"/>
      <c r="W18" s="19"/>
      <c r="X18" s="510"/>
      <c r="Y18" s="19"/>
      <c r="Z18" s="510"/>
      <c r="AA18" s="19"/>
      <c r="AB18" s="356"/>
      <c r="AC18" s="19"/>
      <c r="AD18" s="356"/>
      <c r="AE18" s="19"/>
      <c r="AF18" s="356"/>
      <c r="AG18" s="19"/>
      <c r="AH18" s="356"/>
      <c r="AI18" s="19"/>
      <c r="AJ18" s="356"/>
      <c r="AK18" s="19"/>
      <c r="AL18" s="356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7">
        <v>11</v>
      </c>
      <c r="Q19" s="357"/>
      <c r="R19" s="357">
        <v>10</v>
      </c>
      <c r="S19" s="357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985</v>
      </c>
      <c r="F61" s="5"/>
      <c r="G61" s="5" t="s">
        <v>986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1003</v>
      </c>
      <c r="F66" s="271"/>
      <c r="G66" s="270" t="s">
        <v>168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1003</v>
      </c>
      <c r="F67" s="271"/>
      <c r="G67" s="270" t="s">
        <v>169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999</v>
      </c>
      <c r="F68" s="271"/>
      <c r="G68" s="270" t="s">
        <v>157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999</v>
      </c>
      <c r="F69" s="271"/>
      <c r="G69" s="270" t="s">
        <v>158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999</v>
      </c>
      <c r="F70" s="271"/>
      <c r="G70" s="270" t="s">
        <v>35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999</v>
      </c>
      <c r="F71" s="271"/>
      <c r="G71" s="270" t="s">
        <v>36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998</v>
      </c>
      <c r="F72" s="13"/>
      <c r="G72" s="270" t="s">
        <v>35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998</v>
      </c>
      <c r="F73" s="13"/>
      <c r="G73" s="270" t="s">
        <v>36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998</v>
      </c>
      <c r="F74" s="13"/>
      <c r="G74" s="272" t="s">
        <v>961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998</v>
      </c>
      <c r="F75" s="13"/>
      <c r="G75" s="272" t="s">
        <v>962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998</v>
      </c>
      <c r="F76" s="184"/>
      <c r="G76" s="270" t="s">
        <v>93</v>
      </c>
      <c r="H76" s="339" t="s">
        <v>927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998</v>
      </c>
      <c r="F77" s="184"/>
      <c r="G77" s="270" t="s">
        <v>103</v>
      </c>
      <c r="H77" s="235" t="s">
        <v>927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998</v>
      </c>
      <c r="F78" s="13"/>
      <c r="G78" s="270" t="s">
        <v>95</v>
      </c>
      <c r="H78" s="235" t="s">
        <v>927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998</v>
      </c>
      <c r="F79" s="13"/>
      <c r="G79" s="270" t="s">
        <v>94</v>
      </c>
      <c r="H79" s="235" t="s">
        <v>927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998</v>
      </c>
      <c r="F80" s="13"/>
      <c r="G80" s="270" t="s">
        <v>32</v>
      </c>
      <c r="H80" s="235" t="s">
        <v>927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998</v>
      </c>
      <c r="F81" s="13"/>
      <c r="G81" s="270" t="s">
        <v>24</v>
      </c>
      <c r="H81" s="235" t="s">
        <v>927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998</v>
      </c>
      <c r="F82" s="13"/>
      <c r="G82" s="270" t="s">
        <v>52</v>
      </c>
      <c r="H82" s="235" t="s">
        <v>927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998</v>
      </c>
      <c r="F83" s="13"/>
      <c r="G83" s="270" t="s">
        <v>42</v>
      </c>
      <c r="H83" s="235" t="s">
        <v>927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998</v>
      </c>
      <c r="F84" s="13"/>
      <c r="G84" s="270" t="s">
        <v>105</v>
      </c>
      <c r="H84" s="235" t="s">
        <v>927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998</v>
      </c>
      <c r="F85" s="13"/>
      <c r="G85" s="270" t="s">
        <v>104</v>
      </c>
      <c r="H85" s="235" t="s">
        <v>927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998</v>
      </c>
      <c r="F86" s="13"/>
      <c r="G86" s="270" t="s">
        <v>87</v>
      </c>
      <c r="H86" s="235" t="s">
        <v>927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998</v>
      </c>
      <c r="F87" s="13"/>
      <c r="G87" s="270" t="s">
        <v>86</v>
      </c>
      <c r="H87" s="235" t="s">
        <v>927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998</v>
      </c>
      <c r="F88" s="184"/>
      <c r="G88" s="270" t="s">
        <v>115</v>
      </c>
      <c r="H88" s="235" t="s">
        <v>927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998</v>
      </c>
      <c r="F89" s="184"/>
      <c r="G89" s="270" t="s">
        <v>114</v>
      </c>
      <c r="H89" s="235" t="s">
        <v>927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998</v>
      </c>
      <c r="F90" s="13"/>
      <c r="G90" s="270" t="s">
        <v>125</v>
      </c>
      <c r="H90" s="235" t="s">
        <v>927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998</v>
      </c>
      <c r="F91" s="13"/>
      <c r="G91" s="270" t="s">
        <v>124</v>
      </c>
      <c r="H91" s="235" t="s">
        <v>927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998</v>
      </c>
      <c r="F92" s="185"/>
      <c r="G92" s="270" t="s">
        <v>25</v>
      </c>
      <c r="H92" s="235" t="s">
        <v>927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998</v>
      </c>
      <c r="F93" s="13"/>
      <c r="G93" s="270" t="s">
        <v>26</v>
      </c>
      <c r="H93" s="235" t="s">
        <v>927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998</v>
      </c>
      <c r="F94" s="13"/>
      <c r="G94" s="270" t="s">
        <v>33</v>
      </c>
      <c r="H94" s="235" t="s">
        <v>927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998</v>
      </c>
      <c r="F95" s="13"/>
      <c r="G95" s="270" t="s">
        <v>34</v>
      </c>
      <c r="H95" s="235" t="s">
        <v>927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998</v>
      </c>
      <c r="F96" s="184"/>
      <c r="G96" s="270" t="s">
        <v>27</v>
      </c>
      <c r="H96" s="235" t="s">
        <v>927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998</v>
      </c>
      <c r="F97" s="184"/>
      <c r="G97" s="270" t="s">
        <v>28</v>
      </c>
      <c r="H97" s="235" t="s">
        <v>927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998</v>
      </c>
      <c r="F98" s="13"/>
      <c r="G98" s="270" t="s">
        <v>43</v>
      </c>
      <c r="H98" s="235" t="s">
        <v>927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998</v>
      </c>
      <c r="F99" s="13"/>
      <c r="G99" s="270" t="s">
        <v>44</v>
      </c>
      <c r="H99" s="235" t="s">
        <v>927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999</v>
      </c>
      <c r="F100" s="274"/>
      <c r="G100" s="270" t="s">
        <v>93</v>
      </c>
      <c r="H100" s="340" t="s">
        <v>928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999</v>
      </c>
      <c r="F101" s="274"/>
      <c r="G101" s="270" t="s">
        <v>103</v>
      </c>
      <c r="H101" s="235" t="s">
        <v>928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999</v>
      </c>
      <c r="F102" s="274"/>
      <c r="G102" s="270" t="s">
        <v>95</v>
      </c>
      <c r="H102" s="235" t="s">
        <v>928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999</v>
      </c>
      <c r="F103" s="274"/>
      <c r="G103" s="270" t="s">
        <v>94</v>
      </c>
      <c r="H103" s="235" t="s">
        <v>928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999</v>
      </c>
      <c r="F104" s="271"/>
      <c r="G104" s="270" t="s">
        <v>32</v>
      </c>
      <c r="H104" s="235" t="s">
        <v>928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999</v>
      </c>
      <c r="F105" s="271"/>
      <c r="G105" s="270" t="s">
        <v>24</v>
      </c>
      <c r="H105" s="235" t="s">
        <v>928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999</v>
      </c>
      <c r="F106" s="271"/>
      <c r="G106" s="270" t="s">
        <v>52</v>
      </c>
      <c r="H106" s="235" t="s">
        <v>928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999</v>
      </c>
      <c r="F107" s="271"/>
      <c r="G107" s="270" t="s">
        <v>42</v>
      </c>
      <c r="H107" s="235" t="s">
        <v>928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999</v>
      </c>
      <c r="F108" s="271"/>
      <c r="G108" s="270" t="s">
        <v>105</v>
      </c>
      <c r="H108" s="235" t="s">
        <v>928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999</v>
      </c>
      <c r="F109" s="271"/>
      <c r="G109" s="270" t="s">
        <v>104</v>
      </c>
      <c r="H109" s="235" t="s">
        <v>928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999</v>
      </c>
      <c r="F110" s="271"/>
      <c r="G110" s="270" t="s">
        <v>87</v>
      </c>
      <c r="H110" s="235" t="s">
        <v>928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999</v>
      </c>
      <c r="F111" s="271"/>
      <c r="G111" s="270" t="s">
        <v>86</v>
      </c>
      <c r="H111" s="235" t="s">
        <v>928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999</v>
      </c>
      <c r="F112" s="271"/>
      <c r="G112" s="270" t="s">
        <v>115</v>
      </c>
      <c r="H112" s="235" t="s">
        <v>928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999</v>
      </c>
      <c r="F113" s="271"/>
      <c r="G113" s="270" t="s">
        <v>114</v>
      </c>
      <c r="H113" s="235" t="s">
        <v>928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999</v>
      </c>
      <c r="F114" s="274"/>
      <c r="G114" s="270" t="s">
        <v>125</v>
      </c>
      <c r="H114" s="235" t="s">
        <v>928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999</v>
      </c>
      <c r="F115" s="274"/>
      <c r="G115" s="270" t="s">
        <v>124</v>
      </c>
      <c r="H115" s="235" t="s">
        <v>928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999</v>
      </c>
      <c r="F116" s="274"/>
      <c r="G116" s="270" t="s">
        <v>25</v>
      </c>
      <c r="H116" s="235" t="s">
        <v>928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999</v>
      </c>
      <c r="F117" s="274"/>
      <c r="G117" s="270" t="s">
        <v>26</v>
      </c>
      <c r="H117" s="235" t="s">
        <v>928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999</v>
      </c>
      <c r="F118" s="271"/>
      <c r="G118" s="270" t="s">
        <v>33</v>
      </c>
      <c r="H118" s="235" t="s">
        <v>928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999</v>
      </c>
      <c r="F119" s="271"/>
      <c r="G119" s="270" t="s">
        <v>34</v>
      </c>
      <c r="H119" s="235" t="s">
        <v>928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999</v>
      </c>
      <c r="F120" s="271"/>
      <c r="G120" s="270" t="s">
        <v>27</v>
      </c>
      <c r="H120" s="235" t="s">
        <v>928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999</v>
      </c>
      <c r="F121" s="271"/>
      <c r="G121" s="270" t="s">
        <v>28</v>
      </c>
      <c r="H121" s="235" t="s">
        <v>928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999</v>
      </c>
      <c r="F122" s="271"/>
      <c r="G122" s="270" t="s">
        <v>43</v>
      </c>
      <c r="H122" s="235" t="s">
        <v>928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999</v>
      </c>
      <c r="F123" s="271"/>
      <c r="G123" s="270" t="s">
        <v>44</v>
      </c>
      <c r="H123" s="235" t="s">
        <v>928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999</v>
      </c>
      <c r="F124" s="274"/>
      <c r="G124" s="270" t="s">
        <v>211</v>
      </c>
      <c r="H124" s="340" t="s">
        <v>929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999</v>
      </c>
      <c r="F125" s="274"/>
      <c r="G125" s="270" t="s">
        <v>210</v>
      </c>
      <c r="H125" s="235" t="s">
        <v>929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999</v>
      </c>
      <c r="F126" s="274"/>
      <c r="G126" s="270" t="s">
        <v>221</v>
      </c>
      <c r="H126" s="235" t="s">
        <v>929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999</v>
      </c>
      <c r="F127" s="274"/>
      <c r="G127" s="270" t="s">
        <v>220</v>
      </c>
      <c r="H127" s="235" t="s">
        <v>929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999</v>
      </c>
      <c r="F128" s="271"/>
      <c r="G128" s="270" t="s">
        <v>147</v>
      </c>
      <c r="H128" s="235" t="s">
        <v>929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999</v>
      </c>
      <c r="F129" s="271"/>
      <c r="G129" s="270" t="s">
        <v>148</v>
      </c>
      <c r="H129" s="235" t="s">
        <v>929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999</v>
      </c>
      <c r="F130" s="271"/>
      <c r="G130" s="270" t="s">
        <v>155</v>
      </c>
      <c r="H130" s="235" t="s">
        <v>929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999</v>
      </c>
      <c r="F131" s="271"/>
      <c r="G131" s="270" t="s">
        <v>156</v>
      </c>
      <c r="H131" s="235" t="s">
        <v>929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999</v>
      </c>
      <c r="F132" s="271"/>
      <c r="G132" s="270" t="s">
        <v>229</v>
      </c>
      <c r="H132" s="235" t="s">
        <v>929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999</v>
      </c>
      <c r="F133" s="271"/>
      <c r="G133" s="270" t="s">
        <v>228</v>
      </c>
      <c r="H133" s="235" t="s">
        <v>929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999</v>
      </c>
      <c r="F134" s="271"/>
      <c r="G134" s="270" t="s">
        <v>223</v>
      </c>
      <c r="H134" s="235" t="s">
        <v>929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999</v>
      </c>
      <c r="F135" s="271"/>
      <c r="G135" s="270" t="s">
        <v>213</v>
      </c>
      <c r="H135" s="235" t="s">
        <v>929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999</v>
      </c>
      <c r="F136" s="271"/>
      <c r="G136" s="270" t="s">
        <v>202</v>
      </c>
      <c r="H136" s="235" t="s">
        <v>929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999</v>
      </c>
      <c r="F137" s="271"/>
      <c r="G137" s="270" t="s">
        <v>192</v>
      </c>
      <c r="H137" s="235" t="s">
        <v>929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999</v>
      </c>
      <c r="F138" s="274"/>
      <c r="G138" s="270" t="s">
        <v>212</v>
      </c>
      <c r="H138" s="235" t="s">
        <v>929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999</v>
      </c>
      <c r="F139" s="274"/>
      <c r="G139" s="270" t="s">
        <v>222</v>
      </c>
      <c r="H139" s="235" t="s">
        <v>929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999</v>
      </c>
      <c r="F140" s="274"/>
      <c r="G140" s="270" t="s">
        <v>133</v>
      </c>
      <c r="H140" s="235" t="s">
        <v>929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999</v>
      </c>
      <c r="F141" s="274"/>
      <c r="G141" s="270" t="s">
        <v>134</v>
      </c>
      <c r="H141" s="235" t="s">
        <v>929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999</v>
      </c>
      <c r="F142" s="271"/>
      <c r="G142" s="270" t="s">
        <v>141</v>
      </c>
      <c r="H142" s="235" t="s">
        <v>929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999</v>
      </c>
      <c r="F143" s="271"/>
      <c r="G143" s="270" t="s">
        <v>142</v>
      </c>
      <c r="H143" s="235" t="s">
        <v>929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999</v>
      </c>
      <c r="F144" s="271"/>
      <c r="G144" s="270" t="s">
        <v>149</v>
      </c>
      <c r="H144" s="235" t="s">
        <v>929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999</v>
      </c>
      <c r="F145" s="271"/>
      <c r="G145" s="270" t="s">
        <v>150</v>
      </c>
      <c r="H145" s="235" t="s">
        <v>929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999</v>
      </c>
      <c r="F146" s="271"/>
      <c r="G146" s="270" t="s">
        <v>131</v>
      </c>
      <c r="H146" s="235" t="s">
        <v>929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999</v>
      </c>
      <c r="F147" s="271"/>
      <c r="G147" s="270" t="s">
        <v>132</v>
      </c>
      <c r="H147" s="235" t="s">
        <v>929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3"/>
      <c r="F148" s="184"/>
      <c r="G148" s="184"/>
      <c r="H148" s="339" t="s">
        <v>930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3"/>
      <c r="F149" s="184"/>
      <c r="G149" s="184"/>
      <c r="H149" s="235" t="s">
        <v>930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235" t="s">
        <v>930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235" t="s">
        <v>930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1003</v>
      </c>
      <c r="F152" s="271"/>
      <c r="G152" s="270" t="s">
        <v>121</v>
      </c>
      <c r="H152" s="235" t="s">
        <v>930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1003</v>
      </c>
      <c r="F153" s="271"/>
      <c r="G153" s="270" t="s">
        <v>120</v>
      </c>
      <c r="H153" s="235" t="s">
        <v>930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1003</v>
      </c>
      <c r="F154" s="271"/>
      <c r="G154" s="270" t="s">
        <v>108</v>
      </c>
      <c r="H154" s="235" t="s">
        <v>930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1003</v>
      </c>
      <c r="F155" s="271"/>
      <c r="G155" s="270" t="s">
        <v>109</v>
      </c>
      <c r="H155" s="235" t="s">
        <v>930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/>
      <c r="F156" s="271"/>
      <c r="G156" s="271"/>
      <c r="H156" s="235" t="s">
        <v>930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/>
      <c r="F157" s="271"/>
      <c r="G157" s="271"/>
      <c r="H157" s="235" t="s">
        <v>930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1003</v>
      </c>
      <c r="F158" s="271"/>
      <c r="G158" s="276" t="s">
        <v>100</v>
      </c>
      <c r="H158" s="235" t="s">
        <v>930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1003</v>
      </c>
      <c r="F159" s="271"/>
      <c r="G159" s="276" t="s">
        <v>101</v>
      </c>
      <c r="H159" s="235" t="s">
        <v>930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1003</v>
      </c>
      <c r="F160" s="274"/>
      <c r="G160" s="270" t="s">
        <v>137</v>
      </c>
      <c r="H160" s="235" t="s">
        <v>930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1003</v>
      </c>
      <c r="F161" s="274"/>
      <c r="G161" s="270" t="s">
        <v>136</v>
      </c>
      <c r="H161" s="235" t="s">
        <v>930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1003</v>
      </c>
      <c r="F162" s="274"/>
      <c r="G162" s="270" t="s">
        <v>118</v>
      </c>
      <c r="H162" s="235" t="s">
        <v>930</v>
      </c>
      <c r="I162" s="13"/>
      <c r="J162" s="13"/>
      <c r="K162" s="16"/>
    </row>
    <row r="163" spans="2:11" ht="16.2" thickBot="1">
      <c r="B163" s="26">
        <v>158</v>
      </c>
      <c r="C163" s="228" t="s">
        <v>140</v>
      </c>
      <c r="D163" s="230" t="s">
        <v>542</v>
      </c>
      <c r="E163" s="271" t="s">
        <v>1003</v>
      </c>
      <c r="F163" s="274"/>
      <c r="G163" s="270" t="s">
        <v>119</v>
      </c>
      <c r="H163" s="235" t="s">
        <v>930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1003</v>
      </c>
      <c r="F164" s="274"/>
      <c r="G164" s="337" t="s">
        <v>110</v>
      </c>
      <c r="H164" s="235" t="s">
        <v>930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1003</v>
      </c>
      <c r="F165" s="274"/>
      <c r="G165" s="270" t="s">
        <v>111</v>
      </c>
      <c r="H165" s="235" t="s">
        <v>930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/>
      <c r="F166" s="274"/>
      <c r="G166" s="338"/>
      <c r="H166" s="235" t="s">
        <v>930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/>
      <c r="F167" s="274"/>
      <c r="G167" s="338"/>
      <c r="H167" s="235" t="s">
        <v>930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1003</v>
      </c>
      <c r="F168" s="271"/>
      <c r="G168" s="276" t="s">
        <v>88</v>
      </c>
      <c r="H168" s="235" t="s">
        <v>930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1003</v>
      </c>
      <c r="F169" s="271"/>
      <c r="G169" s="276" t="s">
        <v>98</v>
      </c>
      <c r="H169" s="235" t="s">
        <v>930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1003</v>
      </c>
      <c r="F170" s="271"/>
      <c r="G170" s="270" t="s">
        <v>128</v>
      </c>
      <c r="H170" s="235" t="s">
        <v>930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1003</v>
      </c>
      <c r="F171" s="271"/>
      <c r="G171" s="270" t="s">
        <v>129</v>
      </c>
      <c r="H171" s="235" t="s">
        <v>930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3"/>
      <c r="F172" s="184"/>
      <c r="G172" s="244"/>
      <c r="H172" s="339" t="s">
        <v>931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3"/>
      <c r="F173" s="184"/>
      <c r="G173" s="244"/>
      <c r="H173" s="235" t="s">
        <v>931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931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931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1003</v>
      </c>
      <c r="F176" s="13"/>
      <c r="G176" s="270" t="s">
        <v>188</v>
      </c>
      <c r="H176" s="235" t="s">
        <v>931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1003</v>
      </c>
      <c r="F177" s="13"/>
      <c r="G177" s="270" t="s">
        <v>189</v>
      </c>
      <c r="H177" s="235" t="s">
        <v>931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1003</v>
      </c>
      <c r="F178" s="13"/>
      <c r="G178" s="270" t="s">
        <v>178</v>
      </c>
      <c r="H178" s="235" t="s">
        <v>931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1003</v>
      </c>
      <c r="F179" s="13"/>
      <c r="G179" s="270" t="s">
        <v>179</v>
      </c>
      <c r="H179" s="235" t="s">
        <v>931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/>
      <c r="F180" s="13"/>
      <c r="G180" s="271"/>
      <c r="H180" s="235" t="s">
        <v>931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/>
      <c r="F181" s="13"/>
      <c r="G181" s="271"/>
      <c r="H181" s="235" t="s">
        <v>931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1003</v>
      </c>
      <c r="F182" s="13"/>
      <c r="G182" s="276" t="s">
        <v>206</v>
      </c>
      <c r="H182" s="235" t="s">
        <v>931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1003</v>
      </c>
      <c r="F183" s="13"/>
      <c r="G183" s="276" t="s">
        <v>207</v>
      </c>
      <c r="H183" s="235" t="s">
        <v>931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1003</v>
      </c>
      <c r="F184" s="184"/>
      <c r="G184" s="270" t="s">
        <v>196</v>
      </c>
      <c r="H184" s="235" t="s">
        <v>931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1003</v>
      </c>
      <c r="F185" s="184"/>
      <c r="G185" s="270" t="s">
        <v>197</v>
      </c>
      <c r="H185" s="235" t="s">
        <v>931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1003</v>
      </c>
      <c r="F186" s="13"/>
      <c r="G186" s="270" t="s">
        <v>186</v>
      </c>
      <c r="H186" s="235" t="s">
        <v>931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1003</v>
      </c>
      <c r="F187" s="13"/>
      <c r="G187" s="270" t="s">
        <v>187</v>
      </c>
      <c r="H187" s="235" t="s">
        <v>931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1003</v>
      </c>
      <c r="F188" s="13"/>
      <c r="G188" s="270" t="s">
        <v>176</v>
      </c>
      <c r="H188" s="235" t="s">
        <v>931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1003</v>
      </c>
      <c r="F189" s="13"/>
      <c r="G189" s="270" t="s">
        <v>177</v>
      </c>
      <c r="H189" s="235" t="s">
        <v>931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/>
      <c r="F190" s="13"/>
      <c r="G190" s="271"/>
      <c r="H190" s="235" t="s">
        <v>931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/>
      <c r="F191" s="13"/>
      <c r="G191" s="271"/>
      <c r="H191" s="235" t="s">
        <v>931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1003</v>
      </c>
      <c r="F192" s="184"/>
      <c r="G192" s="276" t="s">
        <v>208</v>
      </c>
      <c r="H192" s="235" t="s">
        <v>931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1003</v>
      </c>
      <c r="F193" s="184"/>
      <c r="G193" s="276" t="s">
        <v>209</v>
      </c>
      <c r="H193" s="235" t="s">
        <v>931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1003</v>
      </c>
      <c r="F194" s="13"/>
      <c r="G194" s="270" t="s">
        <v>198</v>
      </c>
      <c r="H194" s="235" t="s">
        <v>931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1003</v>
      </c>
      <c r="F195" s="13"/>
      <c r="G195" s="270" t="s">
        <v>199</v>
      </c>
      <c r="H195" s="235" t="s">
        <v>931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998</v>
      </c>
      <c r="F196" s="184"/>
      <c r="G196" s="272" t="s">
        <v>16</v>
      </c>
      <c r="H196" s="339" t="s">
        <v>932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998</v>
      </c>
      <c r="F197" s="184"/>
      <c r="G197" s="272" t="s">
        <v>17</v>
      </c>
      <c r="H197" s="235" t="s">
        <v>932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998</v>
      </c>
      <c r="F198" s="13"/>
      <c r="G198" s="272" t="s">
        <v>18</v>
      </c>
      <c r="H198" s="235" t="s">
        <v>932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998</v>
      </c>
      <c r="F199" s="13"/>
      <c r="G199" s="272" t="s">
        <v>19</v>
      </c>
      <c r="H199" s="235" t="s">
        <v>932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998</v>
      </c>
      <c r="F200" s="13"/>
      <c r="G200" s="272" t="s">
        <v>310</v>
      </c>
      <c r="H200" s="235" t="s">
        <v>932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998</v>
      </c>
      <c r="F201" s="13"/>
      <c r="G201" s="272" t="s">
        <v>311</v>
      </c>
      <c r="H201" s="235" t="s">
        <v>932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998</v>
      </c>
      <c r="F202" s="13"/>
      <c r="G202" s="272" t="s">
        <v>317</v>
      </c>
      <c r="H202" s="235" t="s">
        <v>932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998</v>
      </c>
      <c r="F203" s="13"/>
      <c r="G203" s="272" t="s">
        <v>318</v>
      </c>
      <c r="H203" s="235" t="s">
        <v>932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998</v>
      </c>
      <c r="F204" s="13"/>
      <c r="G204" s="272" t="s">
        <v>4</v>
      </c>
      <c r="H204" s="235" t="s">
        <v>932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998</v>
      </c>
      <c r="F205" s="13"/>
      <c r="G205" s="272" t="s">
        <v>5</v>
      </c>
      <c r="H205" s="235" t="s">
        <v>932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998</v>
      </c>
      <c r="F206" s="13"/>
      <c r="G206" s="272" t="s">
        <v>329</v>
      </c>
      <c r="H206" s="235" t="s">
        <v>932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998</v>
      </c>
      <c r="F207" s="13"/>
      <c r="G207" s="272" t="s">
        <v>328</v>
      </c>
      <c r="H207" s="235" t="s">
        <v>932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998</v>
      </c>
      <c r="F208" s="184"/>
      <c r="G208" s="272" t="s">
        <v>331</v>
      </c>
      <c r="H208" s="235" t="s">
        <v>932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998</v>
      </c>
      <c r="F209" s="184"/>
      <c r="G209" s="272" t="s">
        <v>330</v>
      </c>
      <c r="H209" s="235" t="s">
        <v>932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998</v>
      </c>
      <c r="F210" s="184"/>
      <c r="G210" s="272" t="s">
        <v>335</v>
      </c>
      <c r="H210" s="235" t="s">
        <v>932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998</v>
      </c>
      <c r="F211" s="184"/>
      <c r="G211" s="272" t="s">
        <v>334</v>
      </c>
      <c r="H211" s="235" t="s">
        <v>932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998</v>
      </c>
      <c r="F212" s="184"/>
      <c r="G212" s="272" t="s">
        <v>303</v>
      </c>
      <c r="H212" s="235" t="s">
        <v>932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998</v>
      </c>
      <c r="F213" s="184"/>
      <c r="G213" s="272" t="s">
        <v>294</v>
      </c>
      <c r="H213" s="235" t="s">
        <v>932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998</v>
      </c>
      <c r="F214" s="184"/>
      <c r="G214" s="272" t="s">
        <v>304</v>
      </c>
      <c r="H214" s="235" t="s">
        <v>932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998</v>
      </c>
      <c r="F215" s="184"/>
      <c r="G215" s="272" t="s">
        <v>295</v>
      </c>
      <c r="H215" s="235" t="s">
        <v>932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998</v>
      </c>
      <c r="F216" s="13"/>
      <c r="G216" s="272" t="s">
        <v>313</v>
      </c>
      <c r="H216" s="235" t="s">
        <v>932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998</v>
      </c>
      <c r="F217" s="13"/>
      <c r="G217" s="272" t="s">
        <v>320</v>
      </c>
      <c r="H217" s="235" t="s">
        <v>932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998</v>
      </c>
      <c r="F218" s="13"/>
      <c r="G218" s="272" t="s">
        <v>301</v>
      </c>
      <c r="H218" s="235" t="s">
        <v>932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998</v>
      </c>
      <c r="F219" s="13"/>
      <c r="G219" s="272" t="s">
        <v>302</v>
      </c>
      <c r="H219" s="235" t="s">
        <v>932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1003</v>
      </c>
      <c r="F221" s="271"/>
      <c r="G221" s="270" t="s">
        <v>948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999</v>
      </c>
      <c r="F222" s="275"/>
      <c r="G222" s="270" t="s">
        <v>140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999</v>
      </c>
      <c r="F223" s="275"/>
      <c r="G223" s="270" t="s">
        <v>45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998</v>
      </c>
      <c r="F224" s="271"/>
      <c r="G224" s="270" t="s">
        <v>45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998</v>
      </c>
      <c r="F225" s="271"/>
      <c r="G225" s="272" t="s">
        <v>958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1" t="s">
        <v>1003</v>
      </c>
      <c r="F230" s="5"/>
      <c r="G230" s="270" t="s">
        <v>949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271" t="s">
        <v>999</v>
      </c>
      <c r="F231" s="5"/>
      <c r="G231" s="270" t="s">
        <v>172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999</v>
      </c>
      <c r="F232" s="5"/>
      <c r="G232" s="270" t="s">
        <v>74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271" t="s">
        <v>998</v>
      </c>
      <c r="F233" s="13"/>
      <c r="G233" s="270" t="s">
        <v>74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998</v>
      </c>
      <c r="F234" s="271"/>
      <c r="G234" s="272" t="s">
        <v>960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1" t="s">
        <v>1003</v>
      </c>
      <c r="F236" s="5"/>
      <c r="G236" s="270" t="s">
        <v>160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271" t="s">
        <v>999</v>
      </c>
      <c r="F237" s="5"/>
      <c r="G237" s="270" t="s">
        <v>173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999</v>
      </c>
      <c r="F238" s="5"/>
      <c r="G238" s="270" t="s">
        <v>72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271" t="s">
        <v>998</v>
      </c>
      <c r="F239" s="5"/>
      <c r="G239" s="270" t="s">
        <v>72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998</v>
      </c>
      <c r="F240" s="271"/>
      <c r="G240" s="272" t="s">
        <v>959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1003</v>
      </c>
      <c r="F242" s="275"/>
      <c r="G242" s="270" t="s">
        <v>947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999</v>
      </c>
      <c r="F243" s="13"/>
      <c r="G243" s="270" t="s">
        <v>200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999</v>
      </c>
      <c r="F244" s="13"/>
      <c r="G244" s="270" t="s">
        <v>113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998</v>
      </c>
      <c r="F245" s="13"/>
      <c r="G245" s="270" t="s">
        <v>113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998</v>
      </c>
      <c r="F246" s="13"/>
      <c r="G246" s="272" t="s">
        <v>0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969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969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969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969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969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969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971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971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971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971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971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971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1003</v>
      </c>
      <c r="F396" s="13"/>
      <c r="G396" s="282" t="s">
        <v>945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1003</v>
      </c>
      <c r="F397" s="13"/>
      <c r="G397" s="282" t="s">
        <v>946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999</v>
      </c>
      <c r="F398" s="13"/>
      <c r="G398" s="282" t="s">
        <v>203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999</v>
      </c>
      <c r="F399" s="5"/>
      <c r="G399" s="344" t="s">
        <v>193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999</v>
      </c>
      <c r="F400" s="5"/>
      <c r="G400" s="344" t="s">
        <v>85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999</v>
      </c>
      <c r="F401" s="5"/>
      <c r="G401" s="344" t="s">
        <v>84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998</v>
      </c>
      <c r="F402" s="13"/>
      <c r="G402" s="293" t="s">
        <v>85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998</v>
      </c>
      <c r="F403" s="13"/>
      <c r="G403" s="293" t="s">
        <v>84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998</v>
      </c>
      <c r="F404" s="263"/>
      <c r="G404" s="282" t="s">
        <v>956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92" t="s">
        <v>998</v>
      </c>
      <c r="F405" s="297"/>
      <c r="G405" s="298" t="s">
        <v>957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D6:D228 D235:D405">
    <cfRule type="expression" dxfId="1119" priority="371">
      <formula>MOD(ROW(),2)=0</formula>
    </cfRule>
  </conditionalFormatting>
  <conditionalFormatting sqref="F65:F69 H65:H75 F148:G151 F190:G191 F172:G175 F84:F147 F167:F171 F166:G166 F158:F165 F156:G157 F152:F155 F192:F208 F176:F189 E70:F71">
    <cfRule type="expression" dxfId="1118" priority="370">
      <formula>MOD(ROW(),2)=0</formula>
    </cfRule>
  </conditionalFormatting>
  <conditionalFormatting sqref="G394:G395">
    <cfRule type="expression" dxfId="1117" priority="366">
      <formula>MOD(ROW(),2)=0</formula>
    </cfRule>
  </conditionalFormatting>
  <conditionalFormatting sqref="G396:G397">
    <cfRule type="expression" dxfId="1116" priority="365">
      <formula>MOD(ROW(),2)=0</formula>
    </cfRule>
  </conditionalFormatting>
  <conditionalFormatting sqref="G398:G399">
    <cfRule type="expression" dxfId="1115" priority="364">
      <formula>MOD(ROW(),2)=0</formula>
    </cfRule>
  </conditionalFormatting>
  <conditionalFormatting sqref="C401:C405">
    <cfRule type="expression" dxfId="1114" priority="362">
      <formula>MOD(ROW(),2)=0</formula>
    </cfRule>
  </conditionalFormatting>
  <conditionalFormatting sqref="C6:C400">
    <cfRule type="expression" dxfId="1113" priority="361">
      <formula>MOD(ROW(),2)=0</formula>
    </cfRule>
  </conditionalFormatting>
  <conditionalFormatting sqref="G60:G61">
    <cfRule type="expression" dxfId="1112" priority="360">
      <formula>MOD(ROW(),2)=0</formula>
    </cfRule>
  </conditionalFormatting>
  <conditionalFormatting sqref="G62:G63">
    <cfRule type="expression" dxfId="1111" priority="359">
      <formula>MOD(ROW(),2)=0</formula>
    </cfRule>
  </conditionalFormatting>
  <conditionalFormatting sqref="G64:G65">
    <cfRule type="expression" dxfId="1110" priority="358">
      <formula>MOD(ROW(),2)=0</formula>
    </cfRule>
  </conditionalFormatting>
  <conditionalFormatting sqref="E64:E65">
    <cfRule type="expression" dxfId="1109" priority="357">
      <formula>MOD(ROW(),2)=0</formula>
    </cfRule>
  </conditionalFormatting>
  <conditionalFormatting sqref="E66:E67">
    <cfRule type="expression" dxfId="1108" priority="355">
      <formula>MOD(ROW(),2)=0</formula>
    </cfRule>
  </conditionalFormatting>
  <conditionalFormatting sqref="F72:F76">
    <cfRule type="expression" dxfId="1107" priority="351">
      <formula>MOD(ROW(),2)=0</formula>
    </cfRule>
  </conditionalFormatting>
  <conditionalFormatting sqref="F77:F83">
    <cfRule type="expression" dxfId="1106" priority="350">
      <formula>MOD(ROW(),2)=0</formula>
    </cfRule>
  </conditionalFormatting>
  <conditionalFormatting sqref="G277">
    <cfRule type="expression" dxfId="1105" priority="321">
      <formula>MOD(ROW(),2)=0</formula>
    </cfRule>
  </conditionalFormatting>
  <conditionalFormatting sqref="E277">
    <cfRule type="expression" dxfId="1104" priority="320">
      <formula>MOD(ROW(),2)=0</formula>
    </cfRule>
  </conditionalFormatting>
  <conditionalFormatting sqref="G264">
    <cfRule type="expression" dxfId="1103" priority="319">
      <formula>MOD(ROW(),2)=0</formula>
    </cfRule>
  </conditionalFormatting>
  <conditionalFormatting sqref="G265">
    <cfRule type="expression" dxfId="1102" priority="317">
      <formula>MOD(ROW(),2)=0</formula>
    </cfRule>
  </conditionalFormatting>
  <conditionalFormatting sqref="G279">
    <cfRule type="expression" dxfId="1101" priority="316">
      <formula>MOD(ROW(),2)=0</formula>
    </cfRule>
  </conditionalFormatting>
  <conditionalFormatting sqref="F245">
    <cfRule type="expression" dxfId="1099" priority="294">
      <formula>MOD(ROW(),2)=0</formula>
    </cfRule>
  </conditionalFormatting>
  <conditionalFormatting sqref="F246">
    <cfRule type="expression" dxfId="1098" priority="291">
      <formula>MOD(ROW(),2)=0</formula>
    </cfRule>
  </conditionalFormatting>
  <conditionalFormatting sqref="F247">
    <cfRule type="expression" dxfId="1097" priority="288">
      <formula>MOD(ROW(),2)=0</formula>
    </cfRule>
  </conditionalFormatting>
  <conditionalFormatting sqref="E247">
    <cfRule type="expression" dxfId="1096" priority="287">
      <formula>MOD(ROW(),2)=0</formula>
    </cfRule>
  </conditionalFormatting>
  <conditionalFormatting sqref="G241">
    <cfRule type="expression" dxfId="1095" priority="278">
      <formula>MOD(ROW(),2)=0</formula>
    </cfRule>
  </conditionalFormatting>
  <conditionalFormatting sqref="E241">
    <cfRule type="expression" dxfId="1094" priority="277">
      <formula>MOD(ROW(),2)=0</formula>
    </cfRule>
  </conditionalFormatting>
  <conditionalFormatting sqref="E56">
    <cfRule type="expression" dxfId="1093" priority="276">
      <formula>MOD(ROW(),2)=0</formula>
    </cfRule>
  </conditionalFormatting>
  <conditionalFormatting sqref="G283">
    <cfRule type="expression" dxfId="1092" priority="274">
      <formula>MOD(ROW(),2)=0</formula>
    </cfRule>
  </conditionalFormatting>
  <conditionalFormatting sqref="E290">
    <cfRule type="expression" dxfId="1091" priority="268">
      <formula>MOD(ROW(),2)=0</formula>
    </cfRule>
  </conditionalFormatting>
  <conditionalFormatting sqref="G180">
    <cfRule type="expression" dxfId="1090" priority="261">
      <formula>MOD(ROW(),2)=0</formula>
    </cfRule>
  </conditionalFormatting>
  <conditionalFormatting sqref="G181">
    <cfRule type="expression" dxfId="1089" priority="260">
      <formula>MOD(ROW(),2)=0</formula>
    </cfRule>
  </conditionalFormatting>
  <conditionalFormatting sqref="G226:H226 H223:H225">
    <cfRule type="expression" dxfId="1088" priority="258">
      <formula>MOD(ROW(),2)=0</formula>
    </cfRule>
  </conditionalFormatting>
  <conditionalFormatting sqref="H227:H230">
    <cfRule type="expression" dxfId="1087" priority="257">
      <formula>MOD(ROW(),2)=0</formula>
    </cfRule>
  </conditionalFormatting>
  <conditionalFormatting sqref="G227:G228">
    <cfRule type="expression" dxfId="1086" priority="256">
      <formula>MOD(ROW(),2)=0</formula>
    </cfRule>
  </conditionalFormatting>
  <conditionalFormatting sqref="E286">
    <cfRule type="expression" dxfId="1085" priority="237">
      <formula>MOD(ROW(),2)=0</formula>
    </cfRule>
  </conditionalFormatting>
  <conditionalFormatting sqref="G167">
    <cfRule type="expression" dxfId="1084" priority="253">
      <formula>MOD(ROW(),2)=0</formula>
    </cfRule>
  </conditionalFormatting>
  <conditionalFormatting sqref="F284">
    <cfRule type="expression" dxfId="1083" priority="252">
      <formula>MOD(ROW(),2)=0</formula>
    </cfRule>
  </conditionalFormatting>
  <conditionalFormatting sqref="G284">
    <cfRule type="expression" dxfId="1082" priority="251">
      <formula>MOD(ROW(),2)=0</formula>
    </cfRule>
  </conditionalFormatting>
  <conditionalFormatting sqref="E284">
    <cfRule type="expression" dxfId="1081" priority="250">
      <formula>MOD(ROW(),2)=0</formula>
    </cfRule>
  </conditionalFormatting>
  <conditionalFormatting sqref="G289">
    <cfRule type="expression" dxfId="1080" priority="249">
      <formula>MOD(ROW(),2)=0</formula>
    </cfRule>
  </conditionalFormatting>
  <conditionalFormatting sqref="G290">
    <cfRule type="expression" dxfId="1079" priority="248">
      <formula>MOD(ROW(),2)=0</formula>
    </cfRule>
  </conditionalFormatting>
  <conditionalFormatting sqref="G287">
    <cfRule type="expression" dxfId="1078" priority="247">
      <formula>MOD(ROW(),2)=0</formula>
    </cfRule>
  </conditionalFormatting>
  <conditionalFormatting sqref="E287">
    <cfRule type="expression" dxfId="1077" priority="246">
      <formula>MOD(ROW(),2)=0</formula>
    </cfRule>
  </conditionalFormatting>
  <conditionalFormatting sqref="G288">
    <cfRule type="expression" dxfId="1076" priority="245">
      <formula>MOD(ROW(),2)=0</formula>
    </cfRule>
  </conditionalFormatting>
  <conditionalFormatting sqref="E291">
    <cfRule type="expression" dxfId="1075" priority="244">
      <formula>MOD(ROW(),2)=0</formula>
    </cfRule>
  </conditionalFormatting>
  <conditionalFormatting sqref="G291">
    <cfRule type="expression" dxfId="1074" priority="243">
      <formula>MOD(ROW(),2)=0</formula>
    </cfRule>
  </conditionalFormatting>
  <conditionalFormatting sqref="G292">
    <cfRule type="expression" dxfId="1073" priority="242">
      <formula>MOD(ROW(),2)=0</formula>
    </cfRule>
  </conditionalFormatting>
  <conditionalFormatting sqref="G293">
    <cfRule type="expression" dxfId="1072" priority="241">
      <formula>MOD(ROW(),2)=0</formula>
    </cfRule>
  </conditionalFormatting>
  <conditionalFormatting sqref="G294">
    <cfRule type="expression" dxfId="1071" priority="240">
      <formula>MOD(ROW(),2)=0</formula>
    </cfRule>
  </conditionalFormatting>
  <conditionalFormatting sqref="G285">
    <cfRule type="expression" dxfId="1070" priority="239">
      <formula>MOD(ROW(),2)=0</formula>
    </cfRule>
  </conditionalFormatting>
  <conditionalFormatting sqref="G286">
    <cfRule type="expression" dxfId="1069" priority="238">
      <formula>MOD(ROW(),2)=0</formula>
    </cfRule>
  </conditionalFormatting>
  <conditionalFormatting sqref="F243">
    <cfRule type="expression" dxfId="1067" priority="234">
      <formula>MOD(ROW(),2)=0</formula>
    </cfRule>
  </conditionalFormatting>
  <conditionalFormatting sqref="F244">
    <cfRule type="expression" dxfId="1066" priority="231">
      <formula>MOD(ROW(),2)=0</formula>
    </cfRule>
  </conditionalFormatting>
  <conditionalFormatting sqref="F245">
    <cfRule type="expression" dxfId="1065" priority="228">
      <formula>MOD(ROW(),2)=0</formula>
    </cfRule>
  </conditionalFormatting>
  <conditionalFormatting sqref="F246">
    <cfRule type="expression" dxfId="1064" priority="226">
      <formula>MOD(ROW(),2)=0</formula>
    </cfRule>
  </conditionalFormatting>
  <conditionalFormatting sqref="F247">
    <cfRule type="expression" dxfId="1063" priority="224">
      <formula>MOD(ROW(),2)=0</formula>
    </cfRule>
  </conditionalFormatting>
  <conditionalFormatting sqref="F248">
    <cfRule type="expression" dxfId="1062" priority="223">
      <formula>MOD(ROW(),2)=0</formula>
    </cfRule>
  </conditionalFormatting>
  <conditionalFormatting sqref="E248">
    <cfRule type="expression" dxfId="1061" priority="222">
      <formula>MOD(ROW(),2)=0</formula>
    </cfRule>
  </conditionalFormatting>
  <conditionalFormatting sqref="E247">
    <cfRule type="expression" dxfId="1060" priority="217">
      <formula>MOD(ROW(),2)=0</formula>
    </cfRule>
  </conditionalFormatting>
  <conditionalFormatting sqref="F249">
    <cfRule type="expression" dxfId="1059" priority="216">
      <formula>MOD(ROW(),2)=0</formula>
    </cfRule>
  </conditionalFormatting>
  <conditionalFormatting sqref="E249">
    <cfRule type="expression" dxfId="1058" priority="215">
      <formula>MOD(ROW(),2)=0</formula>
    </cfRule>
  </conditionalFormatting>
  <conditionalFormatting sqref="F250">
    <cfRule type="expression" dxfId="1057" priority="214">
      <formula>MOD(ROW(),2)=0</formula>
    </cfRule>
  </conditionalFormatting>
  <conditionalFormatting sqref="E250">
    <cfRule type="expression" dxfId="1056" priority="213">
      <formula>MOD(ROW(),2)=0</formula>
    </cfRule>
  </conditionalFormatting>
  <conditionalFormatting sqref="K244:K246 K255:K282 K285:K294 K60:K87 K91:K234 K6:K55 K236:K242 K57 K301:K387 K394:K405">
    <cfRule type="expression" dxfId="1053" priority="202">
      <formula>MOD(ROW(),2)=0</formula>
    </cfRule>
  </conditionalFormatting>
  <conditionalFormatting sqref="K58">
    <cfRule type="expression" dxfId="1052" priority="200">
      <formula>MOD(ROW(),2)=0</formula>
    </cfRule>
  </conditionalFormatting>
  <conditionalFormatting sqref="K253">
    <cfRule type="expression" dxfId="1051" priority="199">
      <formula>MOD(ROW(),2)=0</formula>
    </cfRule>
  </conditionalFormatting>
  <conditionalFormatting sqref="K59">
    <cfRule type="expression" dxfId="1050" priority="198">
      <formula>MOD(ROW(),2)=0</formula>
    </cfRule>
  </conditionalFormatting>
  <conditionalFormatting sqref="K254">
    <cfRule type="expression" dxfId="1049" priority="196">
      <formula>MOD(ROW(),2)=0</formula>
    </cfRule>
  </conditionalFormatting>
  <conditionalFormatting sqref="K235">
    <cfRule type="expression" dxfId="1048" priority="195">
      <formula>MOD(ROW(),2)=0</formula>
    </cfRule>
  </conditionalFormatting>
  <conditionalFormatting sqref="K89">
    <cfRule type="expression" dxfId="1047" priority="194">
      <formula>MOD(ROW(),2)=0</formula>
    </cfRule>
  </conditionalFormatting>
  <conditionalFormatting sqref="K243">
    <cfRule type="expression" dxfId="1046" priority="193">
      <formula>MOD(ROW(),2)=0</formula>
    </cfRule>
  </conditionalFormatting>
  <conditionalFormatting sqref="K90">
    <cfRule type="expression" dxfId="1045" priority="192">
      <formula>MOD(ROW(),2)=0</formula>
    </cfRule>
  </conditionalFormatting>
  <conditionalFormatting sqref="K56">
    <cfRule type="expression" dxfId="1044" priority="191">
      <formula>MOD(ROW(),2)=0</formula>
    </cfRule>
  </conditionalFormatting>
  <conditionalFormatting sqref="K283">
    <cfRule type="expression" dxfId="1043" priority="190">
      <formula>MOD(ROW(),2)=0</formula>
    </cfRule>
  </conditionalFormatting>
  <conditionalFormatting sqref="K284">
    <cfRule type="expression" dxfId="1042" priority="189">
      <formula>MOD(ROW(),2)=0</formula>
    </cfRule>
  </conditionalFormatting>
  <conditionalFormatting sqref="K88">
    <cfRule type="expression" dxfId="1041" priority="188">
      <formula>MOD(ROW(),2)=0</formula>
    </cfRule>
  </conditionalFormatting>
  <conditionalFormatting sqref="K295:K300">
    <cfRule type="expression" dxfId="1040" priority="187">
      <formula>MOD(ROW(),2)=0</formula>
    </cfRule>
  </conditionalFormatting>
  <conditionalFormatting sqref="E6:J55 E388:F395 H394:J399 E220:J220 E60:F63 F64 F255:F256 F269:F270 F275:F277 E257:F268 E271:F274 F244 F241:F242 E253:J254 E57:J59 F56:J56 E278:F282 F283 E295:J387 H60:J64 I223:J230 H255:J294 E292:F294 E285:F285 F286:F291 I65:J219 F209:F219 E226:F228 E405:J405 F400:J404 F221:F225 H221:J222 F396:F399 E251:F252 H231:J246 H388:I393 H247:I252">
    <cfRule type="expression" dxfId="1039" priority="373">
      <formula>MOD(ROW(),2)=0</formula>
    </cfRule>
  </conditionalFormatting>
  <conditionalFormatting sqref="B6:B405">
    <cfRule type="expression" dxfId="1038" priority="372">
      <formula>MOD(ROW(),2)=0</formula>
    </cfRule>
  </conditionalFormatting>
  <conditionalFormatting sqref="G255">
    <cfRule type="expression" dxfId="1037" priority="336">
      <formula>MOD(ROW(),2)=0</formula>
    </cfRule>
  </conditionalFormatting>
  <conditionalFormatting sqref="E255">
    <cfRule type="expression" dxfId="1036" priority="335">
      <formula>MOD(ROW(),2)=0</formula>
    </cfRule>
  </conditionalFormatting>
  <conditionalFormatting sqref="G269">
    <cfRule type="expression" dxfId="1035" priority="334">
      <formula>MOD(ROW(),2)=0</formula>
    </cfRule>
  </conditionalFormatting>
  <conditionalFormatting sqref="E269">
    <cfRule type="expression" dxfId="1034" priority="333">
      <formula>MOD(ROW(),2)=0</formula>
    </cfRule>
  </conditionalFormatting>
  <conditionalFormatting sqref="G256">
    <cfRule type="expression" dxfId="1033" priority="332">
      <formula>MOD(ROW(),2)=0</formula>
    </cfRule>
  </conditionalFormatting>
  <conditionalFormatting sqref="E256">
    <cfRule type="expression" dxfId="1032" priority="331">
      <formula>MOD(ROW(),2)=0</formula>
    </cfRule>
  </conditionalFormatting>
  <conditionalFormatting sqref="G270">
    <cfRule type="expression" dxfId="1031" priority="330">
      <formula>MOD(ROW(),2)=0</formula>
    </cfRule>
  </conditionalFormatting>
  <conditionalFormatting sqref="E270">
    <cfRule type="expression" dxfId="1030" priority="329">
      <formula>MOD(ROW(),2)=0</formula>
    </cfRule>
  </conditionalFormatting>
  <conditionalFormatting sqref="G261">
    <cfRule type="expression" dxfId="1029" priority="328">
      <formula>MOD(ROW(),2)=0</formula>
    </cfRule>
  </conditionalFormatting>
  <conditionalFormatting sqref="G275">
    <cfRule type="expression" dxfId="1028" priority="327">
      <formula>MOD(ROW(),2)=0</formula>
    </cfRule>
  </conditionalFormatting>
  <conditionalFormatting sqref="E275">
    <cfRule type="expression" dxfId="1027" priority="326">
      <formula>MOD(ROW(),2)=0</formula>
    </cfRule>
  </conditionalFormatting>
  <conditionalFormatting sqref="G262">
    <cfRule type="expression" dxfId="1026" priority="325">
      <formula>MOD(ROW(),2)=0</formula>
    </cfRule>
  </conditionalFormatting>
  <conditionalFormatting sqref="G276">
    <cfRule type="expression" dxfId="1025" priority="324">
      <formula>MOD(ROW(),2)=0</formula>
    </cfRule>
  </conditionalFormatting>
  <conditionalFormatting sqref="E276">
    <cfRule type="expression" dxfId="1024" priority="323">
      <formula>MOD(ROW(),2)=0</formula>
    </cfRule>
  </conditionalFormatting>
  <conditionalFormatting sqref="G263">
    <cfRule type="expression" dxfId="1023" priority="322">
      <formula>MOD(ROW(),2)=0</formula>
    </cfRule>
  </conditionalFormatting>
  <conditionalFormatting sqref="G278">
    <cfRule type="expression" dxfId="1022" priority="318">
      <formula>MOD(ROW(),2)=0</formula>
    </cfRule>
  </conditionalFormatting>
  <conditionalFormatting sqref="G266">
    <cfRule type="expression" dxfId="1021" priority="315">
      <formula>MOD(ROW(),2)=0</formula>
    </cfRule>
  </conditionalFormatting>
  <conditionalFormatting sqref="G280">
    <cfRule type="expression" dxfId="1020" priority="314">
      <formula>MOD(ROW(),2)=0</formula>
    </cfRule>
  </conditionalFormatting>
  <conditionalFormatting sqref="G267">
    <cfRule type="expression" dxfId="1019" priority="313">
      <formula>MOD(ROW(),2)=0</formula>
    </cfRule>
  </conditionalFormatting>
  <conditionalFormatting sqref="G281">
    <cfRule type="expression" dxfId="1018" priority="312">
      <formula>MOD(ROW(),2)=0</formula>
    </cfRule>
  </conditionalFormatting>
  <conditionalFormatting sqref="G268">
    <cfRule type="expression" dxfId="1017" priority="311">
      <formula>MOD(ROW(),2)=0</formula>
    </cfRule>
  </conditionalFormatting>
  <conditionalFormatting sqref="G282">
    <cfRule type="expression" dxfId="1016" priority="310">
      <formula>MOD(ROW(),2)=0</formula>
    </cfRule>
  </conditionalFormatting>
  <conditionalFormatting sqref="G257">
    <cfRule type="expression" dxfId="1015" priority="309">
      <formula>MOD(ROW(),2)=0</formula>
    </cfRule>
  </conditionalFormatting>
  <conditionalFormatting sqref="G271">
    <cfRule type="expression" dxfId="1014" priority="308">
      <formula>MOD(ROW(),2)=0</formula>
    </cfRule>
  </conditionalFormatting>
  <conditionalFormatting sqref="G258">
    <cfRule type="expression" dxfId="1013" priority="307">
      <formula>MOD(ROW(),2)=0</formula>
    </cfRule>
  </conditionalFormatting>
  <conditionalFormatting sqref="G272">
    <cfRule type="expression" dxfId="1012" priority="306">
      <formula>MOD(ROW(),2)=0</formula>
    </cfRule>
  </conditionalFormatting>
  <conditionalFormatting sqref="G259">
    <cfRule type="expression" dxfId="1011" priority="305">
      <formula>MOD(ROW(),2)=0</formula>
    </cfRule>
  </conditionalFormatting>
  <conditionalFormatting sqref="G273">
    <cfRule type="expression" dxfId="1010" priority="304">
      <formula>MOD(ROW(),2)=0</formula>
    </cfRule>
  </conditionalFormatting>
  <conditionalFormatting sqref="G260">
    <cfRule type="expression" dxfId="1009" priority="303">
      <formula>MOD(ROW(),2)=0</formula>
    </cfRule>
  </conditionalFormatting>
  <conditionalFormatting sqref="G274">
    <cfRule type="expression" dxfId="1008" priority="302">
      <formula>MOD(ROW(),2)=0</formula>
    </cfRule>
  </conditionalFormatting>
  <conditionalFormatting sqref="F243">
    <cfRule type="expression" dxfId="1006" priority="297">
      <formula>MOD(ROW(),2)=0</formula>
    </cfRule>
  </conditionalFormatting>
  <conditionalFormatting sqref="F248">
    <cfRule type="expression" dxfId="1005" priority="286">
      <formula>MOD(ROW(),2)=0</formula>
    </cfRule>
  </conditionalFormatting>
  <conditionalFormatting sqref="E248">
    <cfRule type="expression" dxfId="1004" priority="285">
      <formula>MOD(ROW(),2)=0</formula>
    </cfRule>
  </conditionalFormatting>
  <conditionalFormatting sqref="E283">
    <cfRule type="expression" dxfId="1001" priority="273">
      <formula>MOD(ROW(),2)=0</formula>
    </cfRule>
  </conditionalFormatting>
  <conditionalFormatting sqref="E288">
    <cfRule type="expression" dxfId="1000" priority="272">
      <formula>MOD(ROW(),2)=0</formula>
    </cfRule>
  </conditionalFormatting>
  <conditionalFormatting sqref="G289">
    <cfRule type="expression" dxfId="999" priority="271">
      <formula>MOD(ROW(),2)=0</formula>
    </cfRule>
  </conditionalFormatting>
  <conditionalFormatting sqref="G290">
    <cfRule type="expression" dxfId="998" priority="270">
      <formula>MOD(ROW(),2)=0</formula>
    </cfRule>
  </conditionalFormatting>
  <conditionalFormatting sqref="E289">
    <cfRule type="expression" dxfId="997" priority="269">
      <formula>MOD(ROW(),2)=0</formula>
    </cfRule>
  </conditionalFormatting>
  <conditionalFormatting sqref="H132:H147 H124:H127">
    <cfRule type="expression" dxfId="996" priority="181">
      <formula>MOD(ROW(),2)=0</formula>
    </cfRule>
  </conditionalFormatting>
  <conditionalFormatting sqref="H76:H123 H148:H162 H172:H219">
    <cfRule type="expression" dxfId="995" priority="180">
      <formula>MOD(ROW(),2)=0</formula>
    </cfRule>
  </conditionalFormatting>
  <conditionalFormatting sqref="H128:H131">
    <cfRule type="expression" dxfId="994" priority="179">
      <formula>MOD(ROW(),2)=0</formula>
    </cfRule>
  </conditionalFormatting>
  <conditionalFormatting sqref="H163:H164">
    <cfRule type="expression" dxfId="993" priority="178">
      <formula>MOD(ROW(),2)=0</formula>
    </cfRule>
  </conditionalFormatting>
  <conditionalFormatting sqref="H165:H171">
    <cfRule type="expression" dxfId="992" priority="177">
      <formula>MOD(ROW(),2)=0</formula>
    </cfRule>
  </conditionalFormatting>
  <conditionalFormatting sqref="E196:E219">
    <cfRule type="expression" dxfId="991" priority="176">
      <formula>MOD(ROW(),2)=0</formula>
    </cfRule>
  </conditionalFormatting>
  <conditionalFormatting sqref="G196:G197">
    <cfRule type="expression" dxfId="990" priority="175">
      <formula>MOD(ROW(),2)=0</formula>
    </cfRule>
  </conditionalFormatting>
  <conditionalFormatting sqref="G198:G199">
    <cfRule type="expression" dxfId="989" priority="174">
      <formula>MOD(ROW(),2)=0</formula>
    </cfRule>
  </conditionalFormatting>
  <conditionalFormatting sqref="G204:G205">
    <cfRule type="expression" dxfId="988" priority="173">
      <formula>MOD(ROW(),2)=0</formula>
    </cfRule>
  </conditionalFormatting>
  <conditionalFormatting sqref="G206:G207">
    <cfRule type="expression" dxfId="987" priority="172">
      <formula>MOD(ROW(),2)=0</formula>
    </cfRule>
  </conditionalFormatting>
  <conditionalFormatting sqref="G208:G209">
    <cfRule type="expression" dxfId="986" priority="171">
      <formula>MOD(ROW(),2)=0</formula>
    </cfRule>
  </conditionalFormatting>
  <conditionalFormatting sqref="G210:G211">
    <cfRule type="expression" dxfId="985" priority="170">
      <formula>MOD(ROW(),2)=0</formula>
    </cfRule>
  </conditionalFormatting>
  <conditionalFormatting sqref="G212:G213">
    <cfRule type="expression" dxfId="984" priority="169">
      <formula>MOD(ROW(),2)=0</formula>
    </cfRule>
  </conditionalFormatting>
  <conditionalFormatting sqref="G214:G215">
    <cfRule type="expression" dxfId="983" priority="168">
      <formula>MOD(ROW(),2)=0</formula>
    </cfRule>
  </conditionalFormatting>
  <conditionalFormatting sqref="G216:G217">
    <cfRule type="expression" dxfId="982" priority="167">
      <formula>MOD(ROW(),2)=0</formula>
    </cfRule>
  </conditionalFormatting>
  <conditionalFormatting sqref="G218:G219">
    <cfRule type="expression" dxfId="981" priority="166">
      <formula>MOD(ROW(),2)=0</formula>
    </cfRule>
  </conditionalFormatting>
  <conditionalFormatting sqref="G200:G201">
    <cfRule type="expression" dxfId="980" priority="165">
      <formula>MOD(ROW(),2)=0</formula>
    </cfRule>
  </conditionalFormatting>
  <conditionalFormatting sqref="G202:G203">
    <cfRule type="expression" dxfId="979" priority="164">
      <formula>MOD(ROW(),2)=0</formula>
    </cfRule>
  </conditionalFormatting>
  <conditionalFormatting sqref="E76:E99">
    <cfRule type="expression" dxfId="978" priority="163">
      <formula>MOD(ROW(),2)=0</formula>
    </cfRule>
  </conditionalFormatting>
  <conditionalFormatting sqref="G76:G77">
    <cfRule type="expression" dxfId="977" priority="162">
      <formula>MOD(ROW(),2)=0</formula>
    </cfRule>
  </conditionalFormatting>
  <conditionalFormatting sqref="G78:G79">
    <cfRule type="expression" dxfId="976" priority="161">
      <formula>MOD(ROW(),2)=0</formula>
    </cfRule>
  </conditionalFormatting>
  <conditionalFormatting sqref="G84:G85">
    <cfRule type="expression" dxfId="975" priority="160">
      <formula>MOD(ROW(),2)=0</formula>
    </cfRule>
  </conditionalFormatting>
  <conditionalFormatting sqref="G86:G87">
    <cfRule type="expression" dxfId="974" priority="159">
      <formula>MOD(ROW(),2)=0</formula>
    </cfRule>
  </conditionalFormatting>
  <conditionalFormatting sqref="G88:G89">
    <cfRule type="expression" dxfId="973" priority="158">
      <formula>MOD(ROW(),2)=0</formula>
    </cfRule>
  </conditionalFormatting>
  <conditionalFormatting sqref="G90:G91">
    <cfRule type="expression" dxfId="972" priority="157">
      <formula>MOD(ROW(),2)=0</formula>
    </cfRule>
  </conditionalFormatting>
  <conditionalFormatting sqref="G92:G93">
    <cfRule type="expression" dxfId="971" priority="156">
      <formula>MOD(ROW(),2)=0</formula>
    </cfRule>
  </conditionalFormatting>
  <conditionalFormatting sqref="G94:G95">
    <cfRule type="expression" dxfId="970" priority="155">
      <formula>MOD(ROW(),2)=0</formula>
    </cfRule>
  </conditionalFormatting>
  <conditionalFormatting sqref="G96:G97">
    <cfRule type="expression" dxfId="969" priority="154">
      <formula>MOD(ROW(),2)=0</formula>
    </cfRule>
  </conditionalFormatting>
  <conditionalFormatting sqref="G98:G99">
    <cfRule type="expression" dxfId="968" priority="153">
      <formula>MOD(ROW(),2)=0</formula>
    </cfRule>
  </conditionalFormatting>
  <conditionalFormatting sqref="G80:G81">
    <cfRule type="expression" dxfId="967" priority="152">
      <formula>MOD(ROW(),2)=0</formula>
    </cfRule>
  </conditionalFormatting>
  <conditionalFormatting sqref="G82:G83">
    <cfRule type="expression" dxfId="966" priority="151">
      <formula>MOD(ROW(),2)=0</formula>
    </cfRule>
  </conditionalFormatting>
  <conditionalFormatting sqref="E100:E123">
    <cfRule type="expression" dxfId="965" priority="150">
      <formula>MOD(ROW(),2)=0</formula>
    </cfRule>
  </conditionalFormatting>
  <conditionalFormatting sqref="E124:E147">
    <cfRule type="expression" dxfId="964" priority="149">
      <formula>MOD(ROW(),2)=0</formula>
    </cfRule>
  </conditionalFormatting>
  <conditionalFormatting sqref="G100:G101">
    <cfRule type="expression" dxfId="963" priority="148">
      <formula>MOD(ROW(),2)=0</formula>
    </cfRule>
  </conditionalFormatting>
  <conditionalFormatting sqref="G102:G103">
    <cfRule type="expression" dxfId="962" priority="147">
      <formula>MOD(ROW(),2)=0</formula>
    </cfRule>
  </conditionalFormatting>
  <conditionalFormatting sqref="G108:G109">
    <cfRule type="expression" dxfId="961" priority="146">
      <formula>MOD(ROW(),2)=0</formula>
    </cfRule>
  </conditionalFormatting>
  <conditionalFormatting sqref="G110:G111">
    <cfRule type="expression" dxfId="960" priority="145">
      <formula>MOD(ROW(),2)=0</formula>
    </cfRule>
  </conditionalFormatting>
  <conditionalFormatting sqref="G112:G113">
    <cfRule type="expression" dxfId="959" priority="144">
      <formula>MOD(ROW(),2)=0</formula>
    </cfRule>
  </conditionalFormatting>
  <conditionalFormatting sqref="G114:G115">
    <cfRule type="expression" dxfId="958" priority="143">
      <formula>MOD(ROW(),2)=0</formula>
    </cfRule>
  </conditionalFormatting>
  <conditionalFormatting sqref="G116:G117">
    <cfRule type="expression" dxfId="957" priority="142">
      <formula>MOD(ROW(),2)=0</formula>
    </cfRule>
  </conditionalFormatting>
  <conditionalFormatting sqref="G118:G119">
    <cfRule type="expression" dxfId="956" priority="141">
      <formula>MOD(ROW(),2)=0</formula>
    </cfRule>
  </conditionalFormatting>
  <conditionalFormatting sqref="G120:G121">
    <cfRule type="expression" dxfId="955" priority="140">
      <formula>MOD(ROW(),2)=0</formula>
    </cfRule>
  </conditionalFormatting>
  <conditionalFormatting sqref="G122:G123">
    <cfRule type="expression" dxfId="954" priority="139">
      <formula>MOD(ROW(),2)=0</formula>
    </cfRule>
  </conditionalFormatting>
  <conditionalFormatting sqref="G104:G105">
    <cfRule type="expression" dxfId="953" priority="138">
      <formula>MOD(ROW(),2)=0</formula>
    </cfRule>
  </conditionalFormatting>
  <conditionalFormatting sqref="G106:G107">
    <cfRule type="expression" dxfId="952" priority="137">
      <formula>MOD(ROW(),2)=0</formula>
    </cfRule>
  </conditionalFormatting>
  <conditionalFormatting sqref="G124:G125">
    <cfRule type="expression" dxfId="951" priority="136">
      <formula>MOD(ROW(),2)=0</formula>
    </cfRule>
  </conditionalFormatting>
  <conditionalFormatting sqref="G126:G127">
    <cfRule type="expression" dxfId="950" priority="135">
      <formula>MOD(ROW(),2)=0</formula>
    </cfRule>
  </conditionalFormatting>
  <conditionalFormatting sqref="G132:G133">
    <cfRule type="expression" dxfId="949" priority="134">
      <formula>MOD(ROW(),2)=0</formula>
    </cfRule>
  </conditionalFormatting>
  <conditionalFormatting sqref="G134:G135">
    <cfRule type="expression" dxfId="948" priority="133">
      <formula>MOD(ROW(),2)=0</formula>
    </cfRule>
  </conditionalFormatting>
  <conditionalFormatting sqref="G136:G137">
    <cfRule type="expression" dxfId="947" priority="132">
      <formula>MOD(ROW(),2)=0</formula>
    </cfRule>
  </conditionalFormatting>
  <conditionalFormatting sqref="G138:G139">
    <cfRule type="expression" dxfId="946" priority="131">
      <formula>MOD(ROW(),2)=0</formula>
    </cfRule>
  </conditionalFormatting>
  <conditionalFormatting sqref="G140:G141">
    <cfRule type="expression" dxfId="945" priority="130">
      <formula>MOD(ROW(),2)=0</formula>
    </cfRule>
  </conditionalFormatting>
  <conditionalFormatting sqref="G142:G143">
    <cfRule type="expression" dxfId="944" priority="129">
      <formula>MOD(ROW(),2)=0</formula>
    </cfRule>
  </conditionalFormatting>
  <conditionalFormatting sqref="G144:G145">
    <cfRule type="expression" dxfId="943" priority="128">
      <formula>MOD(ROW(),2)=0</formula>
    </cfRule>
  </conditionalFormatting>
  <conditionalFormatting sqref="G146:G147">
    <cfRule type="expression" dxfId="942" priority="127">
      <formula>MOD(ROW(),2)=0</formula>
    </cfRule>
  </conditionalFormatting>
  <conditionalFormatting sqref="G128:G129">
    <cfRule type="expression" dxfId="941" priority="126">
      <formula>MOD(ROW(),2)=0</formula>
    </cfRule>
  </conditionalFormatting>
  <conditionalFormatting sqref="G130:G131">
    <cfRule type="expression" dxfId="940" priority="125">
      <formula>MOD(ROW(),2)=0</formula>
    </cfRule>
  </conditionalFormatting>
  <conditionalFormatting sqref="E148:E171">
    <cfRule type="expression" dxfId="939" priority="124">
      <formula>MOD(ROW(),2)=0</formula>
    </cfRule>
  </conditionalFormatting>
  <conditionalFormatting sqref="G158:G159">
    <cfRule type="expression" dxfId="938" priority="123">
      <formula>MOD(ROW(),2)=0</formula>
    </cfRule>
  </conditionalFormatting>
  <conditionalFormatting sqref="G160:G161">
    <cfRule type="expression" dxfId="937" priority="122">
      <formula>MOD(ROW(),2)=0</formula>
    </cfRule>
  </conditionalFormatting>
  <conditionalFormatting sqref="G162:G163">
    <cfRule type="expression" dxfId="936" priority="121">
      <formula>MOD(ROW(),2)=0</formula>
    </cfRule>
  </conditionalFormatting>
  <conditionalFormatting sqref="G164:G165">
    <cfRule type="expression" dxfId="935" priority="120">
      <formula>MOD(ROW(),2)=0</formula>
    </cfRule>
  </conditionalFormatting>
  <conditionalFormatting sqref="G168:G169">
    <cfRule type="expression" dxfId="934" priority="119">
      <formula>MOD(ROW(),2)=0</formula>
    </cfRule>
  </conditionalFormatting>
  <conditionalFormatting sqref="G170:G171">
    <cfRule type="expression" dxfId="933" priority="118">
      <formula>MOD(ROW(),2)=0</formula>
    </cfRule>
  </conditionalFormatting>
  <conditionalFormatting sqref="G152:G153">
    <cfRule type="expression" dxfId="932" priority="117">
      <formula>MOD(ROW(),2)=0</formula>
    </cfRule>
  </conditionalFormatting>
  <conditionalFormatting sqref="G154:G155">
    <cfRule type="expression" dxfId="931" priority="116">
      <formula>MOD(ROW(),2)=0</formula>
    </cfRule>
  </conditionalFormatting>
  <conditionalFormatting sqref="E172:E185 E190:E195">
    <cfRule type="expression" dxfId="930" priority="115">
      <formula>MOD(ROW(),2)=0</formula>
    </cfRule>
  </conditionalFormatting>
  <conditionalFormatting sqref="G182:G183">
    <cfRule type="expression" dxfId="929" priority="114">
      <formula>MOD(ROW(),2)=0</formula>
    </cfRule>
  </conditionalFormatting>
  <conditionalFormatting sqref="G184:G185">
    <cfRule type="expression" dxfId="928" priority="113">
      <formula>MOD(ROW(),2)=0</formula>
    </cfRule>
  </conditionalFormatting>
  <conditionalFormatting sqref="G186:G187">
    <cfRule type="expression" dxfId="927" priority="112">
      <formula>MOD(ROW(),2)=0</formula>
    </cfRule>
  </conditionalFormatting>
  <conditionalFormatting sqref="G188:G189">
    <cfRule type="expression" dxfId="926" priority="111">
      <formula>MOD(ROW(),2)=0</formula>
    </cfRule>
  </conditionalFormatting>
  <conditionalFormatting sqref="G192:G193">
    <cfRule type="expression" dxfId="925" priority="110">
      <formula>MOD(ROW(),2)=0</formula>
    </cfRule>
  </conditionalFormatting>
  <conditionalFormatting sqref="G194:G195">
    <cfRule type="expression" dxfId="924" priority="109">
      <formula>MOD(ROW(),2)=0</formula>
    </cfRule>
  </conditionalFormatting>
  <conditionalFormatting sqref="G176:G177">
    <cfRule type="expression" dxfId="923" priority="108">
      <formula>MOD(ROW(),2)=0</formula>
    </cfRule>
  </conditionalFormatting>
  <conditionalFormatting sqref="G178:G179">
    <cfRule type="expression" dxfId="922" priority="107">
      <formula>MOD(ROW(),2)=0</formula>
    </cfRule>
  </conditionalFormatting>
  <conditionalFormatting sqref="G225">
    <cfRule type="expression" dxfId="921" priority="106">
      <formula>MOD(ROW(),2)=0</formula>
    </cfRule>
  </conditionalFormatting>
  <conditionalFormatting sqref="G246">
    <cfRule type="expression" dxfId="920" priority="105">
      <formula>MOD(ROW(),2)=0</formula>
    </cfRule>
  </conditionalFormatting>
  <conditionalFormatting sqref="E224">
    <cfRule type="expression" dxfId="919" priority="86">
      <formula>MOD(ROW(),2)=0</formula>
    </cfRule>
  </conditionalFormatting>
  <conditionalFormatting sqref="G74:G75">
    <cfRule type="expression" dxfId="917" priority="102">
      <formula>MOD(ROW(),2)=0</formula>
    </cfRule>
  </conditionalFormatting>
  <conditionalFormatting sqref="E74:E75">
    <cfRule type="expression" dxfId="916" priority="101">
      <formula>MOD(ROW(),2)=0</formula>
    </cfRule>
  </conditionalFormatting>
  <conditionalFormatting sqref="E225">
    <cfRule type="expression" dxfId="915" priority="100">
      <formula>MOD(ROW(),2)=0</formula>
    </cfRule>
  </conditionalFormatting>
  <conditionalFormatting sqref="G223">
    <cfRule type="expression" dxfId="914" priority="81">
      <formula>MOD(ROW(),2)=0</formula>
    </cfRule>
  </conditionalFormatting>
  <conditionalFormatting sqref="E246">
    <cfRule type="expression" dxfId="912" priority="97">
      <formula>MOD(ROW(),2)=0</formula>
    </cfRule>
  </conditionalFormatting>
  <conditionalFormatting sqref="E404">
    <cfRule type="expression" dxfId="911" priority="96">
      <formula>MOD(ROW(),2)=0</formula>
    </cfRule>
  </conditionalFormatting>
  <conditionalFormatting sqref="G224">
    <cfRule type="expression" dxfId="910" priority="95">
      <formula>MOD(ROW(),2)=0</formula>
    </cfRule>
  </conditionalFormatting>
  <conditionalFormatting sqref="E244">
    <cfRule type="expression" dxfId="909" priority="76">
      <formula>MOD(ROW(),2)=0</formula>
    </cfRule>
  </conditionalFormatting>
  <conditionalFormatting sqref="G72:G73">
    <cfRule type="expression" dxfId="907" priority="91">
      <formula>MOD(ROW(),2)=0</formula>
    </cfRule>
  </conditionalFormatting>
  <conditionalFormatting sqref="E72">
    <cfRule type="expression" dxfId="906" priority="90">
      <formula>MOD(ROW(),2)=0</formula>
    </cfRule>
  </conditionalFormatting>
  <conditionalFormatting sqref="E73">
    <cfRule type="expression" dxfId="905" priority="89">
      <formula>MOD(ROW(),2)=0</formula>
    </cfRule>
  </conditionalFormatting>
  <conditionalFormatting sqref="G243">
    <cfRule type="expression" dxfId="903" priority="69">
      <formula>MOD(ROW(),2)=0</formula>
    </cfRule>
  </conditionalFormatting>
  <conditionalFormatting sqref="G245">
    <cfRule type="expression" dxfId="901" priority="85">
      <formula>MOD(ROW(),2)=0</formula>
    </cfRule>
  </conditionalFormatting>
  <conditionalFormatting sqref="E245">
    <cfRule type="expression" dxfId="900" priority="84">
      <formula>MOD(ROW(),2)=0</formula>
    </cfRule>
  </conditionalFormatting>
  <conditionalFormatting sqref="E403">
    <cfRule type="expression" dxfId="899" priority="83">
      <formula>MOD(ROW(),2)=0</formula>
    </cfRule>
  </conditionalFormatting>
  <conditionalFormatting sqref="E402">
    <cfRule type="expression" dxfId="898" priority="82">
      <formula>MOD(ROW(),2)=0</formula>
    </cfRule>
  </conditionalFormatting>
  <conditionalFormatting sqref="G244">
    <cfRule type="expression" dxfId="896" priority="80">
      <formula>MOD(ROW(),2)=0</formula>
    </cfRule>
  </conditionalFormatting>
  <conditionalFormatting sqref="G70:G71">
    <cfRule type="expression" dxfId="893" priority="77">
      <formula>MOD(ROW(),2)=0</formula>
    </cfRule>
  </conditionalFormatting>
  <conditionalFormatting sqref="G242">
    <cfRule type="expression" dxfId="890" priority="56">
      <formula>MOD(ROW(),2)=0</formula>
    </cfRule>
  </conditionalFormatting>
  <conditionalFormatting sqref="E223">
    <cfRule type="expression" dxfId="889" priority="73">
      <formula>MOD(ROW(),2)=0</formula>
    </cfRule>
  </conditionalFormatting>
  <conditionalFormatting sqref="E400">
    <cfRule type="expression" dxfId="888" priority="72">
      <formula>MOD(ROW(),2)=0</formula>
    </cfRule>
  </conditionalFormatting>
  <conditionalFormatting sqref="E401">
    <cfRule type="expression" dxfId="887" priority="71">
      <formula>MOD(ROW(),2)=0</formula>
    </cfRule>
  </conditionalFormatting>
  <conditionalFormatting sqref="G222">
    <cfRule type="expression" dxfId="886" priority="70">
      <formula>MOD(ROW(),2)=0</formula>
    </cfRule>
  </conditionalFormatting>
  <conditionalFormatting sqref="G68:G69">
    <cfRule type="expression" dxfId="882" priority="66">
      <formula>MOD(ROW(),2)=0</formula>
    </cfRule>
  </conditionalFormatting>
  <conditionalFormatting sqref="E68">
    <cfRule type="expression" dxfId="881" priority="65">
      <formula>MOD(ROW(),2)=0</formula>
    </cfRule>
  </conditionalFormatting>
  <conditionalFormatting sqref="E69">
    <cfRule type="expression" dxfId="880" priority="64">
      <formula>MOD(ROW(),2)=0</formula>
    </cfRule>
  </conditionalFormatting>
  <conditionalFormatting sqref="E243">
    <cfRule type="expression" dxfId="879" priority="63">
      <formula>MOD(ROW(),2)=0</formula>
    </cfRule>
  </conditionalFormatting>
  <conditionalFormatting sqref="G247">
    <cfRule type="expression" dxfId="877" priority="43">
      <formula>MOD(ROW(),2)=0</formula>
    </cfRule>
  </conditionalFormatting>
  <conditionalFormatting sqref="E222">
    <cfRule type="expression" dxfId="876" priority="60">
      <formula>MOD(ROW(),2)=0</formula>
    </cfRule>
  </conditionalFormatting>
  <conditionalFormatting sqref="E398">
    <cfRule type="expression" dxfId="875" priority="59">
      <formula>MOD(ROW(),2)=0</formula>
    </cfRule>
  </conditionalFormatting>
  <conditionalFormatting sqref="E399">
    <cfRule type="expression" dxfId="874" priority="58">
      <formula>MOD(ROW(),2)=0</formula>
    </cfRule>
  </conditionalFormatting>
  <conditionalFormatting sqref="G221">
    <cfRule type="expression" dxfId="873" priority="57">
      <formula>MOD(ROW(),2)=0</formula>
    </cfRule>
  </conditionalFormatting>
  <conditionalFormatting sqref="K388:K393">
    <cfRule type="expression" dxfId="871" priority="37">
      <formula>MOD(ROW(),2)=0</formula>
    </cfRule>
  </conditionalFormatting>
  <conditionalFormatting sqref="G66:G67">
    <cfRule type="expression" dxfId="869" priority="53">
      <formula>MOD(ROW(),2)=0</formula>
    </cfRule>
  </conditionalFormatting>
  <conditionalFormatting sqref="E242">
    <cfRule type="expression" dxfId="868" priority="52">
      <formula>MOD(ROW(),2)=0</formula>
    </cfRule>
  </conditionalFormatting>
  <conditionalFormatting sqref="E186:E189">
    <cfRule type="expression" dxfId="866" priority="32">
      <formula>MOD(ROW(),2)=0</formula>
    </cfRule>
  </conditionalFormatting>
  <conditionalFormatting sqref="E221">
    <cfRule type="expression" dxfId="865" priority="49">
      <formula>MOD(ROW(),2)=0</formula>
    </cfRule>
  </conditionalFormatting>
  <conditionalFormatting sqref="E396">
    <cfRule type="expression" dxfId="864" priority="48">
      <formula>MOD(ROW(),2)=0</formula>
    </cfRule>
  </conditionalFormatting>
  <conditionalFormatting sqref="E397">
    <cfRule type="expression" dxfId="863" priority="47">
      <formula>MOD(ROW(),2)=0</formula>
    </cfRule>
  </conditionalFormatting>
  <conditionalFormatting sqref="G248">
    <cfRule type="expression" dxfId="861" priority="42">
      <formula>MOD(ROW(),2)=0</formula>
    </cfRule>
  </conditionalFormatting>
  <conditionalFormatting sqref="G249">
    <cfRule type="expression" dxfId="860" priority="41">
      <formula>MOD(ROW(),2)=0</formula>
    </cfRule>
  </conditionalFormatting>
  <conditionalFormatting sqref="G250">
    <cfRule type="expression" dxfId="859" priority="40">
      <formula>MOD(ROW(),2)=0</formula>
    </cfRule>
  </conditionalFormatting>
  <conditionalFormatting sqref="G251:G252">
    <cfRule type="expression" dxfId="858" priority="46">
      <formula>MOD(ROW(),2)=0</formula>
    </cfRule>
  </conditionalFormatting>
  <conditionalFormatting sqref="G247">
    <cfRule type="expression" dxfId="857" priority="45">
      <formula>MOD(ROW(),2)=0</formula>
    </cfRule>
  </conditionalFormatting>
  <conditionalFormatting sqref="G248">
    <cfRule type="expression" dxfId="856" priority="44">
      <formula>MOD(ROW(),2)=0</formula>
    </cfRule>
  </conditionalFormatting>
  <conditionalFormatting sqref="G388:G393">
    <cfRule type="expression" dxfId="855" priority="39">
      <formula>MOD(ROW(),2)=0</formula>
    </cfRule>
  </conditionalFormatting>
  <conditionalFormatting sqref="J388:J393">
    <cfRule type="expression" dxfId="853" priority="38">
      <formula>MOD(ROW(),2)=0</formula>
    </cfRule>
  </conditionalFormatting>
  <conditionalFormatting sqref="K247:K250">
    <cfRule type="expression" dxfId="852" priority="36">
      <formula>MOD(ROW(),2)=0</formula>
    </cfRule>
  </conditionalFormatting>
  <conditionalFormatting sqref="K251">
    <cfRule type="expression" dxfId="851" priority="35">
      <formula>MOD(ROW(),2)=0</formula>
    </cfRule>
  </conditionalFormatting>
  <conditionalFormatting sqref="K252">
    <cfRule type="expression" dxfId="850" priority="34">
      <formula>MOD(ROW(),2)=0</formula>
    </cfRule>
  </conditionalFormatting>
  <conditionalFormatting sqref="J247:J252">
    <cfRule type="expression" dxfId="849" priority="33">
      <formula>MOD(ROW(),2)=0</formula>
    </cfRule>
  </conditionalFormatting>
  <conditionalFormatting sqref="D235:D240">
    <cfRule type="expression" dxfId="847" priority="30">
      <formula>MOD(ROW(),2)=0</formula>
    </cfRule>
  </conditionalFormatting>
  <conditionalFormatting sqref="G235">
    <cfRule type="expression" dxfId="846" priority="29">
      <formula>MOD(ROW(),2)=0</formula>
    </cfRule>
  </conditionalFormatting>
  <conditionalFormatting sqref="E235:F235 F236:F240">
    <cfRule type="expression" dxfId="845" priority="31">
      <formula>MOD(ROW(),2)=0</formula>
    </cfRule>
  </conditionalFormatting>
  <conditionalFormatting sqref="G240">
    <cfRule type="expression" dxfId="844" priority="28">
      <formula>MOD(ROW(),2)=0</formula>
    </cfRule>
  </conditionalFormatting>
  <conditionalFormatting sqref="E240">
    <cfRule type="expression" dxfId="843" priority="27">
      <formula>MOD(ROW(),2)=0</formula>
    </cfRule>
  </conditionalFormatting>
  <conditionalFormatting sqref="G239">
    <cfRule type="expression" dxfId="842" priority="26">
      <formula>MOD(ROW(),2)=0</formula>
    </cfRule>
  </conditionalFormatting>
  <conditionalFormatting sqref="E239">
    <cfRule type="expression" dxfId="841" priority="25">
      <formula>MOD(ROW(),2)=0</formula>
    </cfRule>
  </conditionalFormatting>
  <conditionalFormatting sqref="G238">
    <cfRule type="expression" dxfId="840" priority="24">
      <formula>MOD(ROW(),2)=0</formula>
    </cfRule>
  </conditionalFormatting>
  <conditionalFormatting sqref="E238">
    <cfRule type="expression" dxfId="839" priority="23">
      <formula>MOD(ROW(),2)=0</formula>
    </cfRule>
  </conditionalFormatting>
  <conditionalFormatting sqref="G237">
    <cfRule type="expression" dxfId="838" priority="22">
      <formula>MOD(ROW(),2)=0</formula>
    </cfRule>
  </conditionalFormatting>
  <conditionalFormatting sqref="E237">
    <cfRule type="expression" dxfId="837" priority="21">
      <formula>MOD(ROW(),2)=0</formula>
    </cfRule>
  </conditionalFormatting>
  <conditionalFormatting sqref="G236">
    <cfRule type="expression" dxfId="836" priority="20">
      <formula>MOD(ROW(),2)=0</formula>
    </cfRule>
  </conditionalFormatting>
  <conditionalFormatting sqref="E236">
    <cfRule type="expression" dxfId="835" priority="19">
      <formula>MOD(ROW(),2)=0</formula>
    </cfRule>
  </conditionalFormatting>
  <conditionalFormatting sqref="D229:D234">
    <cfRule type="expression" dxfId="834" priority="17">
      <formula>MOD(ROW(),2)=0</formula>
    </cfRule>
  </conditionalFormatting>
  <conditionalFormatting sqref="G229">
    <cfRule type="expression" dxfId="833" priority="16">
      <formula>MOD(ROW(),2)=0</formula>
    </cfRule>
  </conditionalFormatting>
  <conditionalFormatting sqref="F231">
    <cfRule type="expression" dxfId="832" priority="12">
      <formula>MOD(ROW(),2)=0</formula>
    </cfRule>
  </conditionalFormatting>
  <conditionalFormatting sqref="F232">
    <cfRule type="expression" dxfId="831" priority="11">
      <formula>MOD(ROW(),2)=0</formula>
    </cfRule>
  </conditionalFormatting>
  <conditionalFormatting sqref="F229:F230">
    <cfRule type="expression" dxfId="830" priority="18">
      <formula>MOD(ROW(),2)=0</formula>
    </cfRule>
  </conditionalFormatting>
  <conditionalFormatting sqref="E229">
    <cfRule type="expression" dxfId="829" priority="15">
      <formula>MOD(ROW(),2)=0</formula>
    </cfRule>
  </conditionalFormatting>
  <conditionalFormatting sqref="F233">
    <cfRule type="expression" dxfId="828" priority="14">
      <formula>MOD(ROW(),2)=0</formula>
    </cfRule>
  </conditionalFormatting>
  <conditionalFormatting sqref="F234">
    <cfRule type="expression" dxfId="827" priority="13">
      <formula>MOD(ROW(),2)=0</formula>
    </cfRule>
  </conditionalFormatting>
  <conditionalFormatting sqref="G234">
    <cfRule type="expression" dxfId="826" priority="10">
      <formula>MOD(ROW(),2)=0</formula>
    </cfRule>
  </conditionalFormatting>
  <conditionalFormatting sqref="E234">
    <cfRule type="expression" dxfId="825" priority="9">
      <formula>MOD(ROW(),2)=0</formula>
    </cfRule>
  </conditionalFormatting>
  <conditionalFormatting sqref="G233">
    <cfRule type="expression" dxfId="824" priority="8">
      <formula>MOD(ROW(),2)=0</formula>
    </cfRule>
  </conditionalFormatting>
  <conditionalFormatting sqref="E233">
    <cfRule type="expression" dxfId="823" priority="7">
      <formula>MOD(ROW(),2)=0</formula>
    </cfRule>
  </conditionalFormatting>
  <conditionalFormatting sqref="G232">
    <cfRule type="expression" dxfId="822" priority="6">
      <formula>MOD(ROW(),2)=0</formula>
    </cfRule>
  </conditionalFormatting>
  <conditionalFormatting sqref="E232">
    <cfRule type="expression" dxfId="821" priority="5">
      <formula>MOD(ROW(),2)=0</formula>
    </cfRule>
  </conditionalFormatting>
  <conditionalFormatting sqref="G231">
    <cfRule type="expression" dxfId="820" priority="4">
      <formula>MOD(ROW(),2)=0</formula>
    </cfRule>
  </conditionalFormatting>
  <conditionalFormatting sqref="E231">
    <cfRule type="expression" dxfId="819" priority="3">
      <formula>MOD(ROW(),2)=0</formula>
    </cfRule>
  </conditionalFormatting>
  <conditionalFormatting sqref="G230">
    <cfRule type="expression" dxfId="818" priority="2">
      <formula>MOD(ROW(),2)=0</formula>
    </cfRule>
  </conditionalFormatting>
  <conditionalFormatting sqref="E230">
    <cfRule type="expression" dxfId="817" priority="1">
      <formula>MOD(ROW(),2)=0</formula>
    </cfRule>
  </conditionalFormatting>
  <hyperlinks>
    <hyperlink ref="AN6" location="'0'!A1" tooltip="X stave 0, Front" display="'0'!A1" xr:uid="{00000000-0004-0000-0C00-000000000000}"/>
    <hyperlink ref="AN7:AN10" location="'0'!A1" tooltip="X stave 0, Front" display="'0'!A1" xr:uid="{00000000-0004-0000-0C00-000001000000}"/>
    <hyperlink ref="AJ6" location="'0'!A1" tooltip="X stave 0, Front" display="'0'!A1" xr:uid="{00000000-0004-0000-0C00-000002000000}"/>
    <hyperlink ref="AJ7:AJ10" location="'0'!A1" tooltip="X stave 0, Front" display="'0'!A1" xr:uid="{00000000-0004-0000-0C00-000003000000}"/>
    <hyperlink ref="AH6" location="'0'!A1" tooltip="X stave 0, Front" display="'0'!A1" xr:uid="{00000000-0004-0000-0C00-000004000000}"/>
    <hyperlink ref="AH7:AH10" location="'0'!A1" tooltip="X stave 0, Front" display="'0'!A1" xr:uid="{00000000-0004-0000-0C00-000005000000}"/>
    <hyperlink ref="AJ6:AJ10" location="'2'!A1" tooltip="DCB 2" display="'2'!A1" xr:uid="{00000000-0004-0000-0C00-000006000000}"/>
    <hyperlink ref="AN6:AN10" location="'0'!A1" tooltip="DCB 0" display="'0'!A1" xr:uid="{00000000-0004-0000-0C00-000007000000}"/>
    <hyperlink ref="AL6" location="'0'!A1" tooltip="X stave 0, Front" display="'0'!A1" xr:uid="{00000000-0004-0000-0C00-000008000000}"/>
    <hyperlink ref="AL7:AL10" location="'0'!A1" tooltip="X stave 0, Front" display="'0'!A1" xr:uid="{00000000-0004-0000-0C00-000009000000}"/>
    <hyperlink ref="AL6:AL10" location="'1'!A1" tooltip="DCB 1" display="'1'!A1" xr:uid="{00000000-0004-0000-0C00-00000A000000}"/>
    <hyperlink ref="AH6:AH10" location="'3'!A1" display="'3'!A1" xr:uid="{00000000-0004-0000-0C00-00000B000000}"/>
    <hyperlink ref="AF6" location="'0'!A1" tooltip="X stave 0, Front" display="'0'!A1" xr:uid="{00000000-0004-0000-0C00-00000C000000}"/>
    <hyperlink ref="AF7:AF10" location="'0'!A1" tooltip="X stave 0, Front" display="'0'!A1" xr:uid="{00000000-0004-0000-0C00-00000D000000}"/>
    <hyperlink ref="AF6:AF10" location="'4'!A1" display="'4'!A1" xr:uid="{00000000-0004-0000-0C00-00000E000000}"/>
    <hyperlink ref="AD6" location="'0'!A1" tooltip="X stave 0, Front" display="'0'!A1" xr:uid="{00000000-0004-0000-0C00-00000F000000}"/>
    <hyperlink ref="AD7:AD10" location="'0'!A1" tooltip="X stave 0, Front" display="'0'!A1" xr:uid="{00000000-0004-0000-0C00-000010000000}"/>
    <hyperlink ref="AD6:AD10" location="'5'!A1" display="'5'!A1" xr:uid="{00000000-0004-0000-0C00-000011000000}"/>
    <hyperlink ref="AB6" location="'0'!A1" tooltip="X stave 0, Front" display="'0'!A1" xr:uid="{00000000-0004-0000-0C00-000012000000}"/>
    <hyperlink ref="AB7:AB10" location="'0'!A1" tooltip="X stave 0, Front" display="'0'!A1" xr:uid="{00000000-0004-0000-0C00-000013000000}"/>
    <hyperlink ref="AB6:AB10" location="'6'!A1" display="'6'!A1" xr:uid="{00000000-0004-0000-0C00-000014000000}"/>
    <hyperlink ref="Z6" location="'0'!A1" tooltip="X stave 0, Front" display="'0'!A1" xr:uid="{00000000-0004-0000-0C00-000015000000}"/>
    <hyperlink ref="Z7:Z10" location="'0'!A1" tooltip="X stave 0, Front" display="'0'!A1" xr:uid="{00000000-0004-0000-0C00-000016000000}"/>
    <hyperlink ref="Z6:Z10" location="'7'!A1" display="'7'!A1" xr:uid="{00000000-0004-0000-0C00-000017000000}"/>
    <hyperlink ref="X6" location="'0'!A1" tooltip="X stave 0, Front" display="'0'!A1" xr:uid="{00000000-0004-0000-0C00-000018000000}"/>
    <hyperlink ref="X7:X10" location="'0'!A1" tooltip="X stave 0, Front" display="'0'!A1" xr:uid="{00000000-0004-0000-0C00-000019000000}"/>
    <hyperlink ref="X6:X10" location="'8'!A1" display="'8'!A1" xr:uid="{00000000-0004-0000-0C00-00001A000000}"/>
    <hyperlink ref="V6" location="'0'!A1" tooltip="X stave 0, Front" display="'0'!A1" xr:uid="{00000000-0004-0000-0C00-00001B000000}"/>
    <hyperlink ref="V7:V10" location="'0'!A1" tooltip="X stave 0, Front" display="'0'!A1" xr:uid="{00000000-0004-0000-0C00-00001C000000}"/>
    <hyperlink ref="V6:V10" location="'9'!A1" display="'9'!A1" xr:uid="{00000000-0004-0000-0C00-00001D000000}"/>
    <hyperlink ref="T6" location="'0'!A1" tooltip="X stave 0, Front" display="'0'!A1" xr:uid="{00000000-0004-0000-0C00-00001E000000}"/>
    <hyperlink ref="T7:T10" location="'0'!A1" tooltip="X stave 0, Front" display="'0'!A1" xr:uid="{00000000-0004-0000-0C00-00001F000000}"/>
    <hyperlink ref="T6:T10" location="'10'!A1" display="'10'!A1" xr:uid="{00000000-0004-0000-0C00-000020000000}"/>
    <hyperlink ref="R6" location="'0'!A1" tooltip="X stave 0, Front" display="'0'!A1" xr:uid="{00000000-0004-0000-0C00-000021000000}"/>
    <hyperlink ref="R7:R10" location="'0'!A1" tooltip="X stave 0, Front" display="'0'!A1" xr:uid="{00000000-0004-0000-0C00-000022000000}"/>
    <hyperlink ref="R6:R10" location="'11'!A1" display="'11'!A1" xr:uid="{00000000-0004-0000-0C00-000023000000}"/>
  </hyperlinks>
  <pageMargins left="0.75" right="0.75" top="1" bottom="1" header="0.5" footer="0.5"/>
  <pageSetup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B1:AR506"/>
  <sheetViews>
    <sheetView zoomScale="85" zoomScaleNormal="85" workbookViewId="0">
      <selection activeCell="R8" sqref="R8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455</v>
      </c>
      <c r="E2" s="511"/>
      <c r="F2" s="511"/>
      <c r="G2" s="512" t="s">
        <v>703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348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349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41">
        <v>0</v>
      </c>
      <c r="S6" s="166"/>
      <c r="T6" s="241">
        <v>0</v>
      </c>
      <c r="U6" s="166"/>
      <c r="V6" s="345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42">
        <v>0</v>
      </c>
      <c r="S7" s="166"/>
      <c r="T7" s="242">
        <v>0</v>
      </c>
      <c r="U7" s="166"/>
      <c r="V7" s="346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42">
        <v>0</v>
      </c>
      <c r="S8" s="166"/>
      <c r="T8" s="242">
        <v>0</v>
      </c>
      <c r="U8" s="166"/>
      <c r="V8" s="346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42">
        <v>0</v>
      </c>
      <c r="S9" s="166"/>
      <c r="T9" s="242">
        <v>0</v>
      </c>
      <c r="U9" s="166"/>
      <c r="V9" s="346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3">
        <v>0</v>
      </c>
      <c r="S10" s="166"/>
      <c r="T10" s="243">
        <v>0</v>
      </c>
      <c r="U10" s="166"/>
      <c r="V10" s="347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27">
        <v>10</v>
      </c>
      <c r="U11" s="527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9"/>
      <c r="U17" s="19"/>
      <c r="V17" s="509"/>
      <c r="W17" s="19"/>
      <c r="X17" s="508"/>
      <c r="Y17" s="19"/>
      <c r="Z17" s="508"/>
      <c r="AA17" s="19"/>
      <c r="AB17" s="508"/>
      <c r="AC17" s="19"/>
      <c r="AD17" s="508"/>
      <c r="AE17" s="19"/>
      <c r="AF17" s="508"/>
      <c r="AG17" s="15"/>
      <c r="AH17" s="508"/>
      <c r="AI17" s="19"/>
      <c r="AJ17" s="508"/>
      <c r="AK17" s="19"/>
      <c r="AL17" s="508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6"/>
      <c r="Q18" s="19"/>
      <c r="R18" s="356"/>
      <c r="S18" s="19"/>
      <c r="T18" s="510"/>
      <c r="U18" s="19"/>
      <c r="V18" s="510"/>
      <c r="W18" s="19"/>
      <c r="X18" s="356"/>
      <c r="Y18" s="19"/>
      <c r="Z18" s="356"/>
      <c r="AA18" s="19"/>
      <c r="AB18" s="356"/>
      <c r="AC18" s="19"/>
      <c r="AD18" s="356"/>
      <c r="AE18" s="19"/>
      <c r="AF18" s="356"/>
      <c r="AG18" s="19"/>
      <c r="AH18" s="356"/>
      <c r="AI18" s="19"/>
      <c r="AJ18" s="356"/>
      <c r="AK18" s="19"/>
      <c r="AL18" s="356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7">
        <v>11</v>
      </c>
      <c r="Q19" s="357"/>
      <c r="R19" s="357">
        <v>10</v>
      </c>
      <c r="S19" s="357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982</v>
      </c>
      <c r="F61" s="5"/>
      <c r="G61" s="5" t="s">
        <v>983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1" t="s">
        <v>1001</v>
      </c>
      <c r="F64" s="275"/>
      <c r="G64" s="270" t="s">
        <v>35</v>
      </c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1" t="s">
        <v>1001</v>
      </c>
      <c r="F65" s="275"/>
      <c r="G65" s="270" t="s">
        <v>36</v>
      </c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1001</v>
      </c>
      <c r="F66" s="271"/>
      <c r="G66" s="272" t="s">
        <v>961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1001</v>
      </c>
      <c r="F67" s="271"/>
      <c r="G67" s="272" t="s">
        <v>962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1001</v>
      </c>
      <c r="F68" s="271"/>
      <c r="G68" s="270" t="s">
        <v>168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1001</v>
      </c>
      <c r="F69" s="271"/>
      <c r="G69" s="270" t="s">
        <v>169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1000</v>
      </c>
      <c r="F70" s="271"/>
      <c r="G70" s="270" t="s">
        <v>157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1000</v>
      </c>
      <c r="F71" s="271"/>
      <c r="G71" s="270" t="s">
        <v>158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1000</v>
      </c>
      <c r="F72" s="13"/>
      <c r="G72" s="270" t="s">
        <v>35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1000</v>
      </c>
      <c r="F73" s="13"/>
      <c r="G73" s="270" t="s">
        <v>36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1000</v>
      </c>
      <c r="F74" s="13"/>
      <c r="G74" s="272" t="s">
        <v>961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1000</v>
      </c>
      <c r="F75" s="13"/>
      <c r="G75" s="272" t="s">
        <v>962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1000</v>
      </c>
      <c r="F76" s="184"/>
      <c r="G76" s="270" t="s">
        <v>93</v>
      </c>
      <c r="H76" s="339" t="s">
        <v>933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1000</v>
      </c>
      <c r="F77" s="184"/>
      <c r="G77" s="270" t="s">
        <v>103</v>
      </c>
      <c r="H77" s="235" t="s">
        <v>933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1000</v>
      </c>
      <c r="F78" s="13"/>
      <c r="G78" s="270" t="s">
        <v>95</v>
      </c>
      <c r="H78" s="235" t="s">
        <v>933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1000</v>
      </c>
      <c r="F79" s="13"/>
      <c r="G79" s="270" t="s">
        <v>94</v>
      </c>
      <c r="H79" s="235" t="s">
        <v>933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1000</v>
      </c>
      <c r="F80" s="13"/>
      <c r="G80" s="270" t="s">
        <v>32</v>
      </c>
      <c r="H80" s="235" t="s">
        <v>933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1000</v>
      </c>
      <c r="F81" s="13"/>
      <c r="G81" s="270" t="s">
        <v>24</v>
      </c>
      <c r="H81" s="235" t="s">
        <v>933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1000</v>
      </c>
      <c r="F82" s="13"/>
      <c r="G82" s="270" t="s">
        <v>52</v>
      </c>
      <c r="H82" s="235" t="s">
        <v>933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1000</v>
      </c>
      <c r="F83" s="13"/>
      <c r="G83" s="270" t="s">
        <v>42</v>
      </c>
      <c r="H83" s="235" t="s">
        <v>933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1000</v>
      </c>
      <c r="F84" s="13"/>
      <c r="G84" s="270" t="s">
        <v>105</v>
      </c>
      <c r="H84" s="235" t="s">
        <v>933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1000</v>
      </c>
      <c r="F85" s="13"/>
      <c r="G85" s="270" t="s">
        <v>104</v>
      </c>
      <c r="H85" s="235" t="s">
        <v>933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1000</v>
      </c>
      <c r="F86" s="13"/>
      <c r="G86" s="270" t="s">
        <v>87</v>
      </c>
      <c r="H86" s="235" t="s">
        <v>933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1000</v>
      </c>
      <c r="F87" s="13"/>
      <c r="G87" s="270" t="s">
        <v>86</v>
      </c>
      <c r="H87" s="235" t="s">
        <v>933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1000</v>
      </c>
      <c r="F88" s="184"/>
      <c r="G88" s="270" t="s">
        <v>115</v>
      </c>
      <c r="H88" s="235" t="s">
        <v>933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1000</v>
      </c>
      <c r="F89" s="184"/>
      <c r="G89" s="270" t="s">
        <v>114</v>
      </c>
      <c r="H89" s="235" t="s">
        <v>933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1000</v>
      </c>
      <c r="F90" s="13"/>
      <c r="G90" s="270" t="s">
        <v>125</v>
      </c>
      <c r="H90" s="235" t="s">
        <v>933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1000</v>
      </c>
      <c r="F91" s="13"/>
      <c r="G91" s="270" t="s">
        <v>124</v>
      </c>
      <c r="H91" s="235" t="s">
        <v>933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1000</v>
      </c>
      <c r="F92" s="185"/>
      <c r="G92" s="270" t="s">
        <v>25</v>
      </c>
      <c r="H92" s="235" t="s">
        <v>933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1000</v>
      </c>
      <c r="F93" s="13"/>
      <c r="G93" s="270" t="s">
        <v>26</v>
      </c>
      <c r="H93" s="235" t="s">
        <v>933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1000</v>
      </c>
      <c r="F94" s="13"/>
      <c r="G94" s="270" t="s">
        <v>33</v>
      </c>
      <c r="H94" s="235" t="s">
        <v>933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1000</v>
      </c>
      <c r="F95" s="13"/>
      <c r="G95" s="270" t="s">
        <v>34</v>
      </c>
      <c r="H95" s="235" t="s">
        <v>933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1000</v>
      </c>
      <c r="F96" s="184"/>
      <c r="G96" s="270" t="s">
        <v>27</v>
      </c>
      <c r="H96" s="235" t="s">
        <v>933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1000</v>
      </c>
      <c r="F97" s="184"/>
      <c r="G97" s="270" t="s">
        <v>28</v>
      </c>
      <c r="H97" s="235" t="s">
        <v>933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1000</v>
      </c>
      <c r="F98" s="13"/>
      <c r="G98" s="270" t="s">
        <v>43</v>
      </c>
      <c r="H98" s="235" t="s">
        <v>933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1000</v>
      </c>
      <c r="F99" s="13"/>
      <c r="G99" s="270" t="s">
        <v>44</v>
      </c>
      <c r="H99" s="235" t="s">
        <v>933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1000</v>
      </c>
      <c r="F100" s="184"/>
      <c r="G100" s="270" t="s">
        <v>211</v>
      </c>
      <c r="H100" s="340" t="s">
        <v>934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1000</v>
      </c>
      <c r="F101" s="184"/>
      <c r="G101" s="270" t="s">
        <v>210</v>
      </c>
      <c r="H101" s="235" t="s">
        <v>934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1000</v>
      </c>
      <c r="F102" s="184"/>
      <c r="G102" s="270" t="s">
        <v>221</v>
      </c>
      <c r="H102" s="235" t="s">
        <v>934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1000</v>
      </c>
      <c r="F103" s="184"/>
      <c r="G103" s="270" t="s">
        <v>220</v>
      </c>
      <c r="H103" s="235" t="s">
        <v>934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1000</v>
      </c>
      <c r="F104" s="13"/>
      <c r="G104" s="270" t="s">
        <v>147</v>
      </c>
      <c r="H104" s="235" t="s">
        <v>934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1000</v>
      </c>
      <c r="F105" s="13"/>
      <c r="G105" s="270" t="s">
        <v>148</v>
      </c>
      <c r="H105" s="235" t="s">
        <v>934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1000</v>
      </c>
      <c r="F106" s="13"/>
      <c r="G106" s="270" t="s">
        <v>155</v>
      </c>
      <c r="H106" s="235" t="s">
        <v>934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1000</v>
      </c>
      <c r="F107" s="13"/>
      <c r="G107" s="270" t="s">
        <v>156</v>
      </c>
      <c r="H107" s="235" t="s">
        <v>934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1000</v>
      </c>
      <c r="F108" s="13"/>
      <c r="G108" s="270" t="s">
        <v>229</v>
      </c>
      <c r="H108" s="235" t="s">
        <v>934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1000</v>
      </c>
      <c r="F109" s="13"/>
      <c r="G109" s="270" t="s">
        <v>228</v>
      </c>
      <c r="H109" s="235" t="s">
        <v>934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1000</v>
      </c>
      <c r="F110" s="13"/>
      <c r="G110" s="270" t="s">
        <v>223</v>
      </c>
      <c r="H110" s="235" t="s">
        <v>934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1000</v>
      </c>
      <c r="F111" s="13"/>
      <c r="G111" s="270" t="s">
        <v>213</v>
      </c>
      <c r="H111" s="235" t="s">
        <v>934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1000</v>
      </c>
      <c r="F112" s="13"/>
      <c r="G112" s="270" t="s">
        <v>202</v>
      </c>
      <c r="H112" s="235" t="s">
        <v>934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1000</v>
      </c>
      <c r="F113" s="13"/>
      <c r="G113" s="270" t="s">
        <v>192</v>
      </c>
      <c r="H113" s="235" t="s">
        <v>934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1000</v>
      </c>
      <c r="F114" s="184"/>
      <c r="G114" s="270" t="s">
        <v>212</v>
      </c>
      <c r="H114" s="235" t="s">
        <v>934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1000</v>
      </c>
      <c r="F115" s="184"/>
      <c r="G115" s="270" t="s">
        <v>222</v>
      </c>
      <c r="H115" s="235" t="s">
        <v>934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1000</v>
      </c>
      <c r="F116" s="184"/>
      <c r="G116" s="270" t="s">
        <v>133</v>
      </c>
      <c r="H116" s="235" t="s">
        <v>934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1000</v>
      </c>
      <c r="F117" s="184"/>
      <c r="G117" s="270" t="s">
        <v>134</v>
      </c>
      <c r="H117" s="235" t="s">
        <v>934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1000</v>
      </c>
      <c r="F118" s="13"/>
      <c r="G118" s="270" t="s">
        <v>141</v>
      </c>
      <c r="H118" s="235" t="s">
        <v>934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1000</v>
      </c>
      <c r="F119" s="13"/>
      <c r="G119" s="270" t="s">
        <v>142</v>
      </c>
      <c r="H119" s="235" t="s">
        <v>934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1000</v>
      </c>
      <c r="F120" s="13"/>
      <c r="G120" s="270" t="s">
        <v>149</v>
      </c>
      <c r="H120" s="235" t="s">
        <v>934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1000</v>
      </c>
      <c r="F121" s="13"/>
      <c r="G121" s="270" t="s">
        <v>150</v>
      </c>
      <c r="H121" s="235" t="s">
        <v>934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1000</v>
      </c>
      <c r="F122" s="13"/>
      <c r="G122" s="270" t="s">
        <v>131</v>
      </c>
      <c r="H122" s="235" t="s">
        <v>934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1000</v>
      </c>
      <c r="F123" s="13"/>
      <c r="G123" s="270" t="s">
        <v>132</v>
      </c>
      <c r="H123" s="235" t="s">
        <v>934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1001</v>
      </c>
      <c r="F124" s="274"/>
      <c r="G124" s="270" t="s">
        <v>137</v>
      </c>
      <c r="H124" s="340" t="s">
        <v>935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1001</v>
      </c>
      <c r="F125" s="274"/>
      <c r="G125" s="270" t="s">
        <v>136</v>
      </c>
      <c r="H125" s="235" t="s">
        <v>935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1001</v>
      </c>
      <c r="F126" s="274"/>
      <c r="G126" s="270" t="s">
        <v>118</v>
      </c>
      <c r="H126" s="235" t="s">
        <v>935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1001</v>
      </c>
      <c r="F127" s="274"/>
      <c r="G127" s="270" t="s">
        <v>119</v>
      </c>
      <c r="H127" s="235" t="s">
        <v>935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1001</v>
      </c>
      <c r="F128" s="271"/>
      <c r="G128" s="270" t="s">
        <v>188</v>
      </c>
      <c r="H128" s="235" t="s">
        <v>935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1001</v>
      </c>
      <c r="F129" s="271"/>
      <c r="G129" s="270" t="s">
        <v>189</v>
      </c>
      <c r="H129" s="235" t="s">
        <v>935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1001</v>
      </c>
      <c r="F130" s="271"/>
      <c r="G130" s="270" t="s">
        <v>178</v>
      </c>
      <c r="H130" s="235" t="s">
        <v>935</v>
      </c>
      <c r="I130" s="13"/>
      <c r="J130" s="13"/>
      <c r="K130" s="16"/>
    </row>
    <row r="131" spans="2:11" ht="16.2" thickBot="1">
      <c r="B131" s="26">
        <v>126</v>
      </c>
      <c r="C131" s="228" t="s">
        <v>233</v>
      </c>
      <c r="D131" s="229" t="s">
        <v>620</v>
      </c>
      <c r="E131" s="271" t="s">
        <v>1001</v>
      </c>
      <c r="F131" s="271"/>
      <c r="G131" s="270" t="s">
        <v>179</v>
      </c>
      <c r="H131" s="235" t="s">
        <v>935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1001</v>
      </c>
      <c r="F132" s="271"/>
      <c r="G132" s="337" t="s">
        <v>110</v>
      </c>
      <c r="H132" s="235" t="s">
        <v>935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1001</v>
      </c>
      <c r="F133" s="271"/>
      <c r="G133" s="270" t="s">
        <v>111</v>
      </c>
      <c r="H133" s="235" t="s">
        <v>935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1001</v>
      </c>
      <c r="F134" s="271"/>
      <c r="G134" s="270" t="s">
        <v>128</v>
      </c>
      <c r="H134" s="235" t="s">
        <v>935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1001</v>
      </c>
      <c r="F135" s="271"/>
      <c r="G135" s="270" t="s">
        <v>129</v>
      </c>
      <c r="H135" s="235" t="s">
        <v>935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1001</v>
      </c>
      <c r="F136" s="271"/>
      <c r="G136" s="270" t="s">
        <v>121</v>
      </c>
      <c r="H136" s="235" t="s">
        <v>935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1001</v>
      </c>
      <c r="F137" s="271"/>
      <c r="G137" s="270" t="s">
        <v>120</v>
      </c>
      <c r="H137" s="235" t="s">
        <v>935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1001</v>
      </c>
      <c r="F138" s="274"/>
      <c r="G138" s="270" t="s">
        <v>108</v>
      </c>
      <c r="H138" s="235" t="s">
        <v>935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1001</v>
      </c>
      <c r="F139" s="274"/>
      <c r="G139" s="270" t="s">
        <v>109</v>
      </c>
      <c r="H139" s="235" t="s">
        <v>935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1001</v>
      </c>
      <c r="F140" s="274"/>
      <c r="G140" s="270" t="s">
        <v>196</v>
      </c>
      <c r="H140" s="235" t="s">
        <v>935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1001</v>
      </c>
      <c r="F141" s="274"/>
      <c r="G141" s="270" t="s">
        <v>197</v>
      </c>
      <c r="H141" s="235" t="s">
        <v>935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1001</v>
      </c>
      <c r="F142" s="271"/>
      <c r="G142" s="270" t="s">
        <v>186</v>
      </c>
      <c r="H142" s="235" t="s">
        <v>935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1001</v>
      </c>
      <c r="F143" s="271"/>
      <c r="G143" s="270" t="s">
        <v>187</v>
      </c>
      <c r="H143" s="235" t="s">
        <v>935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1001</v>
      </c>
      <c r="F144" s="271"/>
      <c r="G144" s="270" t="s">
        <v>176</v>
      </c>
      <c r="H144" s="235" t="s">
        <v>935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1001</v>
      </c>
      <c r="F145" s="271"/>
      <c r="G145" s="270" t="s">
        <v>177</v>
      </c>
      <c r="H145" s="235" t="s">
        <v>935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1001</v>
      </c>
      <c r="F146" s="271"/>
      <c r="G146" s="270" t="s">
        <v>198</v>
      </c>
      <c r="H146" s="235" t="s">
        <v>935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1001</v>
      </c>
      <c r="F147" s="271"/>
      <c r="G147" s="270" t="s">
        <v>199</v>
      </c>
      <c r="H147" s="235" t="s">
        <v>935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1" t="s">
        <v>1001</v>
      </c>
      <c r="F148" s="274"/>
      <c r="G148" s="272" t="s">
        <v>16</v>
      </c>
      <c r="H148" s="339" t="s">
        <v>936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1" t="s">
        <v>1001</v>
      </c>
      <c r="F149" s="274"/>
      <c r="G149" s="272" t="s">
        <v>17</v>
      </c>
      <c r="H149" s="235" t="s">
        <v>936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1" t="s">
        <v>1001</v>
      </c>
      <c r="F150" s="271"/>
      <c r="G150" s="272" t="s">
        <v>18</v>
      </c>
      <c r="H150" s="235" t="s">
        <v>936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1" t="s">
        <v>1001</v>
      </c>
      <c r="F151" s="271"/>
      <c r="G151" s="272" t="s">
        <v>19</v>
      </c>
      <c r="H151" s="235" t="s">
        <v>936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1001</v>
      </c>
      <c r="F152" s="271"/>
      <c r="G152" s="272" t="s">
        <v>310</v>
      </c>
      <c r="H152" s="235" t="s">
        <v>936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1001</v>
      </c>
      <c r="F153" s="271"/>
      <c r="G153" s="272" t="s">
        <v>311</v>
      </c>
      <c r="H153" s="235" t="s">
        <v>936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1001</v>
      </c>
      <c r="F154" s="271"/>
      <c r="G154" s="272" t="s">
        <v>317</v>
      </c>
      <c r="H154" s="235" t="s">
        <v>936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1001</v>
      </c>
      <c r="F155" s="271"/>
      <c r="G155" s="272" t="s">
        <v>318</v>
      </c>
      <c r="H155" s="235" t="s">
        <v>936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 t="s">
        <v>1001</v>
      </c>
      <c r="F156" s="271"/>
      <c r="G156" s="272" t="s">
        <v>4</v>
      </c>
      <c r="H156" s="235" t="s">
        <v>936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 t="s">
        <v>1001</v>
      </c>
      <c r="F157" s="271"/>
      <c r="G157" s="272" t="s">
        <v>5</v>
      </c>
      <c r="H157" s="235" t="s">
        <v>936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1" t="s">
        <v>1001</v>
      </c>
      <c r="F158" s="271"/>
      <c r="G158" s="272" t="s">
        <v>329</v>
      </c>
      <c r="H158" s="235" t="s">
        <v>936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1" t="s">
        <v>1001</v>
      </c>
      <c r="F159" s="271"/>
      <c r="G159" s="272" t="s">
        <v>328</v>
      </c>
      <c r="H159" s="235" t="s">
        <v>936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1001</v>
      </c>
      <c r="F160" s="274"/>
      <c r="G160" s="272" t="s">
        <v>331</v>
      </c>
      <c r="H160" s="235" t="s">
        <v>936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1001</v>
      </c>
      <c r="F161" s="274"/>
      <c r="G161" s="272" t="s">
        <v>330</v>
      </c>
      <c r="H161" s="235" t="s">
        <v>936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1001</v>
      </c>
      <c r="F162" s="274"/>
      <c r="G162" s="272" t="s">
        <v>335</v>
      </c>
      <c r="H162" s="235" t="s">
        <v>936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1" t="s">
        <v>1001</v>
      </c>
      <c r="F163" s="274"/>
      <c r="G163" s="272" t="s">
        <v>334</v>
      </c>
      <c r="H163" s="235" t="s">
        <v>936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1001</v>
      </c>
      <c r="F164" s="274"/>
      <c r="G164" s="272" t="s">
        <v>303</v>
      </c>
      <c r="H164" s="235" t="s">
        <v>936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1001</v>
      </c>
      <c r="F165" s="274"/>
      <c r="G165" s="272" t="s">
        <v>294</v>
      </c>
      <c r="H165" s="235" t="s">
        <v>936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 t="s">
        <v>1001</v>
      </c>
      <c r="F166" s="274"/>
      <c r="G166" s="272" t="s">
        <v>304</v>
      </c>
      <c r="H166" s="235" t="s">
        <v>936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 t="s">
        <v>1001</v>
      </c>
      <c r="F167" s="274"/>
      <c r="G167" s="272" t="s">
        <v>295</v>
      </c>
      <c r="H167" s="235" t="s">
        <v>936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1" t="s">
        <v>1001</v>
      </c>
      <c r="F168" s="271"/>
      <c r="G168" s="272" t="s">
        <v>313</v>
      </c>
      <c r="H168" s="235" t="s">
        <v>936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1" t="s">
        <v>1001</v>
      </c>
      <c r="F169" s="271"/>
      <c r="G169" s="272" t="s">
        <v>320</v>
      </c>
      <c r="H169" s="235" t="s">
        <v>936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1001</v>
      </c>
      <c r="F170" s="271"/>
      <c r="G170" s="272" t="s">
        <v>301</v>
      </c>
      <c r="H170" s="235" t="s">
        <v>936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1001</v>
      </c>
      <c r="F171" s="271"/>
      <c r="G171" s="272" t="s">
        <v>302</v>
      </c>
      <c r="H171" s="235" t="s">
        <v>936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1" t="s">
        <v>1001</v>
      </c>
      <c r="F172" s="274"/>
      <c r="G172" s="270" t="s">
        <v>93</v>
      </c>
      <c r="H172" s="339" t="s">
        <v>937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1" t="s">
        <v>1001</v>
      </c>
      <c r="F173" s="274"/>
      <c r="G173" s="270" t="s">
        <v>103</v>
      </c>
      <c r="H173" s="235" t="s">
        <v>937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1" t="s">
        <v>1001</v>
      </c>
      <c r="F174" s="271"/>
      <c r="G174" s="270" t="s">
        <v>95</v>
      </c>
      <c r="H174" s="235" t="s">
        <v>937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1" t="s">
        <v>1001</v>
      </c>
      <c r="F175" s="271"/>
      <c r="G175" s="270" t="s">
        <v>94</v>
      </c>
      <c r="H175" s="235" t="s">
        <v>937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1001</v>
      </c>
      <c r="F176" s="271"/>
      <c r="G176" s="270" t="s">
        <v>32</v>
      </c>
      <c r="H176" s="235" t="s">
        <v>937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1001</v>
      </c>
      <c r="F177" s="271"/>
      <c r="G177" s="270" t="s">
        <v>24</v>
      </c>
      <c r="H177" s="235" t="s">
        <v>937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1001</v>
      </c>
      <c r="F178" s="271"/>
      <c r="G178" s="270" t="s">
        <v>52</v>
      </c>
      <c r="H178" s="235" t="s">
        <v>937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1001</v>
      </c>
      <c r="F179" s="271"/>
      <c r="G179" s="270" t="s">
        <v>42</v>
      </c>
      <c r="H179" s="235" t="s">
        <v>937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 t="s">
        <v>1001</v>
      </c>
      <c r="F180" s="271"/>
      <c r="G180" s="270" t="s">
        <v>105</v>
      </c>
      <c r="H180" s="235" t="s">
        <v>937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 t="s">
        <v>1001</v>
      </c>
      <c r="F181" s="271"/>
      <c r="G181" s="270" t="s">
        <v>104</v>
      </c>
      <c r="H181" s="235" t="s">
        <v>937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1" t="s">
        <v>1001</v>
      </c>
      <c r="F182" s="271"/>
      <c r="G182" s="270" t="s">
        <v>87</v>
      </c>
      <c r="H182" s="235" t="s">
        <v>937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1" t="s">
        <v>1001</v>
      </c>
      <c r="F183" s="271"/>
      <c r="G183" s="270" t="s">
        <v>86</v>
      </c>
      <c r="H183" s="235" t="s">
        <v>937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1001</v>
      </c>
      <c r="F184" s="274"/>
      <c r="G184" s="270" t="s">
        <v>115</v>
      </c>
      <c r="H184" s="235" t="s">
        <v>937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1001</v>
      </c>
      <c r="F185" s="274"/>
      <c r="G185" s="270" t="s">
        <v>114</v>
      </c>
      <c r="H185" s="235" t="s">
        <v>937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1001</v>
      </c>
      <c r="F186" s="271"/>
      <c r="G186" s="270" t="s">
        <v>125</v>
      </c>
      <c r="H186" s="235" t="s">
        <v>937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1001</v>
      </c>
      <c r="F187" s="271"/>
      <c r="G187" s="270" t="s">
        <v>124</v>
      </c>
      <c r="H187" s="235" t="s">
        <v>937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1001</v>
      </c>
      <c r="F188" s="271"/>
      <c r="G188" s="270" t="s">
        <v>25</v>
      </c>
      <c r="H188" s="235" t="s">
        <v>937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1001</v>
      </c>
      <c r="F189" s="271"/>
      <c r="G189" s="270" t="s">
        <v>26</v>
      </c>
      <c r="H189" s="235" t="s">
        <v>937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 t="s">
        <v>1001</v>
      </c>
      <c r="F190" s="271"/>
      <c r="G190" s="270" t="s">
        <v>33</v>
      </c>
      <c r="H190" s="235" t="s">
        <v>937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 t="s">
        <v>1001</v>
      </c>
      <c r="F191" s="271"/>
      <c r="G191" s="270" t="s">
        <v>34</v>
      </c>
      <c r="H191" s="235" t="s">
        <v>937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1" t="s">
        <v>1001</v>
      </c>
      <c r="F192" s="274"/>
      <c r="G192" s="270" t="s">
        <v>27</v>
      </c>
      <c r="H192" s="235" t="s">
        <v>937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1" t="s">
        <v>1001</v>
      </c>
      <c r="F193" s="274"/>
      <c r="G193" s="270" t="s">
        <v>28</v>
      </c>
      <c r="H193" s="235" t="s">
        <v>937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1001</v>
      </c>
      <c r="F194" s="271"/>
      <c r="G194" s="270" t="s">
        <v>43</v>
      </c>
      <c r="H194" s="235" t="s">
        <v>937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1001</v>
      </c>
      <c r="F195" s="271"/>
      <c r="G195" s="270" t="s">
        <v>44</v>
      </c>
      <c r="H195" s="235" t="s">
        <v>937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1000</v>
      </c>
      <c r="F196" s="184"/>
      <c r="G196" s="272" t="s">
        <v>16</v>
      </c>
      <c r="H196" s="339" t="s">
        <v>938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1000</v>
      </c>
      <c r="F197" s="184"/>
      <c r="G197" s="272" t="s">
        <v>17</v>
      </c>
      <c r="H197" s="235" t="s">
        <v>938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1000</v>
      </c>
      <c r="F198" s="13"/>
      <c r="G198" s="272" t="s">
        <v>18</v>
      </c>
      <c r="H198" s="235" t="s">
        <v>938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1000</v>
      </c>
      <c r="F199" s="13"/>
      <c r="G199" s="272" t="s">
        <v>19</v>
      </c>
      <c r="H199" s="235" t="s">
        <v>938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1000</v>
      </c>
      <c r="F200" s="13"/>
      <c r="G200" s="272" t="s">
        <v>310</v>
      </c>
      <c r="H200" s="235" t="s">
        <v>938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1000</v>
      </c>
      <c r="F201" s="13"/>
      <c r="G201" s="272" t="s">
        <v>311</v>
      </c>
      <c r="H201" s="235" t="s">
        <v>938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1000</v>
      </c>
      <c r="F202" s="13"/>
      <c r="G202" s="272" t="s">
        <v>317</v>
      </c>
      <c r="H202" s="235" t="s">
        <v>938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1000</v>
      </c>
      <c r="F203" s="13"/>
      <c r="G203" s="272" t="s">
        <v>318</v>
      </c>
      <c r="H203" s="235" t="s">
        <v>938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1000</v>
      </c>
      <c r="F204" s="13"/>
      <c r="G204" s="272" t="s">
        <v>4</v>
      </c>
      <c r="H204" s="235" t="s">
        <v>938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1000</v>
      </c>
      <c r="F205" s="13"/>
      <c r="G205" s="272" t="s">
        <v>5</v>
      </c>
      <c r="H205" s="235" t="s">
        <v>938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1000</v>
      </c>
      <c r="F206" s="13"/>
      <c r="G206" s="272" t="s">
        <v>329</v>
      </c>
      <c r="H206" s="235" t="s">
        <v>938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1000</v>
      </c>
      <c r="F207" s="13"/>
      <c r="G207" s="272" t="s">
        <v>328</v>
      </c>
      <c r="H207" s="235" t="s">
        <v>938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1000</v>
      </c>
      <c r="F208" s="184"/>
      <c r="G208" s="272" t="s">
        <v>331</v>
      </c>
      <c r="H208" s="235" t="s">
        <v>938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1000</v>
      </c>
      <c r="F209" s="184"/>
      <c r="G209" s="272" t="s">
        <v>330</v>
      </c>
      <c r="H209" s="235" t="s">
        <v>938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1000</v>
      </c>
      <c r="F210" s="184"/>
      <c r="G210" s="272" t="s">
        <v>335</v>
      </c>
      <c r="H210" s="235" t="s">
        <v>938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1000</v>
      </c>
      <c r="F211" s="184"/>
      <c r="G211" s="272" t="s">
        <v>334</v>
      </c>
      <c r="H211" s="235" t="s">
        <v>938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1000</v>
      </c>
      <c r="F212" s="184"/>
      <c r="G212" s="272" t="s">
        <v>303</v>
      </c>
      <c r="H212" s="235" t="s">
        <v>938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1000</v>
      </c>
      <c r="F213" s="184"/>
      <c r="G213" s="272" t="s">
        <v>294</v>
      </c>
      <c r="H213" s="235" t="s">
        <v>938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1000</v>
      </c>
      <c r="F214" s="184"/>
      <c r="G214" s="272" t="s">
        <v>304</v>
      </c>
      <c r="H214" s="235" t="s">
        <v>938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1000</v>
      </c>
      <c r="F215" s="184"/>
      <c r="G215" s="272" t="s">
        <v>295</v>
      </c>
      <c r="H215" s="235" t="s">
        <v>938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1000</v>
      </c>
      <c r="F216" s="13"/>
      <c r="G216" s="272" t="s">
        <v>313</v>
      </c>
      <c r="H216" s="235" t="s">
        <v>938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1000</v>
      </c>
      <c r="F217" s="13"/>
      <c r="G217" s="272" t="s">
        <v>320</v>
      </c>
      <c r="H217" s="235" t="s">
        <v>938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1000</v>
      </c>
      <c r="F218" s="13"/>
      <c r="G218" s="272" t="s">
        <v>301</v>
      </c>
      <c r="H218" s="235" t="s">
        <v>938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1000</v>
      </c>
      <c r="F219" s="13"/>
      <c r="G219" s="272" t="s">
        <v>302</v>
      </c>
      <c r="H219" s="235" t="s">
        <v>938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 t="s">
        <v>1001</v>
      </c>
      <c r="F220" s="271"/>
      <c r="G220" s="270" t="s">
        <v>45</v>
      </c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1001</v>
      </c>
      <c r="F221" s="271"/>
      <c r="G221" s="272" t="s">
        <v>958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1001</v>
      </c>
      <c r="F222" s="275"/>
      <c r="G222" s="270" t="s">
        <v>948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1000</v>
      </c>
      <c r="F223" s="275"/>
      <c r="G223" s="270" t="s">
        <v>140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1000</v>
      </c>
      <c r="F224" s="271"/>
      <c r="G224" s="270" t="s">
        <v>45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1000</v>
      </c>
      <c r="F225" s="271"/>
      <c r="G225" s="293" t="s">
        <v>958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271" t="s">
        <v>1001</v>
      </c>
      <c r="F229" s="5"/>
      <c r="G229" s="270" t="s">
        <v>74</v>
      </c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1" t="s">
        <v>1001</v>
      </c>
      <c r="F230" s="5"/>
      <c r="G230" s="272" t="s">
        <v>960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271" t="s">
        <v>1001</v>
      </c>
      <c r="F231" s="5"/>
      <c r="G231" s="270" t="s">
        <v>949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1000</v>
      </c>
      <c r="F232" s="5"/>
      <c r="G232" s="270" t="s">
        <v>172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271" t="s">
        <v>1000</v>
      </c>
      <c r="F233" s="13"/>
      <c r="G233" s="270" t="s">
        <v>74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1000</v>
      </c>
      <c r="F234" s="271"/>
      <c r="G234" s="272" t="s">
        <v>960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271" t="s">
        <v>1001</v>
      </c>
      <c r="F235" s="5"/>
      <c r="G235" s="270" t="s">
        <v>72</v>
      </c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1" t="s">
        <v>1001</v>
      </c>
      <c r="F236" s="5"/>
      <c r="G236" s="272" t="s">
        <v>959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271" t="s">
        <v>1001</v>
      </c>
      <c r="F237" s="5"/>
      <c r="G237" s="270" t="s">
        <v>160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1000</v>
      </c>
      <c r="F238" s="5"/>
      <c r="G238" s="270" t="s">
        <v>173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271" t="s">
        <v>1000</v>
      </c>
      <c r="F239" s="5"/>
      <c r="G239" s="270" t="s">
        <v>72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1000</v>
      </c>
      <c r="F240" s="271"/>
      <c r="G240" s="272" t="s">
        <v>959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271" t="s">
        <v>1001</v>
      </c>
      <c r="F241" s="13"/>
      <c r="G241" s="270" t="s">
        <v>113</v>
      </c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1001</v>
      </c>
      <c r="F242" s="275"/>
      <c r="G242" s="272" t="s">
        <v>0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1001</v>
      </c>
      <c r="F243" s="13"/>
      <c r="G243" s="270" t="s">
        <v>947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1000</v>
      </c>
      <c r="F244" s="13"/>
      <c r="G244" s="270" t="s">
        <v>200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1000</v>
      </c>
      <c r="F245" s="13"/>
      <c r="G245" s="270" t="s">
        <v>113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1000</v>
      </c>
      <c r="F246" s="13"/>
      <c r="G246" s="272" t="s">
        <v>0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975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975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975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975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975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975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975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975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975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975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975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975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 t="s">
        <v>1001</v>
      </c>
      <c r="F394" s="263"/>
      <c r="G394" s="270" t="s">
        <v>85</v>
      </c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 t="s">
        <v>1001</v>
      </c>
      <c r="F395" s="263"/>
      <c r="G395" s="270" t="s">
        <v>84</v>
      </c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1001</v>
      </c>
      <c r="F396" s="13"/>
      <c r="G396" s="272" t="s">
        <v>956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1001</v>
      </c>
      <c r="F397" s="13"/>
      <c r="G397" s="272" t="s">
        <v>957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1001</v>
      </c>
      <c r="F398" s="13"/>
      <c r="G398" s="270" t="s">
        <v>945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1001</v>
      </c>
      <c r="F399" s="5"/>
      <c r="G399" s="270" t="s">
        <v>946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1000</v>
      </c>
      <c r="F400" s="5"/>
      <c r="G400" s="270" t="s">
        <v>203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1000</v>
      </c>
      <c r="F401" s="5"/>
      <c r="G401" s="270" t="s">
        <v>193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1000</v>
      </c>
      <c r="F402" s="13"/>
      <c r="G402" s="293" t="s">
        <v>85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1000</v>
      </c>
      <c r="F403" s="13"/>
      <c r="G403" s="293" t="s">
        <v>84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1000</v>
      </c>
      <c r="F404" s="263"/>
      <c r="G404" s="282" t="s">
        <v>956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92" t="s">
        <v>1000</v>
      </c>
      <c r="F405" s="297"/>
      <c r="G405" s="298" t="s">
        <v>957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E6:J55 E388:F393 E60:F63 F64 F255:F256 F269:F270 F275:F277 E257:F268 E271:F274 F244 F241:F242 E253:I254 E57:J59 F56:J56 E278:F282 F283 E295:I387 H60:J64 I223:J230 H255:I294 E292:F294 E285:F285 F286:F291 I65:J219 E226:F228 E405:J405 F402:J404 H394:J401 F209:F225 H220:J222 F394:F401 E251:F252 H231:J246 H247:I252 H388:I393">
    <cfRule type="expression" dxfId="816" priority="401">
      <formula>MOD(ROW(),2)=0</formula>
    </cfRule>
  </conditionalFormatting>
  <conditionalFormatting sqref="B6:B405">
    <cfRule type="expression" dxfId="815" priority="400">
      <formula>MOD(ROW(),2)=0</formula>
    </cfRule>
  </conditionalFormatting>
  <conditionalFormatting sqref="D6:D228 D235:D405">
    <cfRule type="expression" dxfId="814" priority="399">
      <formula>MOD(ROW(),2)=0</formula>
    </cfRule>
  </conditionalFormatting>
  <conditionalFormatting sqref="F65:F71 H65:H75 F84:F123 E124:F147 F148:F208">
    <cfRule type="expression" dxfId="813" priority="398">
      <formula>MOD(ROW(),2)=0</formula>
    </cfRule>
  </conditionalFormatting>
  <conditionalFormatting sqref="C401:C405">
    <cfRule type="expression" dxfId="812" priority="390">
      <formula>MOD(ROW(),2)=0</formula>
    </cfRule>
  </conditionalFormatting>
  <conditionalFormatting sqref="C6:C400">
    <cfRule type="expression" dxfId="811" priority="389">
      <formula>MOD(ROW(),2)=0</formula>
    </cfRule>
  </conditionalFormatting>
  <conditionalFormatting sqref="G60:G61">
    <cfRule type="expression" dxfId="810" priority="388">
      <formula>MOD(ROW(),2)=0</formula>
    </cfRule>
  </conditionalFormatting>
  <conditionalFormatting sqref="G62:G63">
    <cfRule type="expression" dxfId="809" priority="387">
      <formula>MOD(ROW(),2)=0</formula>
    </cfRule>
  </conditionalFormatting>
  <conditionalFormatting sqref="E68:E69">
    <cfRule type="expression" dxfId="808" priority="381">
      <formula>MOD(ROW(),2)=0</formula>
    </cfRule>
  </conditionalFormatting>
  <conditionalFormatting sqref="F72:F76">
    <cfRule type="expression" dxfId="807" priority="379">
      <formula>MOD(ROW(),2)=0</formula>
    </cfRule>
  </conditionalFormatting>
  <conditionalFormatting sqref="F77:F83">
    <cfRule type="expression" dxfId="806" priority="378">
      <formula>MOD(ROW(),2)=0</formula>
    </cfRule>
  </conditionalFormatting>
  <conditionalFormatting sqref="G255">
    <cfRule type="expression" dxfId="805" priority="364">
      <formula>MOD(ROW(),2)=0</formula>
    </cfRule>
  </conditionalFormatting>
  <conditionalFormatting sqref="E255">
    <cfRule type="expression" dxfId="804" priority="363">
      <formula>MOD(ROW(),2)=0</formula>
    </cfRule>
  </conditionalFormatting>
  <conditionalFormatting sqref="G269">
    <cfRule type="expression" dxfId="803" priority="362">
      <formula>MOD(ROW(),2)=0</formula>
    </cfRule>
  </conditionalFormatting>
  <conditionalFormatting sqref="E269">
    <cfRule type="expression" dxfId="802" priority="361">
      <formula>MOD(ROW(),2)=0</formula>
    </cfRule>
  </conditionalFormatting>
  <conditionalFormatting sqref="G256">
    <cfRule type="expression" dxfId="801" priority="360">
      <formula>MOD(ROW(),2)=0</formula>
    </cfRule>
  </conditionalFormatting>
  <conditionalFormatting sqref="E256">
    <cfRule type="expression" dxfId="800" priority="359">
      <formula>MOD(ROW(),2)=0</formula>
    </cfRule>
  </conditionalFormatting>
  <conditionalFormatting sqref="G270">
    <cfRule type="expression" dxfId="799" priority="358">
      <formula>MOD(ROW(),2)=0</formula>
    </cfRule>
  </conditionalFormatting>
  <conditionalFormatting sqref="E270">
    <cfRule type="expression" dxfId="798" priority="357">
      <formula>MOD(ROW(),2)=0</formula>
    </cfRule>
  </conditionalFormatting>
  <conditionalFormatting sqref="G261">
    <cfRule type="expression" dxfId="797" priority="356">
      <formula>MOD(ROW(),2)=0</formula>
    </cfRule>
  </conditionalFormatting>
  <conditionalFormatting sqref="G275">
    <cfRule type="expression" dxfId="796" priority="355">
      <formula>MOD(ROW(),2)=0</formula>
    </cfRule>
  </conditionalFormatting>
  <conditionalFormatting sqref="E275">
    <cfRule type="expression" dxfId="795" priority="354">
      <formula>MOD(ROW(),2)=0</formula>
    </cfRule>
  </conditionalFormatting>
  <conditionalFormatting sqref="G262">
    <cfRule type="expression" dxfId="794" priority="353">
      <formula>MOD(ROW(),2)=0</formula>
    </cfRule>
  </conditionalFormatting>
  <conditionalFormatting sqref="G276">
    <cfRule type="expression" dxfId="793" priority="352">
      <formula>MOD(ROW(),2)=0</formula>
    </cfRule>
  </conditionalFormatting>
  <conditionalFormatting sqref="E276">
    <cfRule type="expression" dxfId="792" priority="351">
      <formula>MOD(ROW(),2)=0</formula>
    </cfRule>
  </conditionalFormatting>
  <conditionalFormatting sqref="G263">
    <cfRule type="expression" dxfId="791" priority="350">
      <formula>MOD(ROW(),2)=0</formula>
    </cfRule>
  </conditionalFormatting>
  <conditionalFormatting sqref="G277">
    <cfRule type="expression" dxfId="790" priority="349">
      <formula>MOD(ROW(),2)=0</formula>
    </cfRule>
  </conditionalFormatting>
  <conditionalFormatting sqref="E277">
    <cfRule type="expression" dxfId="789" priority="348">
      <formula>MOD(ROW(),2)=0</formula>
    </cfRule>
  </conditionalFormatting>
  <conditionalFormatting sqref="G264">
    <cfRule type="expression" dxfId="788" priority="347">
      <formula>MOD(ROW(),2)=0</formula>
    </cfRule>
  </conditionalFormatting>
  <conditionalFormatting sqref="G278">
    <cfRule type="expression" dxfId="787" priority="346">
      <formula>MOD(ROW(),2)=0</formula>
    </cfRule>
  </conditionalFormatting>
  <conditionalFormatting sqref="G265">
    <cfRule type="expression" dxfId="786" priority="345">
      <formula>MOD(ROW(),2)=0</formula>
    </cfRule>
  </conditionalFormatting>
  <conditionalFormatting sqref="G279">
    <cfRule type="expression" dxfId="785" priority="344">
      <formula>MOD(ROW(),2)=0</formula>
    </cfRule>
  </conditionalFormatting>
  <conditionalFormatting sqref="G266">
    <cfRule type="expression" dxfId="784" priority="343">
      <formula>MOD(ROW(),2)=0</formula>
    </cfRule>
  </conditionalFormatting>
  <conditionalFormatting sqref="G280">
    <cfRule type="expression" dxfId="783" priority="342">
      <formula>MOD(ROW(),2)=0</formula>
    </cfRule>
  </conditionalFormatting>
  <conditionalFormatting sqref="G267">
    <cfRule type="expression" dxfId="782" priority="341">
      <formula>MOD(ROW(),2)=0</formula>
    </cfRule>
  </conditionalFormatting>
  <conditionalFormatting sqref="G281">
    <cfRule type="expression" dxfId="781" priority="340">
      <formula>MOD(ROW(),2)=0</formula>
    </cfRule>
  </conditionalFormatting>
  <conditionalFormatting sqref="G268">
    <cfRule type="expression" dxfId="780" priority="339">
      <formula>MOD(ROW(),2)=0</formula>
    </cfRule>
  </conditionalFormatting>
  <conditionalFormatting sqref="G282">
    <cfRule type="expression" dxfId="779" priority="338">
      <formula>MOD(ROW(),2)=0</formula>
    </cfRule>
  </conditionalFormatting>
  <conditionalFormatting sqref="G258">
    <cfRule type="expression" dxfId="778" priority="335">
      <formula>MOD(ROW(),2)=0</formula>
    </cfRule>
  </conditionalFormatting>
  <conditionalFormatting sqref="G272">
    <cfRule type="expression" dxfId="777" priority="334">
      <formula>MOD(ROW(),2)=0</formula>
    </cfRule>
  </conditionalFormatting>
  <conditionalFormatting sqref="G259">
    <cfRule type="expression" dxfId="776" priority="333">
      <formula>MOD(ROW(),2)=0</formula>
    </cfRule>
  </conditionalFormatting>
  <conditionalFormatting sqref="G273">
    <cfRule type="expression" dxfId="775" priority="332">
      <formula>MOD(ROW(),2)=0</formula>
    </cfRule>
  </conditionalFormatting>
  <conditionalFormatting sqref="E56">
    <cfRule type="expression" dxfId="774" priority="304">
      <formula>MOD(ROW(),2)=0</formula>
    </cfRule>
  </conditionalFormatting>
  <conditionalFormatting sqref="H227:H230">
    <cfRule type="expression" dxfId="773" priority="285">
      <formula>MOD(ROW(),2)=0</formula>
    </cfRule>
  </conditionalFormatting>
  <conditionalFormatting sqref="F284">
    <cfRule type="expression" dxfId="772" priority="280">
      <formula>MOD(ROW(),2)=0</formula>
    </cfRule>
  </conditionalFormatting>
  <conditionalFormatting sqref="G284">
    <cfRule type="expression" dxfId="771" priority="279">
      <formula>MOD(ROW(),2)=0</formula>
    </cfRule>
  </conditionalFormatting>
  <conditionalFormatting sqref="E284">
    <cfRule type="expression" dxfId="770" priority="278">
      <formula>MOD(ROW(),2)=0</formula>
    </cfRule>
  </conditionalFormatting>
  <conditionalFormatting sqref="G289">
    <cfRule type="expression" dxfId="769" priority="277">
      <formula>MOD(ROW(),2)=0</formula>
    </cfRule>
  </conditionalFormatting>
  <conditionalFormatting sqref="G290">
    <cfRule type="expression" dxfId="768" priority="276">
      <formula>MOD(ROW(),2)=0</formula>
    </cfRule>
  </conditionalFormatting>
  <conditionalFormatting sqref="G287">
    <cfRule type="expression" dxfId="767" priority="275">
      <formula>MOD(ROW(),2)=0</formula>
    </cfRule>
  </conditionalFormatting>
  <conditionalFormatting sqref="G294">
    <cfRule type="expression" dxfId="766" priority="268">
      <formula>MOD(ROW(),2)=0</formula>
    </cfRule>
  </conditionalFormatting>
  <conditionalFormatting sqref="E286">
    <cfRule type="expression" dxfId="765" priority="265">
      <formula>MOD(ROW(),2)=0</formula>
    </cfRule>
  </conditionalFormatting>
  <conditionalFormatting sqref="F243">
    <cfRule type="expression" dxfId="764" priority="262">
      <formula>MOD(ROW(),2)=0</formula>
    </cfRule>
  </conditionalFormatting>
  <conditionalFormatting sqref="F245">
    <cfRule type="expression" dxfId="763" priority="256">
      <formula>MOD(ROW(),2)=0</formula>
    </cfRule>
  </conditionalFormatting>
  <conditionalFormatting sqref="F246">
    <cfRule type="expression" dxfId="762" priority="254">
      <formula>MOD(ROW(),2)=0</formula>
    </cfRule>
  </conditionalFormatting>
  <conditionalFormatting sqref="F247">
    <cfRule type="expression" dxfId="761" priority="252">
      <formula>MOD(ROW(),2)=0</formula>
    </cfRule>
  </conditionalFormatting>
  <conditionalFormatting sqref="E248">
    <cfRule type="expression" dxfId="760" priority="250">
      <formula>MOD(ROW(),2)=0</formula>
    </cfRule>
  </conditionalFormatting>
  <conditionalFormatting sqref="E247">
    <cfRule type="expression" dxfId="759" priority="245">
      <formula>MOD(ROW(),2)=0</formula>
    </cfRule>
  </conditionalFormatting>
  <conditionalFormatting sqref="F249">
    <cfRule type="expression" dxfId="758" priority="244">
      <formula>MOD(ROW(),2)=0</formula>
    </cfRule>
  </conditionalFormatting>
  <conditionalFormatting sqref="E249">
    <cfRule type="expression" dxfId="757" priority="243">
      <formula>MOD(ROW(),2)=0</formula>
    </cfRule>
  </conditionalFormatting>
  <conditionalFormatting sqref="F250">
    <cfRule type="expression" dxfId="756" priority="242">
      <formula>MOD(ROW(),2)=0</formula>
    </cfRule>
  </conditionalFormatting>
  <conditionalFormatting sqref="E250">
    <cfRule type="expression" dxfId="755" priority="241">
      <formula>MOD(ROW(),2)=0</formula>
    </cfRule>
  </conditionalFormatting>
  <conditionalFormatting sqref="K244:K246 K60:K87 K91:K234 K6:K55 K236:K242 K57 K394:K405">
    <cfRule type="expression" dxfId="752" priority="230">
      <formula>MOD(ROW(),2)=0</formula>
    </cfRule>
  </conditionalFormatting>
  <conditionalFormatting sqref="K58">
    <cfRule type="expression" dxfId="751" priority="228">
      <formula>MOD(ROW(),2)=0</formula>
    </cfRule>
  </conditionalFormatting>
  <conditionalFormatting sqref="K59">
    <cfRule type="expression" dxfId="750" priority="226">
      <formula>MOD(ROW(),2)=0</formula>
    </cfRule>
  </conditionalFormatting>
  <conditionalFormatting sqref="K235">
    <cfRule type="expression" dxfId="749" priority="223">
      <formula>MOD(ROW(),2)=0</formula>
    </cfRule>
  </conditionalFormatting>
  <conditionalFormatting sqref="K89">
    <cfRule type="expression" dxfId="748" priority="222">
      <formula>MOD(ROW(),2)=0</formula>
    </cfRule>
  </conditionalFormatting>
  <conditionalFormatting sqref="K243">
    <cfRule type="expression" dxfId="747" priority="221">
      <formula>MOD(ROW(),2)=0</formula>
    </cfRule>
  </conditionalFormatting>
  <conditionalFormatting sqref="K90">
    <cfRule type="expression" dxfId="746" priority="220">
      <formula>MOD(ROW(),2)=0</formula>
    </cfRule>
  </conditionalFormatting>
  <conditionalFormatting sqref="K56">
    <cfRule type="expression" dxfId="745" priority="219">
      <formula>MOD(ROW(),2)=0</formula>
    </cfRule>
  </conditionalFormatting>
  <conditionalFormatting sqref="K88">
    <cfRule type="expression" dxfId="744" priority="216">
      <formula>MOD(ROW(),2)=0</formula>
    </cfRule>
  </conditionalFormatting>
  <conditionalFormatting sqref="G257">
    <cfRule type="expression" dxfId="743" priority="337">
      <formula>MOD(ROW(),2)=0</formula>
    </cfRule>
  </conditionalFormatting>
  <conditionalFormatting sqref="G271">
    <cfRule type="expression" dxfId="742" priority="336">
      <formula>MOD(ROW(),2)=0</formula>
    </cfRule>
  </conditionalFormatting>
  <conditionalFormatting sqref="G260">
    <cfRule type="expression" dxfId="741" priority="331">
      <formula>MOD(ROW(),2)=0</formula>
    </cfRule>
  </conditionalFormatting>
  <conditionalFormatting sqref="G274">
    <cfRule type="expression" dxfId="740" priority="330">
      <formula>MOD(ROW(),2)=0</formula>
    </cfRule>
  </conditionalFormatting>
  <conditionalFormatting sqref="F243">
    <cfRule type="expression" dxfId="739" priority="325">
      <formula>MOD(ROW(),2)=0</formula>
    </cfRule>
  </conditionalFormatting>
  <conditionalFormatting sqref="F245">
    <cfRule type="expression" dxfId="738" priority="322">
      <formula>MOD(ROW(),2)=0</formula>
    </cfRule>
  </conditionalFormatting>
  <conditionalFormatting sqref="F246">
    <cfRule type="expression" dxfId="737" priority="319">
      <formula>MOD(ROW(),2)=0</formula>
    </cfRule>
  </conditionalFormatting>
  <conditionalFormatting sqref="F247">
    <cfRule type="expression" dxfId="736" priority="316">
      <formula>MOD(ROW(),2)=0</formula>
    </cfRule>
  </conditionalFormatting>
  <conditionalFormatting sqref="E247">
    <cfRule type="expression" dxfId="735" priority="315">
      <formula>MOD(ROW(),2)=0</formula>
    </cfRule>
  </conditionalFormatting>
  <conditionalFormatting sqref="F248">
    <cfRule type="expression" dxfId="734" priority="314">
      <formula>MOD(ROW(),2)=0</formula>
    </cfRule>
  </conditionalFormatting>
  <conditionalFormatting sqref="E248">
    <cfRule type="expression" dxfId="733" priority="313">
      <formula>MOD(ROW(),2)=0</formula>
    </cfRule>
  </conditionalFormatting>
  <conditionalFormatting sqref="G283">
    <cfRule type="expression" dxfId="730" priority="302">
      <formula>MOD(ROW(),2)=0</formula>
    </cfRule>
  </conditionalFormatting>
  <conditionalFormatting sqref="E283">
    <cfRule type="expression" dxfId="729" priority="301">
      <formula>MOD(ROW(),2)=0</formula>
    </cfRule>
  </conditionalFormatting>
  <conditionalFormatting sqref="E288">
    <cfRule type="expression" dxfId="728" priority="300">
      <formula>MOD(ROW(),2)=0</formula>
    </cfRule>
  </conditionalFormatting>
  <conditionalFormatting sqref="G289">
    <cfRule type="expression" dxfId="727" priority="299">
      <formula>MOD(ROW(),2)=0</formula>
    </cfRule>
  </conditionalFormatting>
  <conditionalFormatting sqref="G290">
    <cfRule type="expression" dxfId="726" priority="298">
      <formula>MOD(ROW(),2)=0</formula>
    </cfRule>
  </conditionalFormatting>
  <conditionalFormatting sqref="E289">
    <cfRule type="expression" dxfId="725" priority="297">
      <formula>MOD(ROW(),2)=0</formula>
    </cfRule>
  </conditionalFormatting>
  <conditionalFormatting sqref="E290">
    <cfRule type="expression" dxfId="724" priority="296">
      <formula>MOD(ROW(),2)=0</formula>
    </cfRule>
  </conditionalFormatting>
  <conditionalFormatting sqref="G225:H226 H223:H224">
    <cfRule type="expression" dxfId="723" priority="286">
      <formula>MOD(ROW(),2)=0</formula>
    </cfRule>
  </conditionalFormatting>
  <conditionalFormatting sqref="G227:G228">
    <cfRule type="expression" dxfId="722" priority="284">
      <formula>MOD(ROW(),2)=0</formula>
    </cfRule>
  </conditionalFormatting>
  <conditionalFormatting sqref="E287">
    <cfRule type="expression" dxfId="721" priority="274">
      <formula>MOD(ROW(),2)=0</formula>
    </cfRule>
  </conditionalFormatting>
  <conditionalFormatting sqref="G288">
    <cfRule type="expression" dxfId="720" priority="273">
      <formula>MOD(ROW(),2)=0</formula>
    </cfRule>
  </conditionalFormatting>
  <conditionalFormatting sqref="E291">
    <cfRule type="expression" dxfId="719" priority="272">
      <formula>MOD(ROW(),2)=0</formula>
    </cfRule>
  </conditionalFormatting>
  <conditionalFormatting sqref="G291">
    <cfRule type="expression" dxfId="718" priority="271">
      <formula>MOD(ROW(),2)=0</formula>
    </cfRule>
  </conditionalFormatting>
  <conditionalFormatting sqref="G292">
    <cfRule type="expression" dxfId="717" priority="270">
      <formula>MOD(ROW(),2)=0</formula>
    </cfRule>
  </conditionalFormatting>
  <conditionalFormatting sqref="G293">
    <cfRule type="expression" dxfId="716" priority="269">
      <formula>MOD(ROW(),2)=0</formula>
    </cfRule>
  </conditionalFormatting>
  <conditionalFormatting sqref="G285">
    <cfRule type="expression" dxfId="715" priority="267">
      <formula>MOD(ROW(),2)=0</formula>
    </cfRule>
  </conditionalFormatting>
  <conditionalFormatting sqref="G286">
    <cfRule type="expression" dxfId="714" priority="266">
      <formula>MOD(ROW(),2)=0</formula>
    </cfRule>
  </conditionalFormatting>
  <conditionalFormatting sqref="F244">
    <cfRule type="expression" dxfId="713" priority="259">
      <formula>MOD(ROW(),2)=0</formula>
    </cfRule>
  </conditionalFormatting>
  <conditionalFormatting sqref="F248">
    <cfRule type="expression" dxfId="712" priority="251">
      <formula>MOD(ROW(),2)=0</formula>
    </cfRule>
  </conditionalFormatting>
  <conditionalFormatting sqref="H132:H147 H124:H127">
    <cfRule type="expression" dxfId="711" priority="209">
      <formula>MOD(ROW(),2)=0</formula>
    </cfRule>
  </conditionalFormatting>
  <conditionalFormatting sqref="H76:H123 H148:H162 H172:H219">
    <cfRule type="expression" dxfId="710" priority="208">
      <formula>MOD(ROW(),2)=0</formula>
    </cfRule>
  </conditionalFormatting>
  <conditionalFormatting sqref="H128:H131">
    <cfRule type="expression" dxfId="709" priority="207">
      <formula>MOD(ROW(),2)=0</formula>
    </cfRule>
  </conditionalFormatting>
  <conditionalFormatting sqref="H163:H164">
    <cfRule type="expression" dxfId="708" priority="206">
      <formula>MOD(ROW(),2)=0</formula>
    </cfRule>
  </conditionalFormatting>
  <conditionalFormatting sqref="H165:H171">
    <cfRule type="expression" dxfId="707" priority="205">
      <formula>MOD(ROW(),2)=0</formula>
    </cfRule>
  </conditionalFormatting>
  <conditionalFormatting sqref="E196:E219">
    <cfRule type="expression" dxfId="706" priority="204">
      <formula>MOD(ROW(),2)=0</formula>
    </cfRule>
  </conditionalFormatting>
  <conditionalFormatting sqref="G196:G197">
    <cfRule type="expression" dxfId="705" priority="203">
      <formula>MOD(ROW(),2)=0</formula>
    </cfRule>
  </conditionalFormatting>
  <conditionalFormatting sqref="G198:G199">
    <cfRule type="expression" dxfId="704" priority="202">
      <formula>MOD(ROW(),2)=0</formula>
    </cfRule>
  </conditionalFormatting>
  <conditionalFormatting sqref="G204:G205">
    <cfRule type="expression" dxfId="703" priority="201">
      <formula>MOD(ROW(),2)=0</formula>
    </cfRule>
  </conditionalFormatting>
  <conditionalFormatting sqref="G206:G207">
    <cfRule type="expression" dxfId="702" priority="200">
      <formula>MOD(ROW(),2)=0</formula>
    </cfRule>
  </conditionalFormatting>
  <conditionalFormatting sqref="G208:G209">
    <cfRule type="expression" dxfId="701" priority="199">
      <formula>MOD(ROW(),2)=0</formula>
    </cfRule>
  </conditionalFormatting>
  <conditionalFormatting sqref="G210:G211">
    <cfRule type="expression" dxfId="700" priority="198">
      <formula>MOD(ROW(),2)=0</formula>
    </cfRule>
  </conditionalFormatting>
  <conditionalFormatting sqref="G212:G213">
    <cfRule type="expression" dxfId="699" priority="197">
      <formula>MOD(ROW(),2)=0</formula>
    </cfRule>
  </conditionalFormatting>
  <conditionalFormatting sqref="G214:G215">
    <cfRule type="expression" dxfId="698" priority="196">
      <formula>MOD(ROW(),2)=0</formula>
    </cfRule>
  </conditionalFormatting>
  <conditionalFormatting sqref="G216:G217">
    <cfRule type="expression" dxfId="697" priority="195">
      <formula>MOD(ROW(),2)=0</formula>
    </cfRule>
  </conditionalFormatting>
  <conditionalFormatting sqref="G218:G219">
    <cfRule type="expression" dxfId="696" priority="194">
      <formula>MOD(ROW(),2)=0</formula>
    </cfRule>
  </conditionalFormatting>
  <conditionalFormatting sqref="G200:G201">
    <cfRule type="expression" dxfId="695" priority="193">
      <formula>MOD(ROW(),2)=0</formula>
    </cfRule>
  </conditionalFormatting>
  <conditionalFormatting sqref="G202:G203">
    <cfRule type="expression" dxfId="694" priority="192">
      <formula>MOD(ROW(),2)=0</formula>
    </cfRule>
  </conditionalFormatting>
  <conditionalFormatting sqref="E76:E99">
    <cfRule type="expression" dxfId="693" priority="191">
      <formula>MOD(ROW(),2)=0</formula>
    </cfRule>
  </conditionalFormatting>
  <conditionalFormatting sqref="G76:G77">
    <cfRule type="expression" dxfId="692" priority="190">
      <formula>MOD(ROW(),2)=0</formula>
    </cfRule>
  </conditionalFormatting>
  <conditionalFormatting sqref="G78:G79">
    <cfRule type="expression" dxfId="691" priority="189">
      <formula>MOD(ROW(),2)=0</formula>
    </cfRule>
  </conditionalFormatting>
  <conditionalFormatting sqref="G84:G85">
    <cfRule type="expression" dxfId="690" priority="188">
      <formula>MOD(ROW(),2)=0</formula>
    </cfRule>
  </conditionalFormatting>
  <conditionalFormatting sqref="G86:G87">
    <cfRule type="expression" dxfId="689" priority="187">
      <formula>MOD(ROW(),2)=0</formula>
    </cfRule>
  </conditionalFormatting>
  <conditionalFormatting sqref="G88:G89">
    <cfRule type="expression" dxfId="688" priority="186">
      <formula>MOD(ROW(),2)=0</formula>
    </cfRule>
  </conditionalFormatting>
  <conditionalFormatting sqref="G90:G91">
    <cfRule type="expression" dxfId="687" priority="185">
      <formula>MOD(ROW(),2)=0</formula>
    </cfRule>
  </conditionalFormatting>
  <conditionalFormatting sqref="G92:G93">
    <cfRule type="expression" dxfId="686" priority="184">
      <formula>MOD(ROW(),2)=0</formula>
    </cfRule>
  </conditionalFormatting>
  <conditionalFormatting sqref="G94:G95">
    <cfRule type="expression" dxfId="685" priority="183">
      <formula>MOD(ROW(),2)=0</formula>
    </cfRule>
  </conditionalFormatting>
  <conditionalFormatting sqref="G96:G97">
    <cfRule type="expression" dxfId="684" priority="182">
      <formula>MOD(ROW(),2)=0</formula>
    </cfRule>
  </conditionalFormatting>
  <conditionalFormatting sqref="G98:G99">
    <cfRule type="expression" dxfId="683" priority="181">
      <formula>MOD(ROW(),2)=0</formula>
    </cfRule>
  </conditionalFormatting>
  <conditionalFormatting sqref="G80:G81">
    <cfRule type="expression" dxfId="682" priority="180">
      <formula>MOD(ROW(),2)=0</formula>
    </cfRule>
  </conditionalFormatting>
  <conditionalFormatting sqref="G82:G83">
    <cfRule type="expression" dxfId="681" priority="179">
      <formula>MOD(ROW(),2)=0</formula>
    </cfRule>
  </conditionalFormatting>
  <conditionalFormatting sqref="G100:G101">
    <cfRule type="expression" dxfId="680" priority="178">
      <formula>MOD(ROW(),2)=0</formula>
    </cfRule>
  </conditionalFormatting>
  <conditionalFormatting sqref="G102:G103">
    <cfRule type="expression" dxfId="679" priority="177">
      <formula>MOD(ROW(),2)=0</formula>
    </cfRule>
  </conditionalFormatting>
  <conditionalFormatting sqref="G108:G109">
    <cfRule type="expression" dxfId="678" priority="176">
      <formula>MOD(ROW(),2)=0</formula>
    </cfRule>
  </conditionalFormatting>
  <conditionalFormatting sqref="G110:G111">
    <cfRule type="expression" dxfId="677" priority="175">
      <formula>MOD(ROW(),2)=0</formula>
    </cfRule>
  </conditionalFormatting>
  <conditionalFormatting sqref="G112:G113">
    <cfRule type="expression" dxfId="676" priority="174">
      <formula>MOD(ROW(),2)=0</formula>
    </cfRule>
  </conditionalFormatting>
  <conditionalFormatting sqref="G114:G115">
    <cfRule type="expression" dxfId="675" priority="173">
      <formula>MOD(ROW(),2)=0</formula>
    </cfRule>
  </conditionalFormatting>
  <conditionalFormatting sqref="G116:G117">
    <cfRule type="expression" dxfId="674" priority="172">
      <formula>MOD(ROW(),2)=0</formula>
    </cfRule>
  </conditionalFormatting>
  <conditionalFormatting sqref="G118:G119">
    <cfRule type="expression" dxfId="673" priority="171">
      <formula>MOD(ROW(),2)=0</formula>
    </cfRule>
  </conditionalFormatting>
  <conditionalFormatting sqref="G120:G121">
    <cfRule type="expression" dxfId="672" priority="170">
      <formula>MOD(ROW(),2)=0</formula>
    </cfRule>
  </conditionalFormatting>
  <conditionalFormatting sqref="G122:G123">
    <cfRule type="expression" dxfId="671" priority="169">
      <formula>MOD(ROW(),2)=0</formula>
    </cfRule>
  </conditionalFormatting>
  <conditionalFormatting sqref="G104:G105">
    <cfRule type="expression" dxfId="670" priority="168">
      <formula>MOD(ROW(),2)=0</formula>
    </cfRule>
  </conditionalFormatting>
  <conditionalFormatting sqref="G106:G107">
    <cfRule type="expression" dxfId="669" priority="167">
      <formula>MOD(ROW(),2)=0</formula>
    </cfRule>
  </conditionalFormatting>
  <conditionalFormatting sqref="E100:E123">
    <cfRule type="expression" dxfId="668" priority="166">
      <formula>MOD(ROW(),2)=0</formula>
    </cfRule>
  </conditionalFormatting>
  <conditionalFormatting sqref="G124:G125">
    <cfRule type="expression" dxfId="667" priority="165">
      <formula>MOD(ROW(),2)=0</formula>
    </cfRule>
  </conditionalFormatting>
  <conditionalFormatting sqref="G126:G127">
    <cfRule type="expression" dxfId="666" priority="164">
      <formula>MOD(ROW(),2)=0</formula>
    </cfRule>
  </conditionalFormatting>
  <conditionalFormatting sqref="G132:G133">
    <cfRule type="expression" dxfId="665" priority="163">
      <formula>MOD(ROW(),2)=0</formula>
    </cfRule>
  </conditionalFormatting>
  <conditionalFormatting sqref="G134:G135">
    <cfRule type="expression" dxfId="664" priority="162">
      <formula>MOD(ROW(),2)=0</formula>
    </cfRule>
  </conditionalFormatting>
  <conditionalFormatting sqref="G136:G137">
    <cfRule type="expression" dxfId="663" priority="161">
      <formula>MOD(ROW(),2)=0</formula>
    </cfRule>
  </conditionalFormatting>
  <conditionalFormatting sqref="G138:G139">
    <cfRule type="expression" dxfId="662" priority="160">
      <formula>MOD(ROW(),2)=0</formula>
    </cfRule>
  </conditionalFormatting>
  <conditionalFormatting sqref="G140:G141">
    <cfRule type="expression" dxfId="661" priority="159">
      <formula>MOD(ROW(),2)=0</formula>
    </cfRule>
  </conditionalFormatting>
  <conditionalFormatting sqref="G142:G143">
    <cfRule type="expression" dxfId="660" priority="158">
      <formula>MOD(ROW(),2)=0</formula>
    </cfRule>
  </conditionalFormatting>
  <conditionalFormatting sqref="G144:G145">
    <cfRule type="expression" dxfId="659" priority="157">
      <formula>MOD(ROW(),2)=0</formula>
    </cfRule>
  </conditionalFormatting>
  <conditionalFormatting sqref="G146:G147">
    <cfRule type="expression" dxfId="658" priority="156">
      <formula>MOD(ROW(),2)=0</formula>
    </cfRule>
  </conditionalFormatting>
  <conditionalFormatting sqref="G128:G129">
    <cfRule type="expression" dxfId="657" priority="155">
      <formula>MOD(ROW(),2)=0</formula>
    </cfRule>
  </conditionalFormatting>
  <conditionalFormatting sqref="G130:G131">
    <cfRule type="expression" dxfId="656" priority="154">
      <formula>MOD(ROW(),2)=0</formula>
    </cfRule>
  </conditionalFormatting>
  <conditionalFormatting sqref="E148:E171">
    <cfRule type="expression" dxfId="655" priority="153">
      <formula>MOD(ROW(),2)=0</formula>
    </cfRule>
  </conditionalFormatting>
  <conditionalFormatting sqref="G148:G149">
    <cfRule type="expression" dxfId="654" priority="152">
      <formula>MOD(ROW(),2)=0</formula>
    </cfRule>
  </conditionalFormatting>
  <conditionalFormatting sqref="G150:G151">
    <cfRule type="expression" dxfId="653" priority="151">
      <formula>MOD(ROW(),2)=0</formula>
    </cfRule>
  </conditionalFormatting>
  <conditionalFormatting sqref="G156:G157">
    <cfRule type="expression" dxfId="652" priority="150">
      <formula>MOD(ROW(),2)=0</formula>
    </cfRule>
  </conditionalFormatting>
  <conditionalFormatting sqref="G158:G159">
    <cfRule type="expression" dxfId="651" priority="149">
      <formula>MOD(ROW(),2)=0</formula>
    </cfRule>
  </conditionalFormatting>
  <conditionalFormatting sqref="G160:G161">
    <cfRule type="expression" dxfId="650" priority="148">
      <formula>MOD(ROW(),2)=0</formula>
    </cfRule>
  </conditionalFormatting>
  <conditionalFormatting sqref="G162:G163">
    <cfRule type="expression" dxfId="649" priority="147">
      <formula>MOD(ROW(),2)=0</formula>
    </cfRule>
  </conditionalFormatting>
  <conditionalFormatting sqref="G164:G165">
    <cfRule type="expression" dxfId="648" priority="146">
      <formula>MOD(ROW(),2)=0</formula>
    </cfRule>
  </conditionalFormatting>
  <conditionalFormatting sqref="G166:G167">
    <cfRule type="expression" dxfId="647" priority="145">
      <formula>MOD(ROW(),2)=0</formula>
    </cfRule>
  </conditionalFormatting>
  <conditionalFormatting sqref="G168:G169">
    <cfRule type="expression" dxfId="646" priority="144">
      <formula>MOD(ROW(),2)=0</formula>
    </cfRule>
  </conditionalFormatting>
  <conditionalFormatting sqref="G170:G171">
    <cfRule type="expression" dxfId="645" priority="143">
      <formula>MOD(ROW(),2)=0</formula>
    </cfRule>
  </conditionalFormatting>
  <conditionalFormatting sqref="G152:G153">
    <cfRule type="expression" dxfId="644" priority="142">
      <formula>MOD(ROW(),2)=0</formula>
    </cfRule>
  </conditionalFormatting>
  <conditionalFormatting sqref="G154:G155">
    <cfRule type="expression" dxfId="643" priority="141">
      <formula>MOD(ROW(),2)=0</formula>
    </cfRule>
  </conditionalFormatting>
  <conditionalFormatting sqref="E172:E195">
    <cfRule type="expression" dxfId="642" priority="139">
      <formula>MOD(ROW(),2)=0</formula>
    </cfRule>
  </conditionalFormatting>
  <conditionalFormatting sqref="G172:G173">
    <cfRule type="expression" dxfId="641" priority="138">
      <formula>MOD(ROW(),2)=0</formula>
    </cfRule>
  </conditionalFormatting>
  <conditionalFormatting sqref="G174:G175">
    <cfRule type="expression" dxfId="640" priority="137">
      <formula>MOD(ROW(),2)=0</formula>
    </cfRule>
  </conditionalFormatting>
  <conditionalFormatting sqref="G180:G181">
    <cfRule type="expression" dxfId="639" priority="136">
      <formula>MOD(ROW(),2)=0</formula>
    </cfRule>
  </conditionalFormatting>
  <conditionalFormatting sqref="G182:G183">
    <cfRule type="expression" dxfId="638" priority="135">
      <formula>MOD(ROW(),2)=0</formula>
    </cfRule>
  </conditionalFormatting>
  <conditionalFormatting sqref="G184:G185">
    <cfRule type="expression" dxfId="637" priority="134">
      <formula>MOD(ROW(),2)=0</formula>
    </cfRule>
  </conditionalFormatting>
  <conditionalFormatting sqref="G186:G187">
    <cfRule type="expression" dxfId="636" priority="133">
      <formula>MOD(ROW(),2)=0</formula>
    </cfRule>
  </conditionalFormatting>
  <conditionalFormatting sqref="G188:G189">
    <cfRule type="expression" dxfId="635" priority="132">
      <formula>MOD(ROW(),2)=0</formula>
    </cfRule>
  </conditionalFormatting>
  <conditionalFormatting sqref="G190:G191">
    <cfRule type="expression" dxfId="634" priority="131">
      <formula>MOD(ROW(),2)=0</formula>
    </cfRule>
  </conditionalFormatting>
  <conditionalFormatting sqref="G192:G193">
    <cfRule type="expression" dxfId="633" priority="130">
      <formula>MOD(ROW(),2)=0</formula>
    </cfRule>
  </conditionalFormatting>
  <conditionalFormatting sqref="G194:G195">
    <cfRule type="expression" dxfId="632" priority="129">
      <formula>MOD(ROW(),2)=0</formula>
    </cfRule>
  </conditionalFormatting>
  <conditionalFormatting sqref="G176:G177">
    <cfRule type="expression" dxfId="631" priority="128">
      <formula>MOD(ROW(),2)=0</formula>
    </cfRule>
  </conditionalFormatting>
  <conditionalFormatting sqref="G178:G179">
    <cfRule type="expression" dxfId="630" priority="127">
      <formula>MOD(ROW(),2)=0</formula>
    </cfRule>
  </conditionalFormatting>
  <conditionalFormatting sqref="G246">
    <cfRule type="expression" dxfId="629" priority="126">
      <formula>MOD(ROW(),2)=0</formula>
    </cfRule>
  </conditionalFormatting>
  <conditionalFormatting sqref="E224">
    <cfRule type="expression" dxfId="628" priority="107">
      <formula>MOD(ROW(),2)=0</formula>
    </cfRule>
  </conditionalFormatting>
  <conditionalFormatting sqref="G74:G75">
    <cfRule type="expression" dxfId="626" priority="123">
      <formula>MOD(ROW(),2)=0</formula>
    </cfRule>
  </conditionalFormatting>
  <conditionalFormatting sqref="E74:E75">
    <cfRule type="expression" dxfId="625" priority="122">
      <formula>MOD(ROW(),2)=0</formula>
    </cfRule>
  </conditionalFormatting>
  <conditionalFormatting sqref="E225">
    <cfRule type="expression" dxfId="624" priority="121">
      <formula>MOD(ROW(),2)=0</formula>
    </cfRule>
  </conditionalFormatting>
  <conditionalFormatting sqref="E246">
    <cfRule type="expression" dxfId="621" priority="118">
      <formula>MOD(ROW(),2)=0</formula>
    </cfRule>
  </conditionalFormatting>
  <conditionalFormatting sqref="E404">
    <cfRule type="expression" dxfId="620" priority="117">
      <formula>MOD(ROW(),2)=0</formula>
    </cfRule>
  </conditionalFormatting>
  <conditionalFormatting sqref="G224">
    <cfRule type="expression" dxfId="619" priority="116">
      <formula>MOD(ROW(),2)=0</formula>
    </cfRule>
  </conditionalFormatting>
  <conditionalFormatting sqref="G245">
    <cfRule type="expression" dxfId="618" priority="115">
      <formula>MOD(ROW(),2)=0</formula>
    </cfRule>
  </conditionalFormatting>
  <conditionalFormatting sqref="E223">
    <cfRule type="expression" dxfId="617" priority="96">
      <formula>MOD(ROW(),2)=0</formula>
    </cfRule>
  </conditionalFormatting>
  <conditionalFormatting sqref="G72:G73">
    <cfRule type="expression" dxfId="615" priority="112">
      <formula>MOD(ROW(),2)=0</formula>
    </cfRule>
  </conditionalFormatting>
  <conditionalFormatting sqref="E72:E73">
    <cfRule type="expression" dxfId="614" priority="111">
      <formula>MOD(ROW(),2)=0</formula>
    </cfRule>
  </conditionalFormatting>
  <conditionalFormatting sqref="E245">
    <cfRule type="expression" dxfId="613" priority="110">
      <formula>MOD(ROW(),2)=0</formula>
    </cfRule>
  </conditionalFormatting>
  <conditionalFormatting sqref="G222">
    <cfRule type="expression" dxfId="611" priority="90">
      <formula>MOD(ROW(),2)=0</formula>
    </cfRule>
  </conditionalFormatting>
  <conditionalFormatting sqref="E402">
    <cfRule type="expression" dxfId="609" priority="106">
      <formula>MOD(ROW(),2)=0</formula>
    </cfRule>
  </conditionalFormatting>
  <conditionalFormatting sqref="E403">
    <cfRule type="expression" dxfId="608" priority="105">
      <formula>MOD(ROW(),2)=0</formula>
    </cfRule>
  </conditionalFormatting>
  <conditionalFormatting sqref="G400:G401">
    <cfRule type="expression" dxfId="607" priority="104">
      <formula>MOD(ROW(),2)=0</formula>
    </cfRule>
  </conditionalFormatting>
  <conditionalFormatting sqref="G223">
    <cfRule type="expression" dxfId="606" priority="103">
      <formula>MOD(ROW(),2)=0</formula>
    </cfRule>
  </conditionalFormatting>
  <conditionalFormatting sqref="G70:G71">
    <cfRule type="expression" dxfId="603" priority="100">
      <formula>MOD(ROW(),2)=0</formula>
    </cfRule>
  </conditionalFormatting>
  <conditionalFormatting sqref="E70:E71">
    <cfRule type="expression" dxfId="602" priority="99">
      <formula>MOD(ROW(),2)=0</formula>
    </cfRule>
  </conditionalFormatting>
  <conditionalFormatting sqref="G396:G397">
    <cfRule type="expression" dxfId="600" priority="79">
      <formula>MOD(ROW(),2)=0</formula>
    </cfRule>
  </conditionalFormatting>
  <conditionalFormatting sqref="E244">
    <cfRule type="expression" dxfId="598" priority="95">
      <formula>MOD(ROW(),2)=0</formula>
    </cfRule>
  </conditionalFormatting>
  <conditionalFormatting sqref="G244">
    <cfRule type="expression" dxfId="597" priority="94">
      <formula>MOD(ROW(),2)=0</formula>
    </cfRule>
  </conditionalFormatting>
  <conditionalFormatting sqref="E400">
    <cfRule type="expression" dxfId="596" priority="93">
      <formula>MOD(ROW(),2)=0</formula>
    </cfRule>
  </conditionalFormatting>
  <conditionalFormatting sqref="E401">
    <cfRule type="expression" dxfId="595" priority="92">
      <formula>MOD(ROW(),2)=0</formula>
    </cfRule>
  </conditionalFormatting>
  <conditionalFormatting sqref="G398:G399">
    <cfRule type="expression" dxfId="594" priority="91">
      <formula>MOD(ROW(),2)=0</formula>
    </cfRule>
  </conditionalFormatting>
  <conditionalFormatting sqref="G243">
    <cfRule type="expression" dxfId="592" priority="89">
      <formula>MOD(ROW(),2)=0</formula>
    </cfRule>
  </conditionalFormatting>
  <conditionalFormatting sqref="E221">
    <cfRule type="expression" dxfId="591" priority="70">
      <formula>MOD(ROW(),2)=0</formula>
    </cfRule>
  </conditionalFormatting>
  <conditionalFormatting sqref="G68:G69">
    <cfRule type="expression" dxfId="589" priority="86">
      <formula>MOD(ROW(),2)=0</formula>
    </cfRule>
  </conditionalFormatting>
  <conditionalFormatting sqref="E243">
    <cfRule type="expression" dxfId="588" priority="85">
      <formula>MOD(ROW(),2)=0</formula>
    </cfRule>
  </conditionalFormatting>
  <conditionalFormatting sqref="G394:G395">
    <cfRule type="expression" dxfId="586" priority="65">
      <formula>MOD(ROW(),2)=0</formula>
    </cfRule>
  </conditionalFormatting>
  <conditionalFormatting sqref="E222">
    <cfRule type="expression" dxfId="585" priority="82">
      <formula>MOD(ROW(),2)=0</formula>
    </cfRule>
  </conditionalFormatting>
  <conditionalFormatting sqref="E398">
    <cfRule type="expression" dxfId="584" priority="81">
      <formula>MOD(ROW(),2)=0</formula>
    </cfRule>
  </conditionalFormatting>
  <conditionalFormatting sqref="E399">
    <cfRule type="expression" dxfId="583" priority="80">
      <formula>MOD(ROW(),2)=0</formula>
    </cfRule>
  </conditionalFormatting>
  <conditionalFormatting sqref="G221">
    <cfRule type="expression" dxfId="581" priority="78">
      <formula>MOD(ROW(),2)=0</formula>
    </cfRule>
  </conditionalFormatting>
  <conditionalFormatting sqref="G242">
    <cfRule type="expression" dxfId="580" priority="77">
      <formula>MOD(ROW(),2)=0</formula>
    </cfRule>
  </conditionalFormatting>
  <conditionalFormatting sqref="E65">
    <cfRule type="expression" dxfId="579" priority="58">
      <formula>MOD(ROW(),2)=0</formula>
    </cfRule>
  </conditionalFormatting>
  <conditionalFormatting sqref="G66:G67">
    <cfRule type="expression" dxfId="577" priority="74">
      <formula>MOD(ROW(),2)=0</formula>
    </cfRule>
  </conditionalFormatting>
  <conditionalFormatting sqref="E242">
    <cfRule type="expression" dxfId="576" priority="73">
      <formula>MOD(ROW(),2)=0</formula>
    </cfRule>
  </conditionalFormatting>
  <conditionalFormatting sqref="E394">
    <cfRule type="expression" dxfId="574" priority="53">
      <formula>MOD(ROW(),2)=0</formula>
    </cfRule>
  </conditionalFormatting>
  <conditionalFormatting sqref="E67">
    <cfRule type="expression" dxfId="572" priority="69">
      <formula>MOD(ROW(),2)=0</formula>
    </cfRule>
  </conditionalFormatting>
  <conditionalFormatting sqref="E66">
    <cfRule type="expression" dxfId="571" priority="68">
      <formula>MOD(ROW(),2)=0</formula>
    </cfRule>
  </conditionalFormatting>
  <conditionalFormatting sqref="E397">
    <cfRule type="expression" dxfId="570" priority="67">
      <formula>MOD(ROW(),2)=0</formula>
    </cfRule>
  </conditionalFormatting>
  <conditionalFormatting sqref="E396">
    <cfRule type="expression" dxfId="569" priority="66">
      <formula>MOD(ROW(),2)=0</formula>
    </cfRule>
  </conditionalFormatting>
  <conditionalFormatting sqref="G220">
    <cfRule type="expression" dxfId="567" priority="64">
      <formula>MOD(ROW(),2)=0</formula>
    </cfRule>
  </conditionalFormatting>
  <conditionalFormatting sqref="G241">
    <cfRule type="expression" dxfId="566" priority="63">
      <formula>MOD(ROW(),2)=0</formula>
    </cfRule>
  </conditionalFormatting>
  <conditionalFormatting sqref="G388:G393">
    <cfRule type="expression" dxfId="565" priority="44">
      <formula>MOD(ROW(),2)=0</formula>
    </cfRule>
  </conditionalFormatting>
  <conditionalFormatting sqref="G64:G65">
    <cfRule type="expression" dxfId="563" priority="60">
      <formula>MOD(ROW(),2)=0</formula>
    </cfRule>
  </conditionalFormatting>
  <conditionalFormatting sqref="E64">
    <cfRule type="expression" dxfId="562" priority="59">
      <formula>MOD(ROW(),2)=0</formula>
    </cfRule>
  </conditionalFormatting>
  <conditionalFormatting sqref="K283">
    <cfRule type="expression" dxfId="560" priority="39">
      <formula>MOD(ROW(),2)=0</formula>
    </cfRule>
  </conditionalFormatting>
  <conditionalFormatting sqref="E220">
    <cfRule type="expression" dxfId="559" priority="56">
      <formula>MOD(ROW(),2)=0</formula>
    </cfRule>
  </conditionalFormatting>
  <conditionalFormatting sqref="E241">
    <cfRule type="expression" dxfId="557" priority="54">
      <formula>MOD(ROW(),2)=0</formula>
    </cfRule>
  </conditionalFormatting>
  <conditionalFormatting sqref="E395">
    <cfRule type="expression" dxfId="555" priority="52">
      <formula>MOD(ROW(),2)=0</formula>
    </cfRule>
  </conditionalFormatting>
  <conditionalFormatting sqref="G247">
    <cfRule type="expression" dxfId="554" priority="48">
      <formula>MOD(ROW(),2)=0</formula>
    </cfRule>
  </conditionalFormatting>
  <conditionalFormatting sqref="G248">
    <cfRule type="expression" dxfId="553" priority="47">
      <formula>MOD(ROW(),2)=0</formula>
    </cfRule>
  </conditionalFormatting>
  <conditionalFormatting sqref="G249">
    <cfRule type="expression" dxfId="552" priority="46">
      <formula>MOD(ROW(),2)=0</formula>
    </cfRule>
  </conditionalFormatting>
  <conditionalFormatting sqref="G250">
    <cfRule type="expression" dxfId="551" priority="45">
      <formula>MOD(ROW(),2)=0</formula>
    </cfRule>
  </conditionalFormatting>
  <conditionalFormatting sqref="G251:G252">
    <cfRule type="expression" dxfId="550" priority="51">
      <formula>MOD(ROW(),2)=0</formula>
    </cfRule>
  </conditionalFormatting>
  <conditionalFormatting sqref="G247">
    <cfRule type="expression" dxfId="549" priority="50">
      <formula>MOD(ROW(),2)=0</formula>
    </cfRule>
  </conditionalFormatting>
  <conditionalFormatting sqref="G248">
    <cfRule type="expression" dxfId="548" priority="49">
      <formula>MOD(ROW(),2)=0</formula>
    </cfRule>
  </conditionalFormatting>
  <conditionalFormatting sqref="K255:K282 K285:K294 K301:K393">
    <cfRule type="expression" dxfId="546" priority="42">
      <formula>MOD(ROW(),2)=0</formula>
    </cfRule>
  </conditionalFormatting>
  <conditionalFormatting sqref="K284">
    <cfRule type="expression" dxfId="544" priority="38">
      <formula>MOD(ROW(),2)=0</formula>
    </cfRule>
  </conditionalFormatting>
  <conditionalFormatting sqref="K295:K300">
    <cfRule type="expression" dxfId="543" priority="37">
      <formula>MOD(ROW(),2)=0</formula>
    </cfRule>
  </conditionalFormatting>
  <conditionalFormatting sqref="J253:J393">
    <cfRule type="expression" dxfId="542" priority="43">
      <formula>MOD(ROW(),2)=0</formula>
    </cfRule>
  </conditionalFormatting>
  <conditionalFormatting sqref="K253">
    <cfRule type="expression" dxfId="541" priority="41">
      <formula>MOD(ROW(),2)=0</formula>
    </cfRule>
  </conditionalFormatting>
  <conditionalFormatting sqref="K254">
    <cfRule type="expression" dxfId="540" priority="40">
      <formula>MOD(ROW(),2)=0</formula>
    </cfRule>
  </conditionalFormatting>
  <conditionalFormatting sqref="K252">
    <cfRule type="expression" dxfId="539" priority="33">
      <formula>MOD(ROW(),2)=0</formula>
    </cfRule>
  </conditionalFormatting>
  <conditionalFormatting sqref="J247:J252">
    <cfRule type="expression" dxfId="538" priority="36">
      <formula>MOD(ROW(),2)=0</formula>
    </cfRule>
  </conditionalFormatting>
  <conditionalFormatting sqref="K247:K250">
    <cfRule type="expression" dxfId="537" priority="35">
      <formula>MOD(ROW(),2)=0</formula>
    </cfRule>
  </conditionalFormatting>
  <conditionalFormatting sqref="K251">
    <cfRule type="expression" dxfId="536" priority="34">
      <formula>MOD(ROW(),2)=0</formula>
    </cfRule>
  </conditionalFormatting>
  <conditionalFormatting sqref="F235:F240">
    <cfRule type="expression" dxfId="535" priority="32">
      <formula>MOD(ROW(),2)=0</formula>
    </cfRule>
  </conditionalFormatting>
  <conditionalFormatting sqref="D235:D240">
    <cfRule type="expression" dxfId="534" priority="31">
      <formula>MOD(ROW(),2)=0</formula>
    </cfRule>
  </conditionalFormatting>
  <conditionalFormatting sqref="G240">
    <cfRule type="expression" dxfId="533" priority="30">
      <formula>MOD(ROW(),2)=0</formula>
    </cfRule>
  </conditionalFormatting>
  <conditionalFormatting sqref="E240">
    <cfRule type="expression" dxfId="532" priority="29">
      <formula>MOD(ROW(),2)=0</formula>
    </cfRule>
  </conditionalFormatting>
  <conditionalFormatting sqref="G239">
    <cfRule type="expression" dxfId="531" priority="28">
      <formula>MOD(ROW(),2)=0</formula>
    </cfRule>
  </conditionalFormatting>
  <conditionalFormatting sqref="E239">
    <cfRule type="expression" dxfId="530" priority="27">
      <formula>MOD(ROW(),2)=0</formula>
    </cfRule>
  </conditionalFormatting>
  <conditionalFormatting sqref="G238">
    <cfRule type="expression" dxfId="529" priority="26">
      <formula>MOD(ROW(),2)=0</formula>
    </cfRule>
  </conditionalFormatting>
  <conditionalFormatting sqref="E238">
    <cfRule type="expression" dxfId="528" priority="25">
      <formula>MOD(ROW(),2)=0</formula>
    </cfRule>
  </conditionalFormatting>
  <conditionalFormatting sqref="G237">
    <cfRule type="expression" dxfId="527" priority="24">
      <formula>MOD(ROW(),2)=0</formula>
    </cfRule>
  </conditionalFormatting>
  <conditionalFormatting sqref="E237">
    <cfRule type="expression" dxfId="526" priority="23">
      <formula>MOD(ROW(),2)=0</formula>
    </cfRule>
  </conditionalFormatting>
  <conditionalFormatting sqref="G236">
    <cfRule type="expression" dxfId="525" priority="22">
      <formula>MOD(ROW(),2)=0</formula>
    </cfRule>
  </conditionalFormatting>
  <conditionalFormatting sqref="E236">
    <cfRule type="expression" dxfId="524" priority="21">
      <formula>MOD(ROW(),2)=0</formula>
    </cfRule>
  </conditionalFormatting>
  <conditionalFormatting sqref="G235">
    <cfRule type="expression" dxfId="523" priority="20">
      <formula>MOD(ROW(),2)=0</formula>
    </cfRule>
  </conditionalFormatting>
  <conditionalFormatting sqref="E235">
    <cfRule type="expression" dxfId="522" priority="19">
      <formula>MOD(ROW(),2)=0</formula>
    </cfRule>
  </conditionalFormatting>
  <conditionalFormatting sqref="F229:F230">
    <cfRule type="expression" dxfId="521" priority="18">
      <formula>MOD(ROW(),2)=0</formula>
    </cfRule>
  </conditionalFormatting>
  <conditionalFormatting sqref="D229:D234">
    <cfRule type="expression" dxfId="520" priority="17">
      <formula>MOD(ROW(),2)=0</formula>
    </cfRule>
  </conditionalFormatting>
  <conditionalFormatting sqref="F231">
    <cfRule type="expression" dxfId="519" priority="14">
      <formula>MOD(ROW(),2)=0</formula>
    </cfRule>
  </conditionalFormatting>
  <conditionalFormatting sqref="F232">
    <cfRule type="expression" dxfId="518" priority="13">
      <formula>MOD(ROW(),2)=0</formula>
    </cfRule>
  </conditionalFormatting>
  <conditionalFormatting sqref="F233">
    <cfRule type="expression" dxfId="517" priority="16">
      <formula>MOD(ROW(),2)=0</formula>
    </cfRule>
  </conditionalFormatting>
  <conditionalFormatting sqref="F234">
    <cfRule type="expression" dxfId="516" priority="15">
      <formula>MOD(ROW(),2)=0</formula>
    </cfRule>
  </conditionalFormatting>
  <conditionalFormatting sqref="G234">
    <cfRule type="expression" dxfId="515" priority="12">
      <formula>MOD(ROW(),2)=0</formula>
    </cfRule>
  </conditionalFormatting>
  <conditionalFormatting sqref="E234">
    <cfRule type="expression" dxfId="514" priority="11">
      <formula>MOD(ROW(),2)=0</formula>
    </cfRule>
  </conditionalFormatting>
  <conditionalFormatting sqref="G233">
    <cfRule type="expression" dxfId="513" priority="10">
      <formula>MOD(ROW(),2)=0</formula>
    </cfRule>
  </conditionalFormatting>
  <conditionalFormatting sqref="E233">
    <cfRule type="expression" dxfId="512" priority="9">
      <formula>MOD(ROW(),2)=0</formula>
    </cfRule>
  </conditionalFormatting>
  <conditionalFormatting sqref="G232">
    <cfRule type="expression" dxfId="511" priority="8">
      <formula>MOD(ROW(),2)=0</formula>
    </cfRule>
  </conditionalFormatting>
  <conditionalFormatting sqref="E232">
    <cfRule type="expression" dxfId="510" priority="7">
      <formula>MOD(ROW(),2)=0</formula>
    </cfRule>
  </conditionalFormatting>
  <conditionalFormatting sqref="G231">
    <cfRule type="expression" dxfId="509" priority="6">
      <formula>MOD(ROW(),2)=0</formula>
    </cfRule>
  </conditionalFormatting>
  <conditionalFormatting sqref="E231">
    <cfRule type="expression" dxfId="508" priority="5">
      <formula>MOD(ROW(),2)=0</formula>
    </cfRule>
  </conditionalFormatting>
  <conditionalFormatting sqref="G230">
    <cfRule type="expression" dxfId="507" priority="4">
      <formula>MOD(ROW(),2)=0</formula>
    </cfRule>
  </conditionalFormatting>
  <conditionalFormatting sqref="E230">
    <cfRule type="expression" dxfId="506" priority="3">
      <formula>MOD(ROW(),2)=0</formula>
    </cfRule>
  </conditionalFormatting>
  <conditionalFormatting sqref="G229">
    <cfRule type="expression" dxfId="505" priority="2">
      <formula>MOD(ROW(),2)=0</formula>
    </cfRule>
  </conditionalFormatting>
  <conditionalFormatting sqref="E229">
    <cfRule type="expression" dxfId="504" priority="1">
      <formula>MOD(ROW(),2)=0</formula>
    </cfRule>
  </conditionalFormatting>
  <hyperlinks>
    <hyperlink ref="AN6" location="'0'!A1" tooltip="X stave 0, Front" display="'0'!A1" xr:uid="{00000000-0004-0000-0D00-000000000000}"/>
    <hyperlink ref="AN7:AN10" location="'0'!A1" tooltip="X stave 0, Front" display="'0'!A1" xr:uid="{00000000-0004-0000-0D00-000001000000}"/>
    <hyperlink ref="AJ6" location="'0'!A1" tooltip="X stave 0, Front" display="'0'!A1" xr:uid="{00000000-0004-0000-0D00-000002000000}"/>
    <hyperlink ref="AJ7:AJ10" location="'0'!A1" tooltip="X stave 0, Front" display="'0'!A1" xr:uid="{00000000-0004-0000-0D00-000003000000}"/>
    <hyperlink ref="AH6" location="'0'!A1" tooltip="X stave 0, Front" display="'0'!A1" xr:uid="{00000000-0004-0000-0D00-000004000000}"/>
    <hyperlink ref="AH7:AH10" location="'0'!A1" tooltip="X stave 0, Front" display="'0'!A1" xr:uid="{00000000-0004-0000-0D00-000005000000}"/>
    <hyperlink ref="AJ6:AJ10" location="'2'!A1" tooltip="DCB 2" display="'2'!A1" xr:uid="{00000000-0004-0000-0D00-000006000000}"/>
    <hyperlink ref="AN6:AN10" location="'0'!A1" tooltip="DCB 0" display="'0'!A1" xr:uid="{00000000-0004-0000-0D00-000007000000}"/>
    <hyperlink ref="AL6" location="'0'!A1" tooltip="X stave 0, Front" display="'0'!A1" xr:uid="{00000000-0004-0000-0D00-000008000000}"/>
    <hyperlink ref="AL7:AL10" location="'0'!A1" tooltip="X stave 0, Front" display="'0'!A1" xr:uid="{00000000-0004-0000-0D00-000009000000}"/>
    <hyperlink ref="AL6:AL10" location="'1'!A1" tooltip="DCB 1" display="'1'!A1" xr:uid="{00000000-0004-0000-0D00-00000A000000}"/>
    <hyperlink ref="AH6:AH10" location="'3'!A1" display="'3'!A1" xr:uid="{00000000-0004-0000-0D00-00000B000000}"/>
    <hyperlink ref="AF6" location="'0'!A1" tooltip="X stave 0, Front" display="'0'!A1" xr:uid="{00000000-0004-0000-0D00-00000C000000}"/>
    <hyperlink ref="AF7:AF10" location="'0'!A1" tooltip="X stave 0, Front" display="'0'!A1" xr:uid="{00000000-0004-0000-0D00-00000D000000}"/>
    <hyperlink ref="AF6:AF10" location="'4'!A1" display="'4'!A1" xr:uid="{00000000-0004-0000-0D00-00000E000000}"/>
    <hyperlink ref="AD6" location="'0'!A1" tooltip="X stave 0, Front" display="'0'!A1" xr:uid="{00000000-0004-0000-0D00-00000F000000}"/>
    <hyperlink ref="AD7:AD10" location="'0'!A1" tooltip="X stave 0, Front" display="'0'!A1" xr:uid="{00000000-0004-0000-0D00-000010000000}"/>
    <hyperlink ref="AD6:AD10" location="'5'!A1" display="'5'!A1" xr:uid="{00000000-0004-0000-0D00-000011000000}"/>
    <hyperlink ref="AB6" location="'0'!A1" tooltip="X stave 0, Front" display="'0'!A1" xr:uid="{00000000-0004-0000-0D00-000012000000}"/>
    <hyperlink ref="AB7:AB10" location="'0'!A1" tooltip="X stave 0, Front" display="'0'!A1" xr:uid="{00000000-0004-0000-0D00-000013000000}"/>
    <hyperlink ref="AB6:AB10" location="'6'!A1" display="'6'!A1" xr:uid="{00000000-0004-0000-0D00-000014000000}"/>
    <hyperlink ref="Z6" location="'0'!A1" tooltip="X stave 0, Front" display="'0'!A1" xr:uid="{00000000-0004-0000-0D00-000015000000}"/>
    <hyperlink ref="Z7:Z10" location="'0'!A1" tooltip="X stave 0, Front" display="'0'!A1" xr:uid="{00000000-0004-0000-0D00-000016000000}"/>
    <hyperlink ref="Z6:Z10" location="'7'!A1" display="'7'!A1" xr:uid="{00000000-0004-0000-0D00-000017000000}"/>
    <hyperlink ref="X6" location="'0'!A1" tooltip="X stave 0, Front" display="'0'!A1" xr:uid="{00000000-0004-0000-0D00-000018000000}"/>
    <hyperlink ref="X7:X10" location="'0'!A1" tooltip="X stave 0, Front" display="'0'!A1" xr:uid="{00000000-0004-0000-0D00-000019000000}"/>
    <hyperlink ref="X6:X10" location="'8'!A1" display="'8'!A1" xr:uid="{00000000-0004-0000-0D00-00001A000000}"/>
    <hyperlink ref="V6" location="'0'!A1" tooltip="X stave 0, Front" display="'0'!A1" xr:uid="{00000000-0004-0000-0D00-00001B000000}"/>
    <hyperlink ref="V7:V10" location="'0'!A1" tooltip="X stave 0, Front" display="'0'!A1" xr:uid="{00000000-0004-0000-0D00-00001C000000}"/>
    <hyperlink ref="V6:V10" location="'9'!A1" display="'9'!A1" xr:uid="{00000000-0004-0000-0D00-00001D000000}"/>
    <hyperlink ref="T6" location="'0'!A1" tooltip="X stave 0, Front" display="'0'!A1" xr:uid="{00000000-0004-0000-0D00-00001E000000}"/>
    <hyperlink ref="T7:T10" location="'0'!A1" tooltip="X stave 0, Front" display="'0'!A1" xr:uid="{00000000-0004-0000-0D00-00001F000000}"/>
    <hyperlink ref="T6:T10" location="'10'!A1" display="'10'!A1" xr:uid="{00000000-0004-0000-0D00-000020000000}"/>
    <hyperlink ref="R6" location="'0'!A1" tooltip="X stave 0, Front" display="'0'!A1" xr:uid="{00000000-0004-0000-0D00-000021000000}"/>
    <hyperlink ref="R7:R10" location="'0'!A1" tooltip="X stave 0, Front" display="'0'!A1" xr:uid="{00000000-0004-0000-0D00-000022000000}"/>
    <hyperlink ref="R6:R10" location="'11'!A1" display="'11'!A1" xr:uid="{00000000-0004-0000-0D00-000023000000}"/>
  </hyperlinks>
  <pageMargins left="0.75" right="0.75" top="1" bottom="1" header="0.5" footer="0.5"/>
  <pageSetup orientation="portrait" horizontalDpi="4294967292" verticalDpi="429496729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B1:AR506"/>
  <sheetViews>
    <sheetView zoomScale="85" zoomScaleNormal="85" workbookViewId="0">
      <selection activeCell="AN8" sqref="AN8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455</v>
      </c>
      <c r="E2" s="511"/>
      <c r="F2" s="511"/>
      <c r="G2" s="512" t="s">
        <v>704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348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349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41">
        <v>0</v>
      </c>
      <c r="S6" s="166"/>
      <c r="T6" s="241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42">
        <v>0</v>
      </c>
      <c r="S7" s="166"/>
      <c r="T7" s="242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42">
        <v>0</v>
      </c>
      <c r="S8" s="166"/>
      <c r="T8" s="242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42">
        <v>0</v>
      </c>
      <c r="S9" s="166"/>
      <c r="T9" s="242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3">
        <v>0</v>
      </c>
      <c r="S10" s="166"/>
      <c r="T10" s="243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27">
        <v>11</v>
      </c>
      <c r="S11" s="527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9"/>
      <c r="Q17" s="19"/>
      <c r="R17" s="509"/>
      <c r="S17" s="19"/>
      <c r="T17" s="508"/>
      <c r="U17" s="19"/>
      <c r="V17" s="508"/>
      <c r="W17" s="19"/>
      <c r="X17" s="508"/>
      <c r="Y17" s="19"/>
      <c r="Z17" s="508"/>
      <c r="AA17" s="19"/>
      <c r="AB17" s="508"/>
      <c r="AC17" s="19"/>
      <c r="AD17" s="508"/>
      <c r="AE17" s="19"/>
      <c r="AF17" s="508"/>
      <c r="AG17" s="15"/>
      <c r="AH17" s="508"/>
      <c r="AI17" s="19"/>
      <c r="AJ17" s="508"/>
      <c r="AK17" s="19"/>
      <c r="AL17" s="508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510"/>
      <c r="Q18" s="19"/>
      <c r="R18" s="510"/>
      <c r="S18" s="19"/>
      <c r="T18" s="356"/>
      <c r="U18" s="19"/>
      <c r="V18" s="356"/>
      <c r="W18" s="19"/>
      <c r="X18" s="356"/>
      <c r="Y18" s="19"/>
      <c r="Z18" s="356"/>
      <c r="AA18" s="19"/>
      <c r="AB18" s="356"/>
      <c r="AC18" s="19"/>
      <c r="AD18" s="356"/>
      <c r="AE18" s="19"/>
      <c r="AF18" s="356"/>
      <c r="AG18" s="19"/>
      <c r="AH18" s="356"/>
      <c r="AI18" s="19"/>
      <c r="AJ18" s="356"/>
      <c r="AK18" s="19"/>
      <c r="AL18" s="356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7">
        <v>11</v>
      </c>
      <c r="Q19" s="357"/>
      <c r="R19" s="357">
        <v>10</v>
      </c>
      <c r="S19" s="357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709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984</v>
      </c>
      <c r="F61" s="5"/>
      <c r="G61" s="5" t="s">
        <v>987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1" t="s">
        <v>1003</v>
      </c>
      <c r="F64" s="275"/>
      <c r="G64" s="270" t="s">
        <v>157</v>
      </c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1" t="s">
        <v>1003</v>
      </c>
      <c r="F65" s="275"/>
      <c r="G65" s="270" t="s">
        <v>158</v>
      </c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1003</v>
      </c>
      <c r="F66" s="271"/>
      <c r="G66" s="270" t="s">
        <v>35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1003</v>
      </c>
      <c r="F67" s="271"/>
      <c r="G67" s="270" t="s">
        <v>36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1003</v>
      </c>
      <c r="F68" s="271"/>
      <c r="G68" s="272" t="s">
        <v>961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1003</v>
      </c>
      <c r="F69" s="271"/>
      <c r="G69" s="272" t="s">
        <v>962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1002</v>
      </c>
      <c r="F70" s="271"/>
      <c r="G70" s="270" t="s">
        <v>35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1002</v>
      </c>
      <c r="F71" s="271"/>
      <c r="G71" s="270" t="s">
        <v>36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1002</v>
      </c>
      <c r="F72" s="13"/>
      <c r="G72" s="272" t="s">
        <v>961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1002</v>
      </c>
      <c r="F73" s="13"/>
      <c r="G73" s="272" t="s">
        <v>962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1002</v>
      </c>
      <c r="F74" s="13"/>
      <c r="G74" s="270" t="s">
        <v>168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1002</v>
      </c>
      <c r="F75" s="13"/>
      <c r="G75" s="270" t="s">
        <v>169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1002</v>
      </c>
      <c r="F76" s="274"/>
      <c r="G76" s="272" t="s">
        <v>16</v>
      </c>
      <c r="H76" s="339" t="s">
        <v>939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1002</v>
      </c>
      <c r="F77" s="274"/>
      <c r="G77" s="272" t="s">
        <v>17</v>
      </c>
      <c r="H77" s="235" t="s">
        <v>939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1002</v>
      </c>
      <c r="F78" s="271"/>
      <c r="G78" s="272" t="s">
        <v>18</v>
      </c>
      <c r="H78" s="235" t="s">
        <v>939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1002</v>
      </c>
      <c r="F79" s="271"/>
      <c r="G79" s="272" t="s">
        <v>19</v>
      </c>
      <c r="H79" s="235" t="s">
        <v>939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1002</v>
      </c>
      <c r="F80" s="271"/>
      <c r="G80" s="272" t="s">
        <v>310</v>
      </c>
      <c r="H80" s="235" t="s">
        <v>939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1002</v>
      </c>
      <c r="F81" s="271"/>
      <c r="G81" s="272" t="s">
        <v>311</v>
      </c>
      <c r="H81" s="235" t="s">
        <v>939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1002</v>
      </c>
      <c r="F82" s="271"/>
      <c r="G82" s="272" t="s">
        <v>317</v>
      </c>
      <c r="H82" s="235" t="s">
        <v>939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1002</v>
      </c>
      <c r="F83" s="271"/>
      <c r="G83" s="272" t="s">
        <v>318</v>
      </c>
      <c r="H83" s="235" t="s">
        <v>939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1002</v>
      </c>
      <c r="F84" s="271"/>
      <c r="G84" s="272" t="s">
        <v>4</v>
      </c>
      <c r="H84" s="235" t="s">
        <v>939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1002</v>
      </c>
      <c r="F85" s="271"/>
      <c r="G85" s="272" t="s">
        <v>5</v>
      </c>
      <c r="H85" s="235" t="s">
        <v>939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1002</v>
      </c>
      <c r="F86" s="271"/>
      <c r="G86" s="272" t="s">
        <v>329</v>
      </c>
      <c r="H86" s="235" t="s">
        <v>939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1002</v>
      </c>
      <c r="F87" s="271"/>
      <c r="G87" s="272" t="s">
        <v>328</v>
      </c>
      <c r="H87" s="235" t="s">
        <v>939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1002</v>
      </c>
      <c r="F88" s="274"/>
      <c r="G88" s="272" t="s">
        <v>331</v>
      </c>
      <c r="H88" s="235" t="s">
        <v>939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1002</v>
      </c>
      <c r="F89" s="274"/>
      <c r="G89" s="272" t="s">
        <v>330</v>
      </c>
      <c r="H89" s="235" t="s">
        <v>939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1002</v>
      </c>
      <c r="F90" s="271"/>
      <c r="G90" s="272" t="s">
        <v>335</v>
      </c>
      <c r="H90" s="235" t="s">
        <v>939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1002</v>
      </c>
      <c r="F91" s="271"/>
      <c r="G91" s="272" t="s">
        <v>334</v>
      </c>
      <c r="H91" s="235" t="s">
        <v>939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1002</v>
      </c>
      <c r="F92" s="342"/>
      <c r="G92" s="272" t="s">
        <v>303</v>
      </c>
      <c r="H92" s="235" t="s">
        <v>939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1002</v>
      </c>
      <c r="F93" s="271"/>
      <c r="G93" s="272" t="s">
        <v>294</v>
      </c>
      <c r="H93" s="235" t="s">
        <v>939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1002</v>
      </c>
      <c r="F94" s="271"/>
      <c r="G94" s="272" t="s">
        <v>304</v>
      </c>
      <c r="H94" s="235" t="s">
        <v>939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1002</v>
      </c>
      <c r="F95" s="271"/>
      <c r="G95" s="272" t="s">
        <v>295</v>
      </c>
      <c r="H95" s="235" t="s">
        <v>939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1002</v>
      </c>
      <c r="F96" s="274"/>
      <c r="G96" s="272" t="s">
        <v>313</v>
      </c>
      <c r="H96" s="235" t="s">
        <v>939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1002</v>
      </c>
      <c r="F97" s="274"/>
      <c r="G97" s="272" t="s">
        <v>320</v>
      </c>
      <c r="H97" s="235" t="s">
        <v>939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1002</v>
      </c>
      <c r="F98" s="271"/>
      <c r="G98" s="272" t="s">
        <v>301</v>
      </c>
      <c r="H98" s="235" t="s">
        <v>939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1002</v>
      </c>
      <c r="F99" s="271"/>
      <c r="G99" s="272" t="s">
        <v>302</v>
      </c>
      <c r="H99" s="235" t="s">
        <v>939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1002</v>
      </c>
      <c r="F100" s="274"/>
      <c r="G100" s="270" t="s">
        <v>93</v>
      </c>
      <c r="H100" s="340" t="s">
        <v>940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1002</v>
      </c>
      <c r="F101" s="274"/>
      <c r="G101" s="270" t="s">
        <v>103</v>
      </c>
      <c r="H101" s="235" t="s">
        <v>940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1002</v>
      </c>
      <c r="F102" s="274"/>
      <c r="G102" s="270" t="s">
        <v>95</v>
      </c>
      <c r="H102" s="235" t="s">
        <v>940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1002</v>
      </c>
      <c r="F103" s="274"/>
      <c r="G103" s="270" t="s">
        <v>94</v>
      </c>
      <c r="H103" s="235" t="s">
        <v>940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1002</v>
      </c>
      <c r="F104" s="271"/>
      <c r="G104" s="270" t="s">
        <v>32</v>
      </c>
      <c r="H104" s="235" t="s">
        <v>940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1002</v>
      </c>
      <c r="F105" s="271"/>
      <c r="G105" s="270" t="s">
        <v>24</v>
      </c>
      <c r="H105" s="235" t="s">
        <v>940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1002</v>
      </c>
      <c r="F106" s="271"/>
      <c r="G106" s="270" t="s">
        <v>52</v>
      </c>
      <c r="H106" s="235" t="s">
        <v>940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1002</v>
      </c>
      <c r="F107" s="271"/>
      <c r="G107" s="270" t="s">
        <v>42</v>
      </c>
      <c r="H107" s="235" t="s">
        <v>940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1002</v>
      </c>
      <c r="F108" s="271"/>
      <c r="G108" s="270" t="s">
        <v>105</v>
      </c>
      <c r="H108" s="235" t="s">
        <v>940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1002</v>
      </c>
      <c r="F109" s="271"/>
      <c r="G109" s="270" t="s">
        <v>104</v>
      </c>
      <c r="H109" s="235" t="s">
        <v>940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1002</v>
      </c>
      <c r="F110" s="271"/>
      <c r="G110" s="270" t="s">
        <v>87</v>
      </c>
      <c r="H110" s="235" t="s">
        <v>940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1002</v>
      </c>
      <c r="F111" s="271"/>
      <c r="G111" s="270" t="s">
        <v>86</v>
      </c>
      <c r="H111" s="235" t="s">
        <v>940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1002</v>
      </c>
      <c r="F112" s="271"/>
      <c r="G112" s="270" t="s">
        <v>115</v>
      </c>
      <c r="H112" s="235" t="s">
        <v>940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1002</v>
      </c>
      <c r="F113" s="271"/>
      <c r="G113" s="270" t="s">
        <v>114</v>
      </c>
      <c r="H113" s="235" t="s">
        <v>940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1002</v>
      </c>
      <c r="F114" s="274"/>
      <c r="G114" s="270" t="s">
        <v>125</v>
      </c>
      <c r="H114" s="235" t="s">
        <v>940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1002</v>
      </c>
      <c r="F115" s="274"/>
      <c r="G115" s="270" t="s">
        <v>124</v>
      </c>
      <c r="H115" s="235" t="s">
        <v>940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1002</v>
      </c>
      <c r="F116" s="274"/>
      <c r="G116" s="270" t="s">
        <v>25</v>
      </c>
      <c r="H116" s="235" t="s">
        <v>940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1002</v>
      </c>
      <c r="F117" s="274"/>
      <c r="G117" s="270" t="s">
        <v>26</v>
      </c>
      <c r="H117" s="235" t="s">
        <v>940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1002</v>
      </c>
      <c r="F118" s="271"/>
      <c r="G118" s="270" t="s">
        <v>33</v>
      </c>
      <c r="H118" s="235" t="s">
        <v>940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1002</v>
      </c>
      <c r="F119" s="271"/>
      <c r="G119" s="270" t="s">
        <v>34</v>
      </c>
      <c r="H119" s="235" t="s">
        <v>940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1002</v>
      </c>
      <c r="F120" s="271"/>
      <c r="G120" s="270" t="s">
        <v>27</v>
      </c>
      <c r="H120" s="235" t="s">
        <v>940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1002</v>
      </c>
      <c r="F121" s="271"/>
      <c r="G121" s="270" t="s">
        <v>28</v>
      </c>
      <c r="H121" s="235" t="s">
        <v>940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1002</v>
      </c>
      <c r="F122" s="271"/>
      <c r="G122" s="270" t="s">
        <v>43</v>
      </c>
      <c r="H122" s="235" t="s">
        <v>940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1002</v>
      </c>
      <c r="F123" s="271"/>
      <c r="G123" s="270" t="s">
        <v>44</v>
      </c>
      <c r="H123" s="235" t="s">
        <v>940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1003</v>
      </c>
      <c r="F124" s="274"/>
      <c r="G124" s="272" t="s">
        <v>16</v>
      </c>
      <c r="H124" s="340" t="s">
        <v>941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1003</v>
      </c>
      <c r="F125" s="274"/>
      <c r="G125" s="272" t="s">
        <v>17</v>
      </c>
      <c r="H125" s="235" t="s">
        <v>941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1003</v>
      </c>
      <c r="F126" s="274"/>
      <c r="G126" s="272" t="s">
        <v>18</v>
      </c>
      <c r="H126" s="235" t="s">
        <v>941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1003</v>
      </c>
      <c r="F127" s="274"/>
      <c r="G127" s="272" t="s">
        <v>19</v>
      </c>
      <c r="H127" s="235" t="s">
        <v>941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1003</v>
      </c>
      <c r="F128" s="271"/>
      <c r="G128" s="272" t="s">
        <v>310</v>
      </c>
      <c r="H128" s="235" t="s">
        <v>941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1003</v>
      </c>
      <c r="F129" s="271"/>
      <c r="G129" s="272" t="s">
        <v>311</v>
      </c>
      <c r="H129" s="235" t="s">
        <v>941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1003</v>
      </c>
      <c r="F130" s="271"/>
      <c r="G130" s="272" t="s">
        <v>317</v>
      </c>
      <c r="H130" s="235" t="s">
        <v>941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1003</v>
      </c>
      <c r="F131" s="271"/>
      <c r="G131" s="272" t="s">
        <v>318</v>
      </c>
      <c r="H131" s="235" t="s">
        <v>941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1003</v>
      </c>
      <c r="F132" s="271"/>
      <c r="G132" s="272" t="s">
        <v>4</v>
      </c>
      <c r="H132" s="235" t="s">
        <v>941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1003</v>
      </c>
      <c r="F133" s="271"/>
      <c r="G133" s="272" t="s">
        <v>5</v>
      </c>
      <c r="H133" s="235" t="s">
        <v>941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1003</v>
      </c>
      <c r="F134" s="271"/>
      <c r="G134" s="272" t="s">
        <v>329</v>
      </c>
      <c r="H134" s="235" t="s">
        <v>941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1003</v>
      </c>
      <c r="F135" s="271"/>
      <c r="G135" s="272" t="s">
        <v>328</v>
      </c>
      <c r="H135" s="235" t="s">
        <v>941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1003</v>
      </c>
      <c r="F136" s="271"/>
      <c r="G136" s="272" t="s">
        <v>331</v>
      </c>
      <c r="H136" s="235" t="s">
        <v>941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1003</v>
      </c>
      <c r="F137" s="271"/>
      <c r="G137" s="272" t="s">
        <v>330</v>
      </c>
      <c r="H137" s="235" t="s">
        <v>941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1003</v>
      </c>
      <c r="F138" s="274"/>
      <c r="G138" s="272" t="s">
        <v>335</v>
      </c>
      <c r="H138" s="235" t="s">
        <v>941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1003</v>
      </c>
      <c r="F139" s="274"/>
      <c r="G139" s="272" t="s">
        <v>334</v>
      </c>
      <c r="H139" s="235" t="s">
        <v>941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1003</v>
      </c>
      <c r="F140" s="274"/>
      <c r="G140" s="272" t="s">
        <v>303</v>
      </c>
      <c r="H140" s="235" t="s">
        <v>941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1003</v>
      </c>
      <c r="F141" s="274"/>
      <c r="G141" s="272" t="s">
        <v>294</v>
      </c>
      <c r="H141" s="235" t="s">
        <v>941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1003</v>
      </c>
      <c r="F142" s="271"/>
      <c r="G142" s="272" t="s">
        <v>304</v>
      </c>
      <c r="H142" s="235" t="s">
        <v>941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1003</v>
      </c>
      <c r="F143" s="271"/>
      <c r="G143" s="272" t="s">
        <v>295</v>
      </c>
      <c r="H143" s="235" t="s">
        <v>941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1003</v>
      </c>
      <c r="F144" s="271"/>
      <c r="G144" s="272" t="s">
        <v>313</v>
      </c>
      <c r="H144" s="235" t="s">
        <v>941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1003</v>
      </c>
      <c r="F145" s="271"/>
      <c r="G145" s="272" t="s">
        <v>320</v>
      </c>
      <c r="H145" s="235" t="s">
        <v>941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1003</v>
      </c>
      <c r="F146" s="271"/>
      <c r="G146" s="272" t="s">
        <v>301</v>
      </c>
      <c r="H146" s="235" t="s">
        <v>941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1003</v>
      </c>
      <c r="F147" s="271"/>
      <c r="G147" s="272" t="s">
        <v>302</v>
      </c>
      <c r="H147" s="235" t="s">
        <v>941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1" t="s">
        <v>1003</v>
      </c>
      <c r="F148" s="274"/>
      <c r="G148" s="270" t="s">
        <v>93</v>
      </c>
      <c r="H148" s="339" t="s">
        <v>942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1" t="s">
        <v>1003</v>
      </c>
      <c r="F149" s="274"/>
      <c r="G149" s="270" t="s">
        <v>103</v>
      </c>
      <c r="H149" s="235" t="s">
        <v>942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1" t="s">
        <v>1003</v>
      </c>
      <c r="F150" s="271"/>
      <c r="G150" s="270" t="s">
        <v>95</v>
      </c>
      <c r="H150" s="235" t="s">
        <v>942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1" t="s">
        <v>1003</v>
      </c>
      <c r="F151" s="271"/>
      <c r="G151" s="270" t="s">
        <v>94</v>
      </c>
      <c r="H151" s="235" t="s">
        <v>942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1003</v>
      </c>
      <c r="F152" s="271"/>
      <c r="G152" s="270" t="s">
        <v>32</v>
      </c>
      <c r="H152" s="235" t="s">
        <v>942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1003</v>
      </c>
      <c r="F153" s="271"/>
      <c r="G153" s="270" t="s">
        <v>24</v>
      </c>
      <c r="H153" s="235" t="s">
        <v>942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1003</v>
      </c>
      <c r="F154" s="271"/>
      <c r="G154" s="270" t="s">
        <v>52</v>
      </c>
      <c r="H154" s="235" t="s">
        <v>942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1003</v>
      </c>
      <c r="F155" s="271"/>
      <c r="G155" s="270" t="s">
        <v>42</v>
      </c>
      <c r="H155" s="235" t="s">
        <v>942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 t="s">
        <v>1003</v>
      </c>
      <c r="F156" s="271"/>
      <c r="G156" s="270" t="s">
        <v>105</v>
      </c>
      <c r="H156" s="235" t="s">
        <v>942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 t="s">
        <v>1003</v>
      </c>
      <c r="F157" s="271"/>
      <c r="G157" s="270" t="s">
        <v>104</v>
      </c>
      <c r="H157" s="235" t="s">
        <v>942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1" t="s">
        <v>1003</v>
      </c>
      <c r="F158" s="271"/>
      <c r="G158" s="270" t="s">
        <v>87</v>
      </c>
      <c r="H158" s="235" t="s">
        <v>942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1" t="s">
        <v>1003</v>
      </c>
      <c r="F159" s="271"/>
      <c r="G159" s="270" t="s">
        <v>86</v>
      </c>
      <c r="H159" s="235" t="s">
        <v>942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1003</v>
      </c>
      <c r="F160" s="274"/>
      <c r="G160" s="270" t="s">
        <v>115</v>
      </c>
      <c r="H160" s="235" t="s">
        <v>942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1003</v>
      </c>
      <c r="F161" s="274"/>
      <c r="G161" s="270" t="s">
        <v>114</v>
      </c>
      <c r="H161" s="235" t="s">
        <v>942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1003</v>
      </c>
      <c r="F162" s="274"/>
      <c r="G162" s="270" t="s">
        <v>125</v>
      </c>
      <c r="H162" s="235" t="s">
        <v>942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1" t="s">
        <v>1003</v>
      </c>
      <c r="F163" s="274"/>
      <c r="G163" s="270" t="s">
        <v>124</v>
      </c>
      <c r="H163" s="235" t="s">
        <v>942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1003</v>
      </c>
      <c r="F164" s="274"/>
      <c r="G164" s="270" t="s">
        <v>25</v>
      </c>
      <c r="H164" s="235" t="s">
        <v>942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1003</v>
      </c>
      <c r="F165" s="274"/>
      <c r="G165" s="270" t="s">
        <v>26</v>
      </c>
      <c r="H165" s="235" t="s">
        <v>942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 t="s">
        <v>1003</v>
      </c>
      <c r="F166" s="274"/>
      <c r="G166" s="270" t="s">
        <v>33</v>
      </c>
      <c r="H166" s="235" t="s">
        <v>942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 t="s">
        <v>1003</v>
      </c>
      <c r="F167" s="274"/>
      <c r="G167" s="270" t="s">
        <v>34</v>
      </c>
      <c r="H167" s="235" t="s">
        <v>942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1" t="s">
        <v>1003</v>
      </c>
      <c r="F168" s="271"/>
      <c r="G168" s="270" t="s">
        <v>27</v>
      </c>
      <c r="H168" s="235" t="s">
        <v>942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1" t="s">
        <v>1003</v>
      </c>
      <c r="F169" s="271"/>
      <c r="G169" s="270" t="s">
        <v>28</v>
      </c>
      <c r="H169" s="235" t="s">
        <v>942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1003</v>
      </c>
      <c r="F170" s="271"/>
      <c r="G170" s="270" t="s">
        <v>43</v>
      </c>
      <c r="H170" s="235" t="s">
        <v>942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1003</v>
      </c>
      <c r="F171" s="271"/>
      <c r="G171" s="270" t="s">
        <v>44</v>
      </c>
      <c r="H171" s="235" t="s">
        <v>942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1" t="s">
        <v>1003</v>
      </c>
      <c r="F172" s="274"/>
      <c r="G172" s="270" t="s">
        <v>211</v>
      </c>
      <c r="H172" s="339" t="s">
        <v>943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1" t="s">
        <v>1003</v>
      </c>
      <c r="F173" s="274"/>
      <c r="G173" s="270" t="s">
        <v>210</v>
      </c>
      <c r="H173" s="235" t="s">
        <v>943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1" t="s">
        <v>1003</v>
      </c>
      <c r="F174" s="271"/>
      <c r="G174" s="270" t="s">
        <v>221</v>
      </c>
      <c r="H174" s="235" t="s">
        <v>943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1" t="s">
        <v>1003</v>
      </c>
      <c r="F175" s="271"/>
      <c r="G175" s="270" t="s">
        <v>220</v>
      </c>
      <c r="H175" s="235" t="s">
        <v>943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1003</v>
      </c>
      <c r="F176" s="271"/>
      <c r="G176" s="270" t="s">
        <v>147</v>
      </c>
      <c r="H176" s="235" t="s">
        <v>943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1003</v>
      </c>
      <c r="F177" s="271"/>
      <c r="G177" s="270" t="s">
        <v>148</v>
      </c>
      <c r="H177" s="235" t="s">
        <v>943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1003</v>
      </c>
      <c r="F178" s="271"/>
      <c r="G178" s="270" t="s">
        <v>155</v>
      </c>
      <c r="H178" s="235" t="s">
        <v>943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1003</v>
      </c>
      <c r="F179" s="271"/>
      <c r="G179" s="270" t="s">
        <v>156</v>
      </c>
      <c r="H179" s="235" t="s">
        <v>943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 t="s">
        <v>1003</v>
      </c>
      <c r="F180" s="271"/>
      <c r="G180" s="270" t="s">
        <v>229</v>
      </c>
      <c r="H180" s="235" t="s">
        <v>943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 t="s">
        <v>1003</v>
      </c>
      <c r="F181" s="271"/>
      <c r="G181" s="270" t="s">
        <v>228</v>
      </c>
      <c r="H181" s="235" t="s">
        <v>943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1" t="s">
        <v>1003</v>
      </c>
      <c r="F182" s="271"/>
      <c r="G182" s="270" t="s">
        <v>223</v>
      </c>
      <c r="H182" s="235" t="s">
        <v>943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1" t="s">
        <v>1003</v>
      </c>
      <c r="F183" s="271"/>
      <c r="G183" s="270" t="s">
        <v>213</v>
      </c>
      <c r="H183" s="235" t="s">
        <v>943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1003</v>
      </c>
      <c r="F184" s="274"/>
      <c r="G184" s="270" t="s">
        <v>202</v>
      </c>
      <c r="H184" s="235" t="s">
        <v>943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1003</v>
      </c>
      <c r="F185" s="274"/>
      <c r="G185" s="270" t="s">
        <v>192</v>
      </c>
      <c r="H185" s="235" t="s">
        <v>943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1003</v>
      </c>
      <c r="F186" s="271"/>
      <c r="G186" s="270" t="s">
        <v>212</v>
      </c>
      <c r="H186" s="235" t="s">
        <v>943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1003</v>
      </c>
      <c r="F187" s="271"/>
      <c r="G187" s="270" t="s">
        <v>222</v>
      </c>
      <c r="H187" s="235" t="s">
        <v>943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1003</v>
      </c>
      <c r="F188" s="271"/>
      <c r="G188" s="270" t="s">
        <v>133</v>
      </c>
      <c r="H188" s="235" t="s">
        <v>943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1003</v>
      </c>
      <c r="F189" s="271"/>
      <c r="G189" s="270" t="s">
        <v>134</v>
      </c>
      <c r="H189" s="235" t="s">
        <v>943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 t="s">
        <v>1003</v>
      </c>
      <c r="F190" s="271"/>
      <c r="G190" s="270" t="s">
        <v>141</v>
      </c>
      <c r="H190" s="235" t="s">
        <v>943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 t="s">
        <v>1003</v>
      </c>
      <c r="F191" s="271"/>
      <c r="G191" s="270" t="s">
        <v>142</v>
      </c>
      <c r="H191" s="235" t="s">
        <v>943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1" t="s">
        <v>1003</v>
      </c>
      <c r="F192" s="274"/>
      <c r="G192" s="270" t="s">
        <v>149</v>
      </c>
      <c r="H192" s="235" t="s">
        <v>943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1" t="s">
        <v>1003</v>
      </c>
      <c r="F193" s="274"/>
      <c r="G193" s="270" t="s">
        <v>150</v>
      </c>
      <c r="H193" s="235" t="s">
        <v>943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1003</v>
      </c>
      <c r="F194" s="271"/>
      <c r="G194" s="270" t="s">
        <v>131</v>
      </c>
      <c r="H194" s="235" t="s">
        <v>943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1003</v>
      </c>
      <c r="F195" s="271"/>
      <c r="G195" s="270" t="s">
        <v>132</v>
      </c>
      <c r="H195" s="235" t="s">
        <v>943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1002</v>
      </c>
      <c r="F196" s="274"/>
      <c r="G196" s="270" t="s">
        <v>137</v>
      </c>
      <c r="H196" s="339" t="s">
        <v>944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1002</v>
      </c>
      <c r="F197" s="274"/>
      <c r="G197" s="270" t="s">
        <v>136</v>
      </c>
      <c r="H197" s="235" t="s">
        <v>944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1002</v>
      </c>
      <c r="F198" s="271"/>
      <c r="G198" s="270" t="s">
        <v>118</v>
      </c>
      <c r="H198" s="235" t="s">
        <v>944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1002</v>
      </c>
      <c r="F199" s="271"/>
      <c r="G199" s="270" t="s">
        <v>119</v>
      </c>
      <c r="H199" s="235" t="s">
        <v>944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1002</v>
      </c>
      <c r="F200" s="271"/>
      <c r="G200" s="270" t="s">
        <v>188</v>
      </c>
      <c r="H200" s="235" t="s">
        <v>944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1002</v>
      </c>
      <c r="F201" s="271"/>
      <c r="G201" s="270" t="s">
        <v>189</v>
      </c>
      <c r="H201" s="235" t="s">
        <v>944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1002</v>
      </c>
      <c r="F202" s="271"/>
      <c r="G202" s="270" t="s">
        <v>178</v>
      </c>
      <c r="H202" s="235" t="s">
        <v>944</v>
      </c>
      <c r="I202" s="13"/>
      <c r="J202" s="13"/>
      <c r="K202" s="16"/>
    </row>
    <row r="203" spans="2:11" ht="16.2" thickBot="1">
      <c r="B203" s="26">
        <v>198</v>
      </c>
      <c r="C203" s="228" t="s">
        <v>7</v>
      </c>
      <c r="D203" s="229" t="s">
        <v>608</v>
      </c>
      <c r="E203" s="271" t="s">
        <v>1002</v>
      </c>
      <c r="F203" s="271"/>
      <c r="G203" s="270" t="s">
        <v>179</v>
      </c>
      <c r="H203" s="235" t="s">
        <v>944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1002</v>
      </c>
      <c r="F204" s="271"/>
      <c r="G204" s="337" t="s">
        <v>110</v>
      </c>
      <c r="H204" s="235" t="s">
        <v>944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1002</v>
      </c>
      <c r="F205" s="271"/>
      <c r="G205" s="270" t="s">
        <v>111</v>
      </c>
      <c r="H205" s="235" t="s">
        <v>944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1002</v>
      </c>
      <c r="F206" s="271"/>
      <c r="G206" s="270" t="s">
        <v>128</v>
      </c>
      <c r="H206" s="235" t="s">
        <v>944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1002</v>
      </c>
      <c r="F207" s="271"/>
      <c r="G207" s="270" t="s">
        <v>129</v>
      </c>
      <c r="H207" s="235" t="s">
        <v>944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1002</v>
      </c>
      <c r="F208" s="274"/>
      <c r="G208" s="270" t="s">
        <v>121</v>
      </c>
      <c r="H208" s="235" t="s">
        <v>944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1002</v>
      </c>
      <c r="F209" s="274"/>
      <c r="G209" s="270" t="s">
        <v>120</v>
      </c>
      <c r="H209" s="235" t="s">
        <v>944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1002</v>
      </c>
      <c r="F210" s="274"/>
      <c r="G210" s="270" t="s">
        <v>108</v>
      </c>
      <c r="H210" s="235" t="s">
        <v>944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1002</v>
      </c>
      <c r="F211" s="274"/>
      <c r="G211" s="270" t="s">
        <v>109</v>
      </c>
      <c r="H211" s="235" t="s">
        <v>944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1002</v>
      </c>
      <c r="F212" s="274"/>
      <c r="G212" s="270" t="s">
        <v>196</v>
      </c>
      <c r="H212" s="235" t="s">
        <v>944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1002</v>
      </c>
      <c r="F213" s="274"/>
      <c r="G213" s="270" t="s">
        <v>197</v>
      </c>
      <c r="H213" s="235" t="s">
        <v>944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1002</v>
      </c>
      <c r="F214" s="274"/>
      <c r="G214" s="270" t="s">
        <v>186</v>
      </c>
      <c r="H214" s="235" t="s">
        <v>944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1002</v>
      </c>
      <c r="F215" s="274"/>
      <c r="G215" s="270" t="s">
        <v>187</v>
      </c>
      <c r="H215" s="235" t="s">
        <v>944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1002</v>
      </c>
      <c r="F216" s="271"/>
      <c r="G216" s="270" t="s">
        <v>176</v>
      </c>
      <c r="H216" s="235" t="s">
        <v>944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1002</v>
      </c>
      <c r="F217" s="271"/>
      <c r="G217" s="270" t="s">
        <v>177</v>
      </c>
      <c r="H217" s="235" t="s">
        <v>944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1002</v>
      </c>
      <c r="F218" s="271"/>
      <c r="G218" s="270" t="s">
        <v>198</v>
      </c>
      <c r="H218" s="235" t="s">
        <v>944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1002</v>
      </c>
      <c r="F219" s="271"/>
      <c r="G219" s="270" t="s">
        <v>199</v>
      </c>
      <c r="H219" s="235" t="s">
        <v>944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 t="s">
        <v>1003</v>
      </c>
      <c r="F220" s="271"/>
      <c r="G220" s="270" t="s">
        <v>140</v>
      </c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1003</v>
      </c>
      <c r="F221" s="271"/>
      <c r="G221" s="270" t="s">
        <v>45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1003</v>
      </c>
      <c r="F222" s="275"/>
      <c r="G222" s="272" t="s">
        <v>958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1002</v>
      </c>
      <c r="F223" s="275"/>
      <c r="G223" s="270" t="s">
        <v>45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1002</v>
      </c>
      <c r="F224" s="271"/>
      <c r="G224" s="272" t="s">
        <v>958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1002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271" t="s">
        <v>1003</v>
      </c>
      <c r="F229" s="5"/>
      <c r="G229" s="270" t="s">
        <v>172</v>
      </c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1" t="s">
        <v>1003</v>
      </c>
      <c r="F230" s="5"/>
      <c r="G230" s="270" t="s">
        <v>74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271" t="s">
        <v>1003</v>
      </c>
      <c r="F231" s="5"/>
      <c r="G231" s="272" t="s">
        <v>960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1002</v>
      </c>
      <c r="F232" s="5"/>
      <c r="G232" s="270" t="s">
        <v>74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271" t="s">
        <v>1002</v>
      </c>
      <c r="F233" s="13"/>
      <c r="G233" s="272" t="s">
        <v>960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1002</v>
      </c>
      <c r="F234" s="271"/>
      <c r="G234" s="270" t="s">
        <v>949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271" t="s">
        <v>1003</v>
      </c>
      <c r="F235" s="5"/>
      <c r="G235" s="270" t="s">
        <v>173</v>
      </c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1" t="s">
        <v>1003</v>
      </c>
      <c r="F236" s="5"/>
      <c r="G236" s="343" t="s">
        <v>72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271" t="s">
        <v>1003</v>
      </c>
      <c r="F237" s="5"/>
      <c r="G237" s="272" t="s">
        <v>959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1002</v>
      </c>
      <c r="F238" s="5"/>
      <c r="G238" s="270" t="s">
        <v>72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271" t="s">
        <v>1002</v>
      </c>
      <c r="F239" s="5"/>
      <c r="G239" s="272" t="s">
        <v>959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1002</v>
      </c>
      <c r="F240" s="271"/>
      <c r="G240" s="270" t="s">
        <v>160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271" t="s">
        <v>1003</v>
      </c>
      <c r="F241" s="13"/>
      <c r="G241" s="270" t="s">
        <v>200</v>
      </c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1003</v>
      </c>
      <c r="F242" s="275"/>
      <c r="G242" s="270" t="s">
        <v>113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1003</v>
      </c>
      <c r="F243" s="13"/>
      <c r="G243" s="272" t="s">
        <v>0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1002</v>
      </c>
      <c r="F244" s="13"/>
      <c r="G244" s="270" t="s">
        <v>113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1002</v>
      </c>
      <c r="F245" s="13"/>
      <c r="G245" s="272" t="s">
        <v>0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1002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974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974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974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974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974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974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974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974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974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974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974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974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 t="s">
        <v>1003</v>
      </c>
      <c r="F394" s="263"/>
      <c r="G394" s="270" t="s">
        <v>203</v>
      </c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 t="s">
        <v>1003</v>
      </c>
      <c r="F395" s="263"/>
      <c r="G395" s="270" t="s">
        <v>193</v>
      </c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1003</v>
      </c>
      <c r="F396" s="13"/>
      <c r="G396" s="270" t="s">
        <v>85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1003</v>
      </c>
      <c r="F397" s="13"/>
      <c r="G397" s="270" t="s">
        <v>84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1003</v>
      </c>
      <c r="F398" s="13"/>
      <c r="G398" s="272" t="s">
        <v>956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1003</v>
      </c>
      <c r="F399" s="5"/>
      <c r="G399" s="272" t="s">
        <v>957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1002</v>
      </c>
      <c r="F400" s="5"/>
      <c r="G400" s="270" t="s">
        <v>85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1002</v>
      </c>
      <c r="F401" s="5"/>
      <c r="G401" s="270" t="s">
        <v>84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1002</v>
      </c>
      <c r="F402" s="13"/>
      <c r="G402" s="272" t="s">
        <v>956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1002</v>
      </c>
      <c r="F403" s="13"/>
      <c r="G403" s="272" t="s">
        <v>957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1002</v>
      </c>
      <c r="F404" s="263"/>
      <c r="G404" s="282" t="s">
        <v>945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92" t="s">
        <v>1002</v>
      </c>
      <c r="F405" s="297"/>
      <c r="G405" s="298" t="s">
        <v>946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B6:B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F243">
    <cfRule type="expression" dxfId="503" priority="325">
      <formula>MOD(ROW(),2)=0</formula>
    </cfRule>
  </conditionalFormatting>
  <conditionalFormatting sqref="F245">
    <cfRule type="expression" dxfId="502" priority="322">
      <formula>MOD(ROW(),2)=0</formula>
    </cfRule>
  </conditionalFormatting>
  <conditionalFormatting sqref="F246">
    <cfRule type="expression" dxfId="501" priority="319">
      <formula>MOD(ROW(),2)=0</formula>
    </cfRule>
  </conditionalFormatting>
  <conditionalFormatting sqref="F247">
    <cfRule type="expression" dxfId="500" priority="316">
      <formula>MOD(ROW(),2)=0</formula>
    </cfRule>
  </conditionalFormatting>
  <conditionalFormatting sqref="E247">
    <cfRule type="expression" dxfId="499" priority="315">
      <formula>MOD(ROW(),2)=0</formula>
    </cfRule>
  </conditionalFormatting>
  <conditionalFormatting sqref="F248">
    <cfRule type="expression" dxfId="498" priority="314">
      <formula>MOD(ROW(),2)=0</formula>
    </cfRule>
  </conditionalFormatting>
  <conditionalFormatting sqref="E248">
    <cfRule type="expression" dxfId="497" priority="313">
      <formula>MOD(ROW(),2)=0</formula>
    </cfRule>
  </conditionalFormatting>
  <conditionalFormatting sqref="E56">
    <cfRule type="expression" dxfId="494" priority="304">
      <formula>MOD(ROW(),2)=0</formula>
    </cfRule>
  </conditionalFormatting>
  <conditionalFormatting sqref="G283">
    <cfRule type="expression" dxfId="493" priority="302">
      <formula>MOD(ROW(),2)=0</formula>
    </cfRule>
  </conditionalFormatting>
  <conditionalFormatting sqref="E283">
    <cfRule type="expression" dxfId="492" priority="301">
      <formula>MOD(ROW(),2)=0</formula>
    </cfRule>
  </conditionalFormatting>
  <conditionalFormatting sqref="E288">
    <cfRule type="expression" dxfId="491" priority="300">
      <formula>MOD(ROW(),2)=0</formula>
    </cfRule>
  </conditionalFormatting>
  <conditionalFormatting sqref="G289">
    <cfRule type="expression" dxfId="490" priority="299">
      <formula>MOD(ROW(),2)=0</formula>
    </cfRule>
  </conditionalFormatting>
  <conditionalFormatting sqref="G290">
    <cfRule type="expression" dxfId="489" priority="298">
      <formula>MOD(ROW(),2)=0</formula>
    </cfRule>
  </conditionalFormatting>
  <conditionalFormatting sqref="E289">
    <cfRule type="expression" dxfId="488" priority="297">
      <formula>MOD(ROW(),2)=0</formula>
    </cfRule>
  </conditionalFormatting>
  <conditionalFormatting sqref="E290">
    <cfRule type="expression" dxfId="487" priority="296">
      <formula>MOD(ROW(),2)=0</formula>
    </cfRule>
  </conditionalFormatting>
  <conditionalFormatting sqref="G226:H226 H223:H225">
    <cfRule type="expression" dxfId="486" priority="286">
      <formula>MOD(ROW(),2)=0</formula>
    </cfRule>
  </conditionalFormatting>
  <conditionalFormatting sqref="H227:H230">
    <cfRule type="expression" dxfId="485" priority="285">
      <formula>MOD(ROW(),2)=0</formula>
    </cfRule>
  </conditionalFormatting>
  <conditionalFormatting sqref="G227:G228">
    <cfRule type="expression" dxfId="484" priority="284">
      <formula>MOD(ROW(),2)=0</formula>
    </cfRule>
  </conditionalFormatting>
  <conditionalFormatting sqref="F284">
    <cfRule type="expression" dxfId="483" priority="280">
      <formula>MOD(ROW(),2)=0</formula>
    </cfRule>
  </conditionalFormatting>
  <conditionalFormatting sqref="G284">
    <cfRule type="expression" dxfId="482" priority="279">
      <formula>MOD(ROW(),2)=0</formula>
    </cfRule>
  </conditionalFormatting>
  <conditionalFormatting sqref="E284">
    <cfRule type="expression" dxfId="481" priority="278">
      <formula>MOD(ROW(),2)=0</formula>
    </cfRule>
  </conditionalFormatting>
  <conditionalFormatting sqref="G289">
    <cfRule type="expression" dxfId="480" priority="277">
      <formula>MOD(ROW(),2)=0</formula>
    </cfRule>
  </conditionalFormatting>
  <conditionalFormatting sqref="G290">
    <cfRule type="expression" dxfId="479" priority="276">
      <formula>MOD(ROW(),2)=0</formula>
    </cfRule>
  </conditionalFormatting>
  <conditionalFormatting sqref="G287">
    <cfRule type="expression" dxfId="478" priority="275">
      <formula>MOD(ROW(),2)=0</formula>
    </cfRule>
  </conditionalFormatting>
  <conditionalFormatting sqref="E287">
    <cfRule type="expression" dxfId="477" priority="274">
      <formula>MOD(ROW(),2)=0</formula>
    </cfRule>
  </conditionalFormatting>
  <conditionalFormatting sqref="G288">
    <cfRule type="expression" dxfId="476" priority="273">
      <formula>MOD(ROW(),2)=0</formula>
    </cfRule>
  </conditionalFormatting>
  <conditionalFormatting sqref="E291">
    <cfRule type="expression" dxfId="475" priority="272">
      <formula>MOD(ROW(),2)=0</formula>
    </cfRule>
  </conditionalFormatting>
  <conditionalFormatting sqref="G291">
    <cfRule type="expression" dxfId="474" priority="271">
      <formula>MOD(ROW(),2)=0</formula>
    </cfRule>
  </conditionalFormatting>
  <conditionalFormatting sqref="G292">
    <cfRule type="expression" dxfId="473" priority="270">
      <formula>MOD(ROW(),2)=0</formula>
    </cfRule>
  </conditionalFormatting>
  <conditionalFormatting sqref="G293">
    <cfRule type="expression" dxfId="472" priority="269">
      <formula>MOD(ROW(),2)=0</formula>
    </cfRule>
  </conditionalFormatting>
  <conditionalFormatting sqref="G294">
    <cfRule type="expression" dxfId="471" priority="268">
      <formula>MOD(ROW(),2)=0</formula>
    </cfRule>
  </conditionalFormatting>
  <conditionalFormatting sqref="G285">
    <cfRule type="expression" dxfId="470" priority="267">
      <formula>MOD(ROW(),2)=0</formula>
    </cfRule>
  </conditionalFormatting>
  <conditionalFormatting sqref="G286">
    <cfRule type="expression" dxfId="469" priority="266">
      <formula>MOD(ROW(),2)=0</formula>
    </cfRule>
  </conditionalFormatting>
  <conditionalFormatting sqref="E286">
    <cfRule type="expression" dxfId="468" priority="265">
      <formula>MOD(ROW(),2)=0</formula>
    </cfRule>
  </conditionalFormatting>
  <conditionalFormatting sqref="F243">
    <cfRule type="expression" dxfId="467" priority="262">
      <formula>MOD(ROW(),2)=0</formula>
    </cfRule>
  </conditionalFormatting>
  <conditionalFormatting sqref="F244">
    <cfRule type="expression" dxfId="466" priority="259">
      <formula>MOD(ROW(),2)=0</formula>
    </cfRule>
  </conditionalFormatting>
  <conditionalFormatting sqref="F245">
    <cfRule type="expression" dxfId="465" priority="256">
      <formula>MOD(ROW(),2)=0</formula>
    </cfRule>
  </conditionalFormatting>
  <conditionalFormatting sqref="F246">
    <cfRule type="expression" dxfId="464" priority="254">
      <formula>MOD(ROW(),2)=0</formula>
    </cfRule>
  </conditionalFormatting>
  <conditionalFormatting sqref="F247">
    <cfRule type="expression" dxfId="463" priority="252">
      <formula>MOD(ROW(),2)=0</formula>
    </cfRule>
  </conditionalFormatting>
  <conditionalFormatting sqref="F248">
    <cfRule type="expression" dxfId="462" priority="251">
      <formula>MOD(ROW(),2)=0</formula>
    </cfRule>
  </conditionalFormatting>
  <conditionalFormatting sqref="E248">
    <cfRule type="expression" dxfId="461" priority="250">
      <formula>MOD(ROW(),2)=0</formula>
    </cfRule>
  </conditionalFormatting>
  <conditionalFormatting sqref="F250">
    <cfRule type="expression" dxfId="460" priority="242">
      <formula>MOD(ROW(),2)=0</formula>
    </cfRule>
  </conditionalFormatting>
  <conditionalFormatting sqref="K244:K246 K60:K87 K91:K234 K6:K55 K236:K242 K57 K394:K405">
    <cfRule type="expression" dxfId="458" priority="230">
      <formula>MOD(ROW(),2)=0</formula>
    </cfRule>
  </conditionalFormatting>
  <conditionalFormatting sqref="K235">
    <cfRule type="expression" dxfId="457" priority="223">
      <formula>MOD(ROW(),2)=0</formula>
    </cfRule>
  </conditionalFormatting>
  <conditionalFormatting sqref="K89">
    <cfRule type="expression" dxfId="456" priority="222">
      <formula>MOD(ROW(),2)=0</formula>
    </cfRule>
  </conditionalFormatting>
  <conditionalFormatting sqref="K243">
    <cfRule type="expression" dxfId="455" priority="221">
      <formula>MOD(ROW(),2)=0</formula>
    </cfRule>
  </conditionalFormatting>
  <conditionalFormatting sqref="K90">
    <cfRule type="expression" dxfId="454" priority="220">
      <formula>MOD(ROW(),2)=0</formula>
    </cfRule>
  </conditionalFormatting>
  <conditionalFormatting sqref="K56">
    <cfRule type="expression" dxfId="453" priority="219">
      <formula>MOD(ROW(),2)=0</formula>
    </cfRule>
  </conditionalFormatting>
  <conditionalFormatting sqref="E6:J55 E388:F393 E60:F63 F64 F255:F256 F269:F270 F275:F277 E257:F268 E271:F274 F244 F241:F242 E253:I254 E57:J59 F56:J56 E278:F282 F283 E295:I387 H60:J64 I223:J230 H255:I294 E292:F294 E285:F285 F286:F291 I65:J219 E226:F228 E405:J405 F404:J404 H394:J403 F394:F403 F209:F225 H220:J222 E251:F252 H231:J246 H247:I252 H388:I393">
    <cfRule type="expression" dxfId="452" priority="401">
      <formula>MOD(ROW(),2)=0</formula>
    </cfRule>
  </conditionalFormatting>
  <conditionalFormatting sqref="B6:B405">
    <cfRule type="expression" dxfId="451" priority="400">
      <formula>MOD(ROW(),2)=0</formula>
    </cfRule>
  </conditionalFormatting>
  <conditionalFormatting sqref="D6:D228 D235:D405">
    <cfRule type="expression" dxfId="450" priority="399">
      <formula>MOD(ROW(),2)=0</formula>
    </cfRule>
  </conditionalFormatting>
  <conditionalFormatting sqref="H65:H75 E197:E219 F197:F208 F84:F123 E124:F196 F65:F71">
    <cfRule type="expression" dxfId="449" priority="398">
      <formula>MOD(ROW(),2)=0</formula>
    </cfRule>
  </conditionalFormatting>
  <conditionalFormatting sqref="C401:C405">
    <cfRule type="expression" dxfId="448" priority="390">
      <formula>MOD(ROW(),2)=0</formula>
    </cfRule>
  </conditionalFormatting>
  <conditionalFormatting sqref="C6:C400">
    <cfRule type="expression" dxfId="447" priority="389">
      <formula>MOD(ROW(),2)=0</formula>
    </cfRule>
  </conditionalFormatting>
  <conditionalFormatting sqref="G60:G61">
    <cfRule type="expression" dxfId="446" priority="388">
      <formula>MOD(ROW(),2)=0</formula>
    </cfRule>
  </conditionalFormatting>
  <conditionalFormatting sqref="G62:G63">
    <cfRule type="expression" dxfId="445" priority="387">
      <formula>MOD(ROW(),2)=0</formula>
    </cfRule>
  </conditionalFormatting>
  <conditionalFormatting sqref="E68:E69">
    <cfRule type="expression" dxfId="444" priority="381">
      <formula>MOD(ROW(),2)=0</formula>
    </cfRule>
  </conditionalFormatting>
  <conditionalFormatting sqref="F72:F76">
    <cfRule type="expression" dxfId="443" priority="379">
      <formula>MOD(ROW(),2)=0</formula>
    </cfRule>
  </conditionalFormatting>
  <conditionalFormatting sqref="F77:F83">
    <cfRule type="expression" dxfId="442" priority="378">
      <formula>MOD(ROW(),2)=0</formula>
    </cfRule>
  </conditionalFormatting>
  <conditionalFormatting sqref="G255">
    <cfRule type="expression" dxfId="441" priority="364">
      <formula>MOD(ROW(),2)=0</formula>
    </cfRule>
  </conditionalFormatting>
  <conditionalFormatting sqref="E255">
    <cfRule type="expression" dxfId="440" priority="363">
      <formula>MOD(ROW(),2)=0</formula>
    </cfRule>
  </conditionalFormatting>
  <conditionalFormatting sqref="G269">
    <cfRule type="expression" dxfId="439" priority="362">
      <formula>MOD(ROW(),2)=0</formula>
    </cfRule>
  </conditionalFormatting>
  <conditionalFormatting sqref="E269">
    <cfRule type="expression" dxfId="438" priority="361">
      <formula>MOD(ROW(),2)=0</formula>
    </cfRule>
  </conditionalFormatting>
  <conditionalFormatting sqref="G256">
    <cfRule type="expression" dxfId="437" priority="360">
      <formula>MOD(ROW(),2)=0</formula>
    </cfRule>
  </conditionalFormatting>
  <conditionalFormatting sqref="E256">
    <cfRule type="expression" dxfId="436" priority="359">
      <formula>MOD(ROW(),2)=0</formula>
    </cfRule>
  </conditionalFormatting>
  <conditionalFormatting sqref="G270">
    <cfRule type="expression" dxfId="435" priority="358">
      <formula>MOD(ROW(),2)=0</formula>
    </cfRule>
  </conditionalFormatting>
  <conditionalFormatting sqref="E270">
    <cfRule type="expression" dxfId="434" priority="357">
      <formula>MOD(ROW(),2)=0</formula>
    </cfRule>
  </conditionalFormatting>
  <conditionalFormatting sqref="G261">
    <cfRule type="expression" dxfId="433" priority="356">
      <formula>MOD(ROW(),2)=0</formula>
    </cfRule>
  </conditionalFormatting>
  <conditionalFormatting sqref="G275">
    <cfRule type="expression" dxfId="432" priority="355">
      <formula>MOD(ROW(),2)=0</formula>
    </cfRule>
  </conditionalFormatting>
  <conditionalFormatting sqref="E275">
    <cfRule type="expression" dxfId="431" priority="354">
      <formula>MOD(ROW(),2)=0</formula>
    </cfRule>
  </conditionalFormatting>
  <conditionalFormatting sqref="G262">
    <cfRule type="expression" dxfId="430" priority="353">
      <formula>MOD(ROW(),2)=0</formula>
    </cfRule>
  </conditionalFormatting>
  <conditionalFormatting sqref="G276">
    <cfRule type="expression" dxfId="429" priority="352">
      <formula>MOD(ROW(),2)=0</formula>
    </cfRule>
  </conditionalFormatting>
  <conditionalFormatting sqref="E276">
    <cfRule type="expression" dxfId="428" priority="351">
      <formula>MOD(ROW(),2)=0</formula>
    </cfRule>
  </conditionalFormatting>
  <conditionalFormatting sqref="G263">
    <cfRule type="expression" dxfId="427" priority="350">
      <formula>MOD(ROW(),2)=0</formula>
    </cfRule>
  </conditionalFormatting>
  <conditionalFormatting sqref="G277">
    <cfRule type="expression" dxfId="426" priority="349">
      <formula>MOD(ROW(),2)=0</formula>
    </cfRule>
  </conditionalFormatting>
  <conditionalFormatting sqref="E277">
    <cfRule type="expression" dxfId="425" priority="348">
      <formula>MOD(ROW(),2)=0</formula>
    </cfRule>
  </conditionalFormatting>
  <conditionalFormatting sqref="G264">
    <cfRule type="expression" dxfId="424" priority="347">
      <formula>MOD(ROW(),2)=0</formula>
    </cfRule>
  </conditionalFormatting>
  <conditionalFormatting sqref="G278">
    <cfRule type="expression" dxfId="423" priority="346">
      <formula>MOD(ROW(),2)=0</formula>
    </cfRule>
  </conditionalFormatting>
  <conditionalFormatting sqref="G265">
    <cfRule type="expression" dxfId="422" priority="345">
      <formula>MOD(ROW(),2)=0</formula>
    </cfRule>
  </conditionalFormatting>
  <conditionalFormatting sqref="G279">
    <cfRule type="expression" dxfId="421" priority="344">
      <formula>MOD(ROW(),2)=0</formula>
    </cfRule>
  </conditionalFormatting>
  <conditionalFormatting sqref="G266">
    <cfRule type="expression" dxfId="420" priority="343">
      <formula>MOD(ROW(),2)=0</formula>
    </cfRule>
  </conditionalFormatting>
  <conditionalFormatting sqref="G280">
    <cfRule type="expression" dxfId="419" priority="342">
      <formula>MOD(ROW(),2)=0</formula>
    </cfRule>
  </conditionalFormatting>
  <conditionalFormatting sqref="G267">
    <cfRule type="expression" dxfId="418" priority="341">
      <formula>MOD(ROW(),2)=0</formula>
    </cfRule>
  </conditionalFormatting>
  <conditionalFormatting sqref="G281">
    <cfRule type="expression" dxfId="417" priority="340">
      <formula>MOD(ROW(),2)=0</formula>
    </cfRule>
  </conditionalFormatting>
  <conditionalFormatting sqref="G268">
    <cfRule type="expression" dxfId="416" priority="339">
      <formula>MOD(ROW(),2)=0</formula>
    </cfRule>
  </conditionalFormatting>
  <conditionalFormatting sqref="G282">
    <cfRule type="expression" dxfId="415" priority="338">
      <formula>MOD(ROW(),2)=0</formula>
    </cfRule>
  </conditionalFormatting>
  <conditionalFormatting sqref="G257">
    <cfRule type="expression" dxfId="414" priority="337">
      <formula>MOD(ROW(),2)=0</formula>
    </cfRule>
  </conditionalFormatting>
  <conditionalFormatting sqref="G271">
    <cfRule type="expression" dxfId="413" priority="336">
      <formula>MOD(ROW(),2)=0</formula>
    </cfRule>
  </conditionalFormatting>
  <conditionalFormatting sqref="G258">
    <cfRule type="expression" dxfId="412" priority="335">
      <formula>MOD(ROW(),2)=0</formula>
    </cfRule>
  </conditionalFormatting>
  <conditionalFormatting sqref="G272">
    <cfRule type="expression" dxfId="411" priority="334">
      <formula>MOD(ROW(),2)=0</formula>
    </cfRule>
  </conditionalFormatting>
  <conditionalFormatting sqref="G259">
    <cfRule type="expression" dxfId="410" priority="333">
      <formula>MOD(ROW(),2)=0</formula>
    </cfRule>
  </conditionalFormatting>
  <conditionalFormatting sqref="G273">
    <cfRule type="expression" dxfId="409" priority="332">
      <formula>MOD(ROW(),2)=0</formula>
    </cfRule>
  </conditionalFormatting>
  <conditionalFormatting sqref="G260">
    <cfRule type="expression" dxfId="408" priority="331">
      <formula>MOD(ROW(),2)=0</formula>
    </cfRule>
  </conditionalFormatting>
  <conditionalFormatting sqref="G274">
    <cfRule type="expression" dxfId="407" priority="330">
      <formula>MOD(ROW(),2)=0</formula>
    </cfRule>
  </conditionalFormatting>
  <conditionalFormatting sqref="E247">
    <cfRule type="expression" dxfId="406" priority="245">
      <formula>MOD(ROW(),2)=0</formula>
    </cfRule>
  </conditionalFormatting>
  <conditionalFormatting sqref="F249">
    <cfRule type="expression" dxfId="405" priority="244">
      <formula>MOD(ROW(),2)=0</formula>
    </cfRule>
  </conditionalFormatting>
  <conditionalFormatting sqref="E249">
    <cfRule type="expression" dxfId="404" priority="243">
      <formula>MOD(ROW(),2)=0</formula>
    </cfRule>
  </conditionalFormatting>
  <conditionalFormatting sqref="E250">
    <cfRule type="expression" dxfId="403" priority="241">
      <formula>MOD(ROW(),2)=0</formula>
    </cfRule>
  </conditionalFormatting>
  <conditionalFormatting sqref="K58">
    <cfRule type="expression" dxfId="401" priority="228">
      <formula>MOD(ROW(),2)=0</formula>
    </cfRule>
  </conditionalFormatting>
  <conditionalFormatting sqref="K59">
    <cfRule type="expression" dxfId="400" priority="226">
      <formula>MOD(ROW(),2)=0</formula>
    </cfRule>
  </conditionalFormatting>
  <conditionalFormatting sqref="K88">
    <cfRule type="expression" dxfId="399" priority="216">
      <formula>MOD(ROW(),2)=0</formula>
    </cfRule>
  </conditionalFormatting>
  <conditionalFormatting sqref="H132:H147 H124:H127">
    <cfRule type="expression" dxfId="398" priority="209">
      <formula>MOD(ROW(),2)=0</formula>
    </cfRule>
  </conditionalFormatting>
  <conditionalFormatting sqref="H76:H123 H148:H162 H172:H219">
    <cfRule type="expression" dxfId="397" priority="208">
      <formula>MOD(ROW(),2)=0</formula>
    </cfRule>
  </conditionalFormatting>
  <conditionalFormatting sqref="H128:H131">
    <cfRule type="expression" dxfId="396" priority="207">
      <formula>MOD(ROW(),2)=0</formula>
    </cfRule>
  </conditionalFormatting>
  <conditionalFormatting sqref="H163:H164">
    <cfRule type="expression" dxfId="395" priority="206">
      <formula>MOD(ROW(),2)=0</formula>
    </cfRule>
  </conditionalFormatting>
  <conditionalFormatting sqref="H165:H171">
    <cfRule type="expression" dxfId="394" priority="205">
      <formula>MOD(ROW(),2)=0</formula>
    </cfRule>
  </conditionalFormatting>
  <conditionalFormatting sqref="G196:G197">
    <cfRule type="expression" dxfId="393" priority="204">
      <formula>MOD(ROW(),2)=0</formula>
    </cfRule>
  </conditionalFormatting>
  <conditionalFormatting sqref="G198:G199">
    <cfRule type="expression" dxfId="392" priority="203">
      <formula>MOD(ROW(),2)=0</formula>
    </cfRule>
  </conditionalFormatting>
  <conditionalFormatting sqref="G204:G205">
    <cfRule type="expression" dxfId="391" priority="202">
      <formula>MOD(ROW(),2)=0</formula>
    </cfRule>
  </conditionalFormatting>
  <conditionalFormatting sqref="G206:G207">
    <cfRule type="expression" dxfId="390" priority="201">
      <formula>MOD(ROW(),2)=0</formula>
    </cfRule>
  </conditionalFormatting>
  <conditionalFormatting sqref="G208:G209">
    <cfRule type="expression" dxfId="389" priority="200">
      <formula>MOD(ROW(),2)=0</formula>
    </cfRule>
  </conditionalFormatting>
  <conditionalFormatting sqref="G210:G211">
    <cfRule type="expression" dxfId="388" priority="199">
      <formula>MOD(ROW(),2)=0</formula>
    </cfRule>
  </conditionalFormatting>
  <conditionalFormatting sqref="G212:G213">
    <cfRule type="expression" dxfId="387" priority="198">
      <formula>MOD(ROW(),2)=0</formula>
    </cfRule>
  </conditionalFormatting>
  <conditionalFormatting sqref="G214:G215">
    <cfRule type="expression" dxfId="386" priority="197">
      <formula>MOD(ROW(),2)=0</formula>
    </cfRule>
  </conditionalFormatting>
  <conditionalFormatting sqref="G216:G217">
    <cfRule type="expression" dxfId="385" priority="196">
      <formula>MOD(ROW(),2)=0</formula>
    </cfRule>
  </conditionalFormatting>
  <conditionalFormatting sqref="G218:G219">
    <cfRule type="expression" dxfId="384" priority="195">
      <formula>MOD(ROW(),2)=0</formula>
    </cfRule>
  </conditionalFormatting>
  <conditionalFormatting sqref="G200:G201">
    <cfRule type="expression" dxfId="383" priority="194">
      <formula>MOD(ROW(),2)=0</formula>
    </cfRule>
  </conditionalFormatting>
  <conditionalFormatting sqref="G202:G203">
    <cfRule type="expression" dxfId="382" priority="193">
      <formula>MOD(ROW(),2)=0</formula>
    </cfRule>
  </conditionalFormatting>
  <conditionalFormatting sqref="E76:E99">
    <cfRule type="expression" dxfId="381" priority="192">
      <formula>MOD(ROW(),2)=0</formula>
    </cfRule>
  </conditionalFormatting>
  <conditionalFormatting sqref="G76:G77">
    <cfRule type="expression" dxfId="380" priority="191">
      <formula>MOD(ROW(),2)=0</formula>
    </cfRule>
  </conditionalFormatting>
  <conditionalFormatting sqref="G78:G79">
    <cfRule type="expression" dxfId="379" priority="190">
      <formula>MOD(ROW(),2)=0</formula>
    </cfRule>
  </conditionalFormatting>
  <conditionalFormatting sqref="G84:G85">
    <cfRule type="expression" dxfId="378" priority="189">
      <formula>MOD(ROW(),2)=0</formula>
    </cfRule>
  </conditionalFormatting>
  <conditionalFormatting sqref="G86:G87">
    <cfRule type="expression" dxfId="377" priority="188">
      <formula>MOD(ROW(),2)=0</formula>
    </cfRule>
  </conditionalFormatting>
  <conditionalFormatting sqref="G88:G89">
    <cfRule type="expression" dxfId="376" priority="187">
      <formula>MOD(ROW(),2)=0</formula>
    </cfRule>
  </conditionalFormatting>
  <conditionalFormatting sqref="G90:G91">
    <cfRule type="expression" dxfId="375" priority="186">
      <formula>MOD(ROW(),2)=0</formula>
    </cfRule>
  </conditionalFormatting>
  <conditionalFormatting sqref="G92:G93">
    <cfRule type="expression" dxfId="374" priority="185">
      <formula>MOD(ROW(),2)=0</formula>
    </cfRule>
  </conditionalFormatting>
  <conditionalFormatting sqref="G94:G95">
    <cfRule type="expression" dxfId="373" priority="184">
      <formula>MOD(ROW(),2)=0</formula>
    </cfRule>
  </conditionalFormatting>
  <conditionalFormatting sqref="G96:G97">
    <cfRule type="expression" dxfId="372" priority="183">
      <formula>MOD(ROW(),2)=0</formula>
    </cfRule>
  </conditionalFormatting>
  <conditionalFormatting sqref="G98:G99">
    <cfRule type="expression" dxfId="371" priority="182">
      <formula>MOD(ROW(),2)=0</formula>
    </cfRule>
  </conditionalFormatting>
  <conditionalFormatting sqref="G80:G81">
    <cfRule type="expression" dxfId="370" priority="181">
      <formula>MOD(ROW(),2)=0</formula>
    </cfRule>
  </conditionalFormatting>
  <conditionalFormatting sqref="G82:G83">
    <cfRule type="expression" dxfId="369" priority="180">
      <formula>MOD(ROW(),2)=0</formula>
    </cfRule>
  </conditionalFormatting>
  <conditionalFormatting sqref="E100:E123">
    <cfRule type="expression" dxfId="368" priority="179">
      <formula>MOD(ROW(),2)=0</formula>
    </cfRule>
  </conditionalFormatting>
  <conditionalFormatting sqref="G100:G101">
    <cfRule type="expression" dxfId="367" priority="178">
      <formula>MOD(ROW(),2)=0</formula>
    </cfRule>
  </conditionalFormatting>
  <conditionalFormatting sqref="G102:G103">
    <cfRule type="expression" dxfId="366" priority="177">
      <formula>MOD(ROW(),2)=0</formula>
    </cfRule>
  </conditionalFormatting>
  <conditionalFormatting sqref="G108:G109">
    <cfRule type="expression" dxfId="365" priority="176">
      <formula>MOD(ROW(),2)=0</formula>
    </cfRule>
  </conditionalFormatting>
  <conditionalFormatting sqref="G110:G111">
    <cfRule type="expression" dxfId="364" priority="175">
      <formula>MOD(ROW(),2)=0</formula>
    </cfRule>
  </conditionalFormatting>
  <conditionalFormatting sqref="G112:G113">
    <cfRule type="expression" dxfId="363" priority="174">
      <formula>MOD(ROW(),2)=0</formula>
    </cfRule>
  </conditionalFormatting>
  <conditionalFormatting sqref="G114:G115">
    <cfRule type="expression" dxfId="362" priority="173">
      <formula>MOD(ROW(),2)=0</formula>
    </cfRule>
  </conditionalFormatting>
  <conditionalFormatting sqref="G116:G117">
    <cfRule type="expression" dxfId="361" priority="172">
      <formula>MOD(ROW(),2)=0</formula>
    </cfRule>
  </conditionalFormatting>
  <conditionalFormatting sqref="G118:G119">
    <cfRule type="expression" dxfId="360" priority="171">
      <formula>MOD(ROW(),2)=0</formula>
    </cfRule>
  </conditionalFormatting>
  <conditionalFormatting sqref="G120:G121">
    <cfRule type="expression" dxfId="359" priority="170">
      <formula>MOD(ROW(),2)=0</formula>
    </cfRule>
  </conditionalFormatting>
  <conditionalFormatting sqref="G122:G123">
    <cfRule type="expression" dxfId="358" priority="169">
      <formula>MOD(ROW(),2)=0</formula>
    </cfRule>
  </conditionalFormatting>
  <conditionalFormatting sqref="G104:G105">
    <cfRule type="expression" dxfId="357" priority="168">
      <formula>MOD(ROW(),2)=0</formula>
    </cfRule>
  </conditionalFormatting>
  <conditionalFormatting sqref="G106:G107">
    <cfRule type="expression" dxfId="356" priority="167">
      <formula>MOD(ROW(),2)=0</formula>
    </cfRule>
  </conditionalFormatting>
  <conditionalFormatting sqref="G124:G125">
    <cfRule type="expression" dxfId="355" priority="166">
      <formula>MOD(ROW(),2)=0</formula>
    </cfRule>
  </conditionalFormatting>
  <conditionalFormatting sqref="G126:G127">
    <cfRule type="expression" dxfId="354" priority="165">
      <formula>MOD(ROW(),2)=0</formula>
    </cfRule>
  </conditionalFormatting>
  <conditionalFormatting sqref="G132:G133">
    <cfRule type="expression" dxfId="353" priority="164">
      <formula>MOD(ROW(),2)=0</formula>
    </cfRule>
  </conditionalFormatting>
  <conditionalFormatting sqref="G134:G135">
    <cfRule type="expression" dxfId="352" priority="163">
      <formula>MOD(ROW(),2)=0</formula>
    </cfRule>
  </conditionalFormatting>
  <conditionalFormatting sqref="G136:G137">
    <cfRule type="expression" dxfId="351" priority="162">
      <formula>MOD(ROW(),2)=0</formula>
    </cfRule>
  </conditionalFormatting>
  <conditionalFormatting sqref="G138:G139">
    <cfRule type="expression" dxfId="350" priority="161">
      <formula>MOD(ROW(),2)=0</formula>
    </cfRule>
  </conditionalFormatting>
  <conditionalFormatting sqref="G140:G141">
    <cfRule type="expression" dxfId="349" priority="160">
      <formula>MOD(ROW(),2)=0</formula>
    </cfRule>
  </conditionalFormatting>
  <conditionalFormatting sqref="G142:G143">
    <cfRule type="expression" dxfId="348" priority="159">
      <formula>MOD(ROW(),2)=0</formula>
    </cfRule>
  </conditionalFormatting>
  <conditionalFormatting sqref="G144:G145">
    <cfRule type="expression" dxfId="347" priority="158">
      <formula>MOD(ROW(),2)=0</formula>
    </cfRule>
  </conditionalFormatting>
  <conditionalFormatting sqref="G146:G147">
    <cfRule type="expression" dxfId="346" priority="157">
      <formula>MOD(ROW(),2)=0</formula>
    </cfRule>
  </conditionalFormatting>
  <conditionalFormatting sqref="G128:G129">
    <cfRule type="expression" dxfId="345" priority="156">
      <formula>MOD(ROW(),2)=0</formula>
    </cfRule>
  </conditionalFormatting>
  <conditionalFormatting sqref="G130:G131">
    <cfRule type="expression" dxfId="344" priority="155">
      <formula>MOD(ROW(),2)=0</formula>
    </cfRule>
  </conditionalFormatting>
  <conditionalFormatting sqref="G148:G149">
    <cfRule type="expression" dxfId="343" priority="154">
      <formula>MOD(ROW(),2)=0</formula>
    </cfRule>
  </conditionalFormatting>
  <conditionalFormatting sqref="G150:G151">
    <cfRule type="expression" dxfId="342" priority="153">
      <formula>MOD(ROW(),2)=0</formula>
    </cfRule>
  </conditionalFormatting>
  <conditionalFormatting sqref="G156:G157">
    <cfRule type="expression" dxfId="341" priority="152">
      <formula>MOD(ROW(),2)=0</formula>
    </cfRule>
  </conditionalFormatting>
  <conditionalFormatting sqref="G158:G159">
    <cfRule type="expression" dxfId="340" priority="151">
      <formula>MOD(ROW(),2)=0</formula>
    </cfRule>
  </conditionalFormatting>
  <conditionalFormatting sqref="G160:G161">
    <cfRule type="expression" dxfId="339" priority="150">
      <formula>MOD(ROW(),2)=0</formula>
    </cfRule>
  </conditionalFormatting>
  <conditionalFormatting sqref="G162:G163">
    <cfRule type="expression" dxfId="338" priority="149">
      <formula>MOD(ROW(),2)=0</formula>
    </cfRule>
  </conditionalFormatting>
  <conditionalFormatting sqref="G164:G165">
    <cfRule type="expression" dxfId="337" priority="148">
      <formula>MOD(ROW(),2)=0</formula>
    </cfRule>
  </conditionalFormatting>
  <conditionalFormatting sqref="G166:G167">
    <cfRule type="expression" dxfId="336" priority="147">
      <formula>MOD(ROW(),2)=0</formula>
    </cfRule>
  </conditionalFormatting>
  <conditionalFormatting sqref="G168:G169">
    <cfRule type="expression" dxfId="335" priority="146">
      <formula>MOD(ROW(),2)=0</formula>
    </cfRule>
  </conditionalFormatting>
  <conditionalFormatting sqref="G170:G171">
    <cfRule type="expression" dxfId="334" priority="145">
      <formula>MOD(ROW(),2)=0</formula>
    </cfRule>
  </conditionalFormatting>
  <conditionalFormatting sqref="G152:G153">
    <cfRule type="expression" dxfId="333" priority="144">
      <formula>MOD(ROW(),2)=0</formula>
    </cfRule>
  </conditionalFormatting>
  <conditionalFormatting sqref="G154:G155">
    <cfRule type="expression" dxfId="332" priority="143">
      <formula>MOD(ROW(),2)=0</formula>
    </cfRule>
  </conditionalFormatting>
  <conditionalFormatting sqref="G172:G173">
    <cfRule type="expression" dxfId="331" priority="142">
      <formula>MOD(ROW(),2)=0</formula>
    </cfRule>
  </conditionalFormatting>
  <conditionalFormatting sqref="G174:G175">
    <cfRule type="expression" dxfId="330" priority="141">
      <formula>MOD(ROW(),2)=0</formula>
    </cfRule>
  </conditionalFormatting>
  <conditionalFormatting sqref="G180:G181">
    <cfRule type="expression" dxfId="329" priority="140">
      <formula>MOD(ROW(),2)=0</formula>
    </cfRule>
  </conditionalFormatting>
  <conditionalFormatting sqref="G182:G183">
    <cfRule type="expression" dxfId="328" priority="139">
      <formula>MOD(ROW(),2)=0</formula>
    </cfRule>
  </conditionalFormatting>
  <conditionalFormatting sqref="G184:G185">
    <cfRule type="expression" dxfId="327" priority="138">
      <formula>MOD(ROW(),2)=0</formula>
    </cfRule>
  </conditionalFormatting>
  <conditionalFormatting sqref="G186:G187">
    <cfRule type="expression" dxfId="326" priority="137">
      <formula>MOD(ROW(),2)=0</formula>
    </cfRule>
  </conditionalFormatting>
  <conditionalFormatting sqref="G188:G189">
    <cfRule type="expression" dxfId="325" priority="136">
      <formula>MOD(ROW(),2)=0</formula>
    </cfRule>
  </conditionalFormatting>
  <conditionalFormatting sqref="G190:G191">
    <cfRule type="expression" dxfId="324" priority="135">
      <formula>MOD(ROW(),2)=0</formula>
    </cfRule>
  </conditionalFormatting>
  <conditionalFormatting sqref="G192:G193">
    <cfRule type="expression" dxfId="323" priority="134">
      <formula>MOD(ROW(),2)=0</formula>
    </cfRule>
  </conditionalFormatting>
  <conditionalFormatting sqref="G194:G195">
    <cfRule type="expression" dxfId="322" priority="133">
      <formula>MOD(ROW(),2)=0</formula>
    </cfRule>
  </conditionalFormatting>
  <conditionalFormatting sqref="G176:G177">
    <cfRule type="expression" dxfId="321" priority="132">
      <formula>MOD(ROW(),2)=0</formula>
    </cfRule>
  </conditionalFormatting>
  <conditionalFormatting sqref="G178:G179">
    <cfRule type="expression" dxfId="320" priority="131">
      <formula>MOD(ROW(),2)=0</formula>
    </cfRule>
  </conditionalFormatting>
  <conditionalFormatting sqref="G225">
    <cfRule type="expression" dxfId="319" priority="130">
      <formula>MOD(ROW(),2)=0</formula>
    </cfRule>
  </conditionalFormatting>
  <conditionalFormatting sqref="G246">
    <cfRule type="expression" dxfId="318" priority="129">
      <formula>MOD(ROW(),2)=0</formula>
    </cfRule>
  </conditionalFormatting>
  <conditionalFormatting sqref="G74:G75">
    <cfRule type="expression" dxfId="315" priority="126">
      <formula>MOD(ROW(),2)=0</formula>
    </cfRule>
  </conditionalFormatting>
  <conditionalFormatting sqref="E74:E75">
    <cfRule type="expression" dxfId="314" priority="125">
      <formula>MOD(ROW(),2)=0</formula>
    </cfRule>
  </conditionalFormatting>
  <conditionalFormatting sqref="E246">
    <cfRule type="expression" dxfId="313" priority="124">
      <formula>MOD(ROW(),2)=0</formula>
    </cfRule>
  </conditionalFormatting>
  <conditionalFormatting sqref="G223">
    <cfRule type="expression" dxfId="311" priority="104">
      <formula>MOD(ROW(),2)=0</formula>
    </cfRule>
  </conditionalFormatting>
  <conditionalFormatting sqref="E225">
    <cfRule type="expression" dxfId="310" priority="121">
      <formula>MOD(ROW(),2)=0</formula>
    </cfRule>
  </conditionalFormatting>
  <conditionalFormatting sqref="E404">
    <cfRule type="expression" dxfId="309" priority="120">
      <formula>MOD(ROW(),2)=0</formula>
    </cfRule>
  </conditionalFormatting>
  <conditionalFormatting sqref="G402:G403">
    <cfRule type="expression" dxfId="308" priority="119">
      <formula>MOD(ROW(),2)=0</formula>
    </cfRule>
  </conditionalFormatting>
  <conditionalFormatting sqref="G224">
    <cfRule type="expression" dxfId="307" priority="118">
      <formula>MOD(ROW(),2)=0</formula>
    </cfRule>
  </conditionalFormatting>
  <conditionalFormatting sqref="G245">
    <cfRule type="expression" dxfId="306" priority="117">
      <formula>MOD(ROW(),2)=0</formula>
    </cfRule>
  </conditionalFormatting>
  <conditionalFormatting sqref="E71">
    <cfRule type="expression" dxfId="305" priority="98">
      <formula>MOD(ROW(),2)=0</formula>
    </cfRule>
  </conditionalFormatting>
  <conditionalFormatting sqref="G72:G73">
    <cfRule type="expression" dxfId="303" priority="114">
      <formula>MOD(ROW(),2)=0</formula>
    </cfRule>
  </conditionalFormatting>
  <conditionalFormatting sqref="E72:E73">
    <cfRule type="expression" dxfId="302" priority="113">
      <formula>MOD(ROW(),2)=0</formula>
    </cfRule>
  </conditionalFormatting>
  <conditionalFormatting sqref="E245">
    <cfRule type="expression" dxfId="301" priority="112">
      <formula>MOD(ROW(),2)=0</formula>
    </cfRule>
  </conditionalFormatting>
  <conditionalFormatting sqref="E400">
    <cfRule type="expression" dxfId="299" priority="92">
      <formula>MOD(ROW(),2)=0</formula>
    </cfRule>
  </conditionalFormatting>
  <conditionalFormatting sqref="E224">
    <cfRule type="expression" dxfId="298" priority="109">
      <formula>MOD(ROW(),2)=0</formula>
    </cfRule>
  </conditionalFormatting>
  <conditionalFormatting sqref="E403">
    <cfRule type="expression" dxfId="297" priority="108">
      <formula>MOD(ROW(),2)=0</formula>
    </cfRule>
  </conditionalFormatting>
  <conditionalFormatting sqref="E402">
    <cfRule type="expression" dxfId="296" priority="107">
      <formula>MOD(ROW(),2)=0</formula>
    </cfRule>
  </conditionalFormatting>
  <conditionalFormatting sqref="G400:G401">
    <cfRule type="expression" dxfId="295" priority="105">
      <formula>MOD(ROW(),2)=0</formula>
    </cfRule>
  </conditionalFormatting>
  <conditionalFormatting sqref="G244">
    <cfRule type="expression" dxfId="293" priority="103">
      <formula>MOD(ROW(),2)=0</formula>
    </cfRule>
  </conditionalFormatting>
  <conditionalFormatting sqref="G70:G71">
    <cfRule type="expression" dxfId="290" priority="100">
      <formula>MOD(ROW(),2)=0</formula>
    </cfRule>
  </conditionalFormatting>
  <conditionalFormatting sqref="E70">
    <cfRule type="expression" dxfId="289" priority="99">
      <formula>MOD(ROW(),2)=0</formula>
    </cfRule>
  </conditionalFormatting>
  <conditionalFormatting sqref="E244">
    <cfRule type="expression" dxfId="287" priority="97">
      <formula>MOD(ROW(),2)=0</formula>
    </cfRule>
  </conditionalFormatting>
  <conditionalFormatting sqref="E223">
    <cfRule type="expression" dxfId="284" priority="94">
      <formula>MOD(ROW(),2)=0</formula>
    </cfRule>
  </conditionalFormatting>
  <conditionalFormatting sqref="E401">
    <cfRule type="expression" dxfId="283" priority="93">
      <formula>MOD(ROW(),2)=0</formula>
    </cfRule>
  </conditionalFormatting>
  <conditionalFormatting sqref="G398:G399">
    <cfRule type="expression" dxfId="281" priority="91">
      <formula>MOD(ROW(),2)=0</formula>
    </cfRule>
  </conditionalFormatting>
  <conditionalFormatting sqref="G222">
    <cfRule type="expression" dxfId="280" priority="90">
      <formula>MOD(ROW(),2)=0</formula>
    </cfRule>
  </conditionalFormatting>
  <conditionalFormatting sqref="G243">
    <cfRule type="expression" dxfId="279" priority="89">
      <formula>MOD(ROW(),2)=0</formula>
    </cfRule>
  </conditionalFormatting>
  <conditionalFormatting sqref="E396">
    <cfRule type="expression" dxfId="278" priority="70">
      <formula>MOD(ROW(),2)=0</formula>
    </cfRule>
  </conditionalFormatting>
  <conditionalFormatting sqref="G68:G69">
    <cfRule type="expression" dxfId="276" priority="86">
      <formula>MOD(ROW(),2)=0</formula>
    </cfRule>
  </conditionalFormatting>
  <conditionalFormatting sqref="E243">
    <cfRule type="expression" dxfId="275" priority="85">
      <formula>MOD(ROW(),2)=0</formula>
    </cfRule>
  </conditionalFormatting>
  <conditionalFormatting sqref="E66">
    <cfRule type="expression" dxfId="273" priority="65">
      <formula>MOD(ROW(),2)=0</formula>
    </cfRule>
  </conditionalFormatting>
  <conditionalFormatting sqref="E222">
    <cfRule type="expression" dxfId="272" priority="82">
      <formula>MOD(ROW(),2)=0</formula>
    </cfRule>
  </conditionalFormatting>
  <conditionalFormatting sqref="E220">
    <cfRule type="expression" dxfId="271" priority="81">
      <formula>MOD(ROW(),2)=0</formula>
    </cfRule>
  </conditionalFormatting>
  <conditionalFormatting sqref="E221">
    <cfRule type="expression" dxfId="270" priority="80">
      <formula>MOD(ROW(),2)=0</formula>
    </cfRule>
  </conditionalFormatting>
  <conditionalFormatting sqref="G242">
    <cfRule type="expression" dxfId="269" priority="61">
      <formula>MOD(ROW(),2)=0</formula>
    </cfRule>
  </conditionalFormatting>
  <conditionalFormatting sqref="E242">
    <cfRule type="expression" dxfId="265" priority="75">
      <formula>MOD(ROW(),2)=0</formula>
    </cfRule>
  </conditionalFormatting>
  <conditionalFormatting sqref="E241">
    <cfRule type="expression" dxfId="264" priority="74">
      <formula>MOD(ROW(),2)=0</formula>
    </cfRule>
  </conditionalFormatting>
  <conditionalFormatting sqref="E399">
    <cfRule type="expression" dxfId="263" priority="73">
      <formula>MOD(ROW(),2)=0</formula>
    </cfRule>
  </conditionalFormatting>
  <conditionalFormatting sqref="E398">
    <cfRule type="expression" dxfId="262" priority="72">
      <formula>MOD(ROW(),2)=0</formula>
    </cfRule>
  </conditionalFormatting>
  <conditionalFormatting sqref="E397">
    <cfRule type="expression" dxfId="261" priority="71">
      <formula>MOD(ROW(),2)=0</formula>
    </cfRule>
  </conditionalFormatting>
  <conditionalFormatting sqref="E395">
    <cfRule type="expression" dxfId="259" priority="69">
      <formula>MOD(ROW(),2)=0</formula>
    </cfRule>
  </conditionalFormatting>
  <conditionalFormatting sqref="E394">
    <cfRule type="expression" dxfId="258" priority="68">
      <formula>MOD(ROW(),2)=0</formula>
    </cfRule>
  </conditionalFormatting>
  <conditionalFormatting sqref="E64">
    <cfRule type="expression" dxfId="257" priority="67">
      <formula>MOD(ROW(),2)=0</formula>
    </cfRule>
  </conditionalFormatting>
  <conditionalFormatting sqref="E65">
    <cfRule type="expression" dxfId="256" priority="66">
      <formula>MOD(ROW(),2)=0</formula>
    </cfRule>
  </conditionalFormatting>
  <conditionalFormatting sqref="E67">
    <cfRule type="expression" dxfId="254" priority="64">
      <formula>MOD(ROW(),2)=0</formula>
    </cfRule>
  </conditionalFormatting>
  <conditionalFormatting sqref="G396:G397">
    <cfRule type="expression" dxfId="253" priority="63">
      <formula>MOD(ROW(),2)=0</formula>
    </cfRule>
  </conditionalFormatting>
  <conditionalFormatting sqref="G221">
    <cfRule type="expression" dxfId="252" priority="62">
      <formula>MOD(ROW(),2)=0</formula>
    </cfRule>
  </conditionalFormatting>
  <conditionalFormatting sqref="K255:K282 K285:K294 K301:K393">
    <cfRule type="expression" dxfId="250" priority="42">
      <formula>MOD(ROW(),2)=0</formula>
    </cfRule>
  </conditionalFormatting>
  <conditionalFormatting sqref="G66:G67">
    <cfRule type="expression" dxfId="248" priority="58">
      <formula>MOD(ROW(),2)=0</formula>
    </cfRule>
  </conditionalFormatting>
  <conditionalFormatting sqref="G394:G395">
    <cfRule type="expression" dxfId="247" priority="57">
      <formula>MOD(ROW(),2)=0</formula>
    </cfRule>
  </conditionalFormatting>
  <conditionalFormatting sqref="G220">
    <cfRule type="expression" dxfId="246" priority="56">
      <formula>MOD(ROW(),2)=0</formula>
    </cfRule>
  </conditionalFormatting>
  <conditionalFormatting sqref="G241">
    <cfRule type="expression" dxfId="245" priority="55">
      <formula>MOD(ROW(),2)=0</formula>
    </cfRule>
  </conditionalFormatting>
  <conditionalFormatting sqref="J247:J252">
    <cfRule type="expression" dxfId="244" priority="36">
      <formula>MOD(ROW(),2)=0</formula>
    </cfRule>
  </conditionalFormatting>
  <conditionalFormatting sqref="G64:G65">
    <cfRule type="expression" dxfId="242" priority="52">
      <formula>MOD(ROW(),2)=0</formula>
    </cfRule>
  </conditionalFormatting>
  <conditionalFormatting sqref="G247">
    <cfRule type="expression" dxfId="241" priority="48">
      <formula>MOD(ROW(),2)=0</formula>
    </cfRule>
  </conditionalFormatting>
  <conditionalFormatting sqref="G248">
    <cfRule type="expression" dxfId="240" priority="47">
      <formula>MOD(ROW(),2)=0</formula>
    </cfRule>
  </conditionalFormatting>
  <conditionalFormatting sqref="G249">
    <cfRule type="expression" dxfId="239" priority="46">
      <formula>MOD(ROW(),2)=0</formula>
    </cfRule>
  </conditionalFormatting>
  <conditionalFormatting sqref="G250">
    <cfRule type="expression" dxfId="238" priority="45">
      <formula>MOD(ROW(),2)=0</formula>
    </cfRule>
  </conditionalFormatting>
  <conditionalFormatting sqref="G251:G252">
    <cfRule type="expression" dxfId="237" priority="51">
      <formula>MOD(ROW(),2)=0</formula>
    </cfRule>
  </conditionalFormatting>
  <conditionalFormatting sqref="G247">
    <cfRule type="expression" dxfId="236" priority="50">
      <formula>MOD(ROW(),2)=0</formula>
    </cfRule>
  </conditionalFormatting>
  <conditionalFormatting sqref="G248">
    <cfRule type="expression" dxfId="235" priority="49">
      <formula>MOD(ROW(),2)=0</formula>
    </cfRule>
  </conditionalFormatting>
  <conditionalFormatting sqref="G388:G393">
    <cfRule type="expression" dxfId="234" priority="44">
      <formula>MOD(ROW(),2)=0</formula>
    </cfRule>
  </conditionalFormatting>
  <conditionalFormatting sqref="K283">
    <cfRule type="expression" dxfId="232" priority="39">
      <formula>MOD(ROW(),2)=0</formula>
    </cfRule>
  </conditionalFormatting>
  <conditionalFormatting sqref="K284">
    <cfRule type="expression" dxfId="231" priority="38">
      <formula>MOD(ROW(),2)=0</formula>
    </cfRule>
  </conditionalFormatting>
  <conditionalFormatting sqref="K295:K300">
    <cfRule type="expression" dxfId="230" priority="37">
      <formula>MOD(ROW(),2)=0</formula>
    </cfRule>
  </conditionalFormatting>
  <conditionalFormatting sqref="J253:J393">
    <cfRule type="expression" dxfId="229" priority="43">
      <formula>MOD(ROW(),2)=0</formula>
    </cfRule>
  </conditionalFormatting>
  <conditionalFormatting sqref="K253">
    <cfRule type="expression" dxfId="228" priority="41">
      <formula>MOD(ROW(),2)=0</formula>
    </cfRule>
  </conditionalFormatting>
  <conditionalFormatting sqref="K254">
    <cfRule type="expression" dxfId="227" priority="40">
      <formula>MOD(ROW(),2)=0</formula>
    </cfRule>
  </conditionalFormatting>
  <conditionalFormatting sqref="K252">
    <cfRule type="expression" dxfId="226" priority="33">
      <formula>MOD(ROW(),2)=0</formula>
    </cfRule>
  </conditionalFormatting>
  <conditionalFormatting sqref="K247:K250">
    <cfRule type="expression" dxfId="224" priority="35">
      <formula>MOD(ROW(),2)=0</formula>
    </cfRule>
  </conditionalFormatting>
  <conditionalFormatting sqref="K251">
    <cfRule type="expression" dxfId="223" priority="34">
      <formula>MOD(ROW(),2)=0</formula>
    </cfRule>
  </conditionalFormatting>
  <conditionalFormatting sqref="F235:F240">
    <cfRule type="expression" dxfId="222" priority="32">
      <formula>MOD(ROW(),2)=0</formula>
    </cfRule>
  </conditionalFormatting>
  <conditionalFormatting sqref="D235:D240">
    <cfRule type="expression" dxfId="221" priority="31">
      <formula>MOD(ROW(),2)=0</formula>
    </cfRule>
  </conditionalFormatting>
  <conditionalFormatting sqref="G240">
    <cfRule type="expression" dxfId="220" priority="30">
      <formula>MOD(ROW(),2)=0</formula>
    </cfRule>
  </conditionalFormatting>
  <conditionalFormatting sqref="E240">
    <cfRule type="expression" dxfId="219" priority="29">
      <formula>MOD(ROW(),2)=0</formula>
    </cfRule>
  </conditionalFormatting>
  <conditionalFormatting sqref="G239">
    <cfRule type="expression" dxfId="218" priority="28">
      <formula>MOD(ROW(),2)=0</formula>
    </cfRule>
  </conditionalFormatting>
  <conditionalFormatting sqref="E239">
    <cfRule type="expression" dxfId="217" priority="27">
      <formula>MOD(ROW(),2)=0</formula>
    </cfRule>
  </conditionalFormatting>
  <conditionalFormatting sqref="G238">
    <cfRule type="expression" dxfId="216" priority="26">
      <formula>MOD(ROW(),2)=0</formula>
    </cfRule>
  </conditionalFormatting>
  <conditionalFormatting sqref="E238">
    <cfRule type="expression" dxfId="215" priority="25">
      <formula>MOD(ROW(),2)=0</formula>
    </cfRule>
  </conditionalFormatting>
  <conditionalFormatting sqref="G237">
    <cfRule type="expression" dxfId="214" priority="24">
      <formula>MOD(ROW(),2)=0</formula>
    </cfRule>
  </conditionalFormatting>
  <conditionalFormatting sqref="E237">
    <cfRule type="expression" dxfId="213" priority="23">
      <formula>MOD(ROW(),2)=0</formula>
    </cfRule>
  </conditionalFormatting>
  <conditionalFormatting sqref="E236">
    <cfRule type="expression" dxfId="212" priority="22">
      <formula>MOD(ROW(),2)=0</formula>
    </cfRule>
  </conditionalFormatting>
  <conditionalFormatting sqref="E235">
    <cfRule type="expression" dxfId="211" priority="21">
      <formula>MOD(ROW(),2)=0</formula>
    </cfRule>
  </conditionalFormatting>
  <conditionalFormatting sqref="G236">
    <cfRule type="expression" dxfId="210" priority="20">
      <formula>MOD(ROW(),2)=0</formula>
    </cfRule>
  </conditionalFormatting>
  <conditionalFormatting sqref="G235">
    <cfRule type="expression" dxfId="209" priority="19">
      <formula>MOD(ROW(),2)=0</formula>
    </cfRule>
  </conditionalFormatting>
  <conditionalFormatting sqref="F233">
    <cfRule type="expression" dxfId="208" priority="16">
      <formula>MOD(ROW(),2)=0</formula>
    </cfRule>
  </conditionalFormatting>
  <conditionalFormatting sqref="F234">
    <cfRule type="expression" dxfId="207" priority="15">
      <formula>MOD(ROW(),2)=0</formula>
    </cfRule>
  </conditionalFormatting>
  <conditionalFormatting sqref="F232">
    <cfRule type="expression" dxfId="206" priority="13">
      <formula>MOD(ROW(),2)=0</formula>
    </cfRule>
  </conditionalFormatting>
  <conditionalFormatting sqref="F229:F230">
    <cfRule type="expression" dxfId="205" priority="18">
      <formula>MOD(ROW(),2)=0</formula>
    </cfRule>
  </conditionalFormatting>
  <conditionalFormatting sqref="D229:D234">
    <cfRule type="expression" dxfId="204" priority="17">
      <formula>MOD(ROW(),2)=0</formula>
    </cfRule>
  </conditionalFormatting>
  <conditionalFormatting sqref="F231">
    <cfRule type="expression" dxfId="203" priority="14">
      <formula>MOD(ROW(),2)=0</formula>
    </cfRule>
  </conditionalFormatting>
  <conditionalFormatting sqref="G234">
    <cfRule type="expression" dxfId="202" priority="12">
      <formula>MOD(ROW(),2)=0</formula>
    </cfRule>
  </conditionalFormatting>
  <conditionalFormatting sqref="E234">
    <cfRule type="expression" dxfId="201" priority="11">
      <formula>MOD(ROW(),2)=0</formula>
    </cfRule>
  </conditionalFormatting>
  <conditionalFormatting sqref="G233">
    <cfRule type="expression" dxfId="200" priority="10">
      <formula>MOD(ROW(),2)=0</formula>
    </cfRule>
  </conditionalFormatting>
  <conditionalFormatting sqref="E233">
    <cfRule type="expression" dxfId="199" priority="9">
      <formula>MOD(ROW(),2)=0</formula>
    </cfRule>
  </conditionalFormatting>
  <conditionalFormatting sqref="G232">
    <cfRule type="expression" dxfId="198" priority="8">
      <formula>MOD(ROW(),2)=0</formula>
    </cfRule>
  </conditionalFormatting>
  <conditionalFormatting sqref="E232">
    <cfRule type="expression" dxfId="197" priority="7">
      <formula>MOD(ROW(),2)=0</formula>
    </cfRule>
  </conditionalFormatting>
  <conditionalFormatting sqref="G231">
    <cfRule type="expression" dxfId="196" priority="6">
      <formula>MOD(ROW(),2)=0</formula>
    </cfRule>
  </conditionalFormatting>
  <conditionalFormatting sqref="E231">
    <cfRule type="expression" dxfId="195" priority="5">
      <formula>MOD(ROW(),2)=0</formula>
    </cfRule>
  </conditionalFormatting>
  <conditionalFormatting sqref="E230">
    <cfRule type="expression" dxfId="194" priority="4">
      <formula>MOD(ROW(),2)=0</formula>
    </cfRule>
  </conditionalFormatting>
  <conditionalFormatting sqref="E229">
    <cfRule type="expression" dxfId="193" priority="3">
      <formula>MOD(ROW(),2)=0</formula>
    </cfRule>
  </conditionalFormatting>
  <conditionalFormatting sqref="G230">
    <cfRule type="expression" dxfId="192" priority="2">
      <formula>MOD(ROW(),2)=0</formula>
    </cfRule>
  </conditionalFormatting>
  <conditionalFormatting sqref="G229">
    <cfRule type="expression" dxfId="191" priority="1">
      <formula>MOD(ROW(),2)=0</formula>
    </cfRule>
  </conditionalFormatting>
  <hyperlinks>
    <hyperlink ref="AN6" location="'0'!A1" tooltip="X stave 0, Front" display="'0'!A1" xr:uid="{00000000-0004-0000-0E00-000000000000}"/>
    <hyperlink ref="AN7:AN10" location="'0'!A1" tooltip="X stave 0, Front" display="'0'!A1" xr:uid="{00000000-0004-0000-0E00-000001000000}"/>
    <hyperlink ref="AJ6" location="'0'!A1" tooltip="X stave 0, Front" display="'0'!A1" xr:uid="{00000000-0004-0000-0E00-000002000000}"/>
    <hyperlink ref="AJ7:AJ10" location="'0'!A1" tooltip="X stave 0, Front" display="'0'!A1" xr:uid="{00000000-0004-0000-0E00-000003000000}"/>
    <hyperlink ref="AH6" location="'0'!A1" tooltip="X stave 0, Front" display="'0'!A1" xr:uid="{00000000-0004-0000-0E00-000004000000}"/>
    <hyperlink ref="AH7:AH10" location="'0'!A1" tooltip="X stave 0, Front" display="'0'!A1" xr:uid="{00000000-0004-0000-0E00-000005000000}"/>
    <hyperlink ref="AJ6:AJ10" location="'2'!A1" tooltip="DCB 2" display="'2'!A1" xr:uid="{00000000-0004-0000-0E00-000006000000}"/>
    <hyperlink ref="AN6:AN10" location="'0'!A1" tooltip="DCB 0" display="'0'!A1" xr:uid="{00000000-0004-0000-0E00-000007000000}"/>
    <hyperlink ref="AL6" location="'0'!A1" tooltip="X stave 0, Front" display="'0'!A1" xr:uid="{00000000-0004-0000-0E00-000008000000}"/>
    <hyperlink ref="AL7:AL10" location="'0'!A1" tooltip="X stave 0, Front" display="'0'!A1" xr:uid="{00000000-0004-0000-0E00-000009000000}"/>
    <hyperlink ref="AL6:AL10" location="'1'!A1" tooltip="DCB 1" display="'1'!A1" xr:uid="{00000000-0004-0000-0E00-00000A000000}"/>
    <hyperlink ref="AH6:AH10" location="'3'!A1" display="'3'!A1" xr:uid="{00000000-0004-0000-0E00-00000B000000}"/>
    <hyperlink ref="AF6" location="'0'!A1" tooltip="X stave 0, Front" display="'0'!A1" xr:uid="{00000000-0004-0000-0E00-00000C000000}"/>
    <hyperlink ref="AF7:AF10" location="'0'!A1" tooltip="X stave 0, Front" display="'0'!A1" xr:uid="{00000000-0004-0000-0E00-00000D000000}"/>
    <hyperlink ref="AF6:AF10" location="'4'!A1" display="'4'!A1" xr:uid="{00000000-0004-0000-0E00-00000E000000}"/>
    <hyperlink ref="AD6" location="'0'!A1" tooltip="X stave 0, Front" display="'0'!A1" xr:uid="{00000000-0004-0000-0E00-00000F000000}"/>
    <hyperlink ref="AD7:AD10" location="'0'!A1" tooltip="X stave 0, Front" display="'0'!A1" xr:uid="{00000000-0004-0000-0E00-000010000000}"/>
    <hyperlink ref="AD6:AD10" location="'5'!A1" display="'5'!A1" xr:uid="{00000000-0004-0000-0E00-000011000000}"/>
    <hyperlink ref="AB6" location="'0'!A1" tooltip="X stave 0, Front" display="'0'!A1" xr:uid="{00000000-0004-0000-0E00-000012000000}"/>
    <hyperlink ref="AB7:AB10" location="'0'!A1" tooltip="X stave 0, Front" display="'0'!A1" xr:uid="{00000000-0004-0000-0E00-000013000000}"/>
    <hyperlink ref="AB6:AB10" location="'6'!A1" display="'6'!A1" xr:uid="{00000000-0004-0000-0E00-000014000000}"/>
    <hyperlink ref="Z6" location="'0'!A1" tooltip="X stave 0, Front" display="'0'!A1" xr:uid="{00000000-0004-0000-0E00-000015000000}"/>
    <hyperlink ref="Z7:Z10" location="'0'!A1" tooltip="X stave 0, Front" display="'0'!A1" xr:uid="{00000000-0004-0000-0E00-000016000000}"/>
    <hyperlink ref="Z6:Z10" location="'7'!A1" display="'7'!A1" xr:uid="{00000000-0004-0000-0E00-000017000000}"/>
    <hyperlink ref="X6" location="'0'!A1" tooltip="X stave 0, Front" display="'0'!A1" xr:uid="{00000000-0004-0000-0E00-000018000000}"/>
    <hyperlink ref="X7:X10" location="'0'!A1" tooltip="X stave 0, Front" display="'0'!A1" xr:uid="{00000000-0004-0000-0E00-000019000000}"/>
    <hyperlink ref="X6:X10" location="'8'!A1" display="'8'!A1" xr:uid="{00000000-0004-0000-0E00-00001A000000}"/>
    <hyperlink ref="V6" location="'0'!A1" tooltip="X stave 0, Front" display="'0'!A1" xr:uid="{00000000-0004-0000-0E00-00001B000000}"/>
    <hyperlink ref="V7:V10" location="'0'!A1" tooltip="X stave 0, Front" display="'0'!A1" xr:uid="{00000000-0004-0000-0E00-00001C000000}"/>
    <hyperlink ref="V6:V10" location="'9'!A1" display="'9'!A1" xr:uid="{00000000-0004-0000-0E00-00001D000000}"/>
    <hyperlink ref="T6" location="'0'!A1" tooltip="X stave 0, Front" display="'0'!A1" xr:uid="{00000000-0004-0000-0E00-00001E000000}"/>
    <hyperlink ref="T7:T10" location="'0'!A1" tooltip="X stave 0, Front" display="'0'!A1" xr:uid="{00000000-0004-0000-0E00-00001F000000}"/>
    <hyperlink ref="T6:T10" location="'10'!A1" display="'10'!A1" xr:uid="{00000000-0004-0000-0E00-000020000000}"/>
    <hyperlink ref="R6" location="'0'!A1" tooltip="X stave 0, Front" display="'0'!A1" xr:uid="{00000000-0004-0000-0E00-000021000000}"/>
    <hyperlink ref="R7:R10" location="'0'!A1" tooltip="X stave 0, Front" display="'0'!A1" xr:uid="{00000000-0004-0000-0E00-000022000000}"/>
    <hyperlink ref="R6:R10" location="'11'!A1" display="'11'!A1" xr:uid="{00000000-0004-0000-0E00-000023000000}"/>
  </hyperlinks>
  <pageMargins left="0.75" right="0.75" top="1" bottom="1" header="0.5" footer="0.5"/>
  <pageSetup orientation="portrait" horizontalDpi="4294967292" verticalDpi="4294967292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1:AR506"/>
  <sheetViews>
    <sheetView zoomScale="85" zoomScaleNormal="85" workbookViewId="0">
      <selection activeCell="AN7" sqref="AN7"/>
    </sheetView>
  </sheetViews>
  <sheetFormatPr defaultColWidth="11" defaultRowHeight="15.6"/>
  <cols>
    <col min="1" max="1" width="2.8984375" style="221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1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1:44" s="4" customFormat="1" ht="16.2">
      <c r="A2" s="222"/>
      <c r="D2" s="27" t="s">
        <v>473</v>
      </c>
      <c r="E2" s="511" t="s">
        <v>345</v>
      </c>
      <c r="F2" s="511"/>
      <c r="G2" s="512" t="s">
        <v>454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 t="s">
        <v>338</v>
      </c>
      <c r="AR2"/>
    </row>
    <row r="3" spans="1:44" s="1" customFormat="1">
      <c r="A3" s="223"/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1:44" s="6" customFormat="1" ht="18" thickBot="1">
      <c r="A4" s="224"/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1:44" s="12" customFormat="1" ht="31.8" thickBot="1">
      <c r="A5" s="225"/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1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41">
        <v>0</v>
      </c>
      <c r="AO6" s="167"/>
      <c r="AP6" s="159"/>
      <c r="AQ6" s="168"/>
      <c r="AR6"/>
    </row>
    <row r="7" spans="1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42">
        <v>0</v>
      </c>
      <c r="AO7" s="167"/>
      <c r="AP7" s="159"/>
      <c r="AQ7" s="168"/>
      <c r="AR7"/>
    </row>
    <row r="8" spans="1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42">
        <v>0</v>
      </c>
      <c r="AO8" s="167"/>
      <c r="AP8" s="159"/>
      <c r="AQ8" s="168"/>
      <c r="AR8"/>
    </row>
    <row r="9" spans="1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42">
        <v>0</v>
      </c>
      <c r="AO9" s="167"/>
      <c r="AP9" s="159"/>
      <c r="AQ9" s="168"/>
      <c r="AR9"/>
    </row>
    <row r="10" spans="1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3">
        <v>0</v>
      </c>
      <c r="AO10" s="171"/>
      <c r="AP10" s="159"/>
      <c r="AQ10" s="168"/>
      <c r="AR10"/>
    </row>
    <row r="11" spans="1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1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1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1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1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1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13</v>
      </c>
      <c r="Q16" s="15"/>
      <c r="R16" s="15" t="s">
        <v>12</v>
      </c>
      <c r="S16" s="15"/>
      <c r="T16" s="15" t="s">
        <v>12</v>
      </c>
      <c r="U16" s="15"/>
      <c r="V16" s="15" t="s">
        <v>13</v>
      </c>
      <c r="W16" s="15"/>
      <c r="X16" s="15" t="s">
        <v>13</v>
      </c>
      <c r="Y16" s="15"/>
      <c r="Z16" s="15" t="s">
        <v>12</v>
      </c>
      <c r="AA16" s="15"/>
      <c r="AB16" s="15" t="s">
        <v>12</v>
      </c>
      <c r="AC16" s="15"/>
      <c r="AD16" s="15" t="s">
        <v>13</v>
      </c>
      <c r="AE16" s="15"/>
      <c r="AF16" s="15" t="s">
        <v>13</v>
      </c>
      <c r="AG16" s="15"/>
      <c r="AH16" s="15" t="s">
        <v>12</v>
      </c>
      <c r="AI16" s="15"/>
      <c r="AJ16" s="15" t="s">
        <v>12</v>
      </c>
      <c r="AK16" s="15"/>
      <c r="AL16" s="15" t="s">
        <v>13</v>
      </c>
      <c r="AM16" s="166"/>
      <c r="AN16" s="166"/>
      <c r="AO16" s="171"/>
      <c r="AP16" s="172"/>
      <c r="AQ16" s="164" t="s">
        <v>340</v>
      </c>
      <c r="AR16"/>
    </row>
    <row r="17" spans="1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8"/>
      <c r="AA17" s="19"/>
      <c r="AB17" s="508"/>
      <c r="AC17" s="19"/>
      <c r="AD17" s="508"/>
      <c r="AE17" s="19"/>
      <c r="AF17" s="508"/>
      <c r="AG17" s="19"/>
      <c r="AH17" s="508"/>
      <c r="AI17" s="19"/>
      <c r="AJ17" s="509"/>
      <c r="AK17" s="15"/>
      <c r="AL17" s="509"/>
      <c r="AM17" s="166"/>
      <c r="AN17" s="166"/>
      <c r="AO17" s="171"/>
      <c r="AP17" s="172"/>
      <c r="AQ17" s="164" t="s">
        <v>341</v>
      </c>
      <c r="AR17"/>
    </row>
    <row r="18" spans="1:44" s="1" customFormat="1" ht="16.2" thickBot="1">
      <c r="A18" s="221"/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6"/>
      <c r="Q18" s="19"/>
      <c r="R18" s="356"/>
      <c r="S18" s="19"/>
      <c r="T18" s="356"/>
      <c r="U18" s="19"/>
      <c r="V18" s="356"/>
      <c r="W18" s="19"/>
      <c r="X18" s="356"/>
      <c r="Y18" s="19"/>
      <c r="Z18" s="356"/>
      <c r="AA18" s="19"/>
      <c r="AB18" s="356"/>
      <c r="AC18" s="19"/>
      <c r="AD18" s="356"/>
      <c r="AE18" s="19"/>
      <c r="AF18" s="356"/>
      <c r="AG18" s="19"/>
      <c r="AH18" s="356"/>
      <c r="AI18" s="19"/>
      <c r="AJ18" s="510"/>
      <c r="AK18" s="19"/>
      <c r="AL18" s="510"/>
      <c r="AM18" s="166"/>
      <c r="AN18" s="166"/>
      <c r="AO18" s="171"/>
      <c r="AP18" s="172"/>
      <c r="AQ18" s="168"/>
      <c r="AR18"/>
    </row>
    <row r="19" spans="1:44" s="1" customFormat="1" ht="16.2" thickBot="1">
      <c r="A19" s="221"/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7">
        <v>11</v>
      </c>
      <c r="Q19" s="357"/>
      <c r="R19" s="357">
        <v>10</v>
      </c>
      <c r="S19" s="357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1:44" s="1" customFormat="1">
      <c r="A20" s="221"/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1:44" s="1" customFormat="1">
      <c r="A21" s="221"/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1:44" s="1" customFormat="1">
      <c r="A22" s="221"/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 s="1" customFormat="1">
      <c r="A23" s="221"/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1:44" s="1" customFormat="1">
      <c r="A24" s="221"/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1:44" s="1" customFormat="1">
      <c r="A25" s="221"/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 s="1" customFormat="1">
      <c r="A26" s="221"/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 s="1" customFormat="1">
      <c r="A27" s="221"/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 s="1" customFormat="1">
      <c r="A28" s="221"/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 s="1" customFormat="1">
      <c r="A29" s="221"/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 s="1" customFormat="1">
      <c r="A30" s="221"/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 s="1" customFormat="1">
      <c r="A31" s="221"/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 s="1" customFormat="1">
      <c r="A32" s="221"/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s="1" customFormat="1">
      <c r="A33" s="221"/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s="1" customFormat="1">
      <c r="A34" s="221"/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s="1" customFormat="1">
      <c r="A35" s="221"/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s="1" customFormat="1">
      <c r="A36" s="221"/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s="1" customFormat="1">
      <c r="A37" s="221"/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 s="1" customFormat="1">
      <c r="A38" s="221"/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 s="1" customFormat="1">
      <c r="A39" s="221"/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 s="1" customFormat="1">
      <c r="A40" s="221"/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 s="1" customFormat="1">
      <c r="A41" s="221"/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 s="1" customFormat="1">
      <c r="A42" s="221"/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1:44" s="1" customFormat="1">
      <c r="A43" s="221"/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1:44" s="1" customFormat="1">
      <c r="A44" s="221"/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1:44" s="1" customFormat="1">
      <c r="A45" s="221"/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1:44" s="1" customFormat="1">
      <c r="A46" s="221"/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1:44" s="1" customFormat="1">
      <c r="A47" s="221"/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1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5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/>
      <c r="F66" s="271"/>
      <c r="G66" s="293"/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/>
      <c r="F67" s="271"/>
      <c r="G67" s="293"/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/>
      <c r="F70" s="271"/>
      <c r="G70" s="293"/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/>
      <c r="F71" s="271"/>
      <c r="G71" s="293"/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13"/>
      <c r="F74" s="13"/>
      <c r="G74" s="13"/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13"/>
      <c r="F75" s="13"/>
      <c r="G75" s="13"/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265"/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184"/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13"/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13"/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13"/>
      <c r="F80" s="13"/>
      <c r="G80" s="13"/>
      <c r="H80" s="13"/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13"/>
      <c r="F81" s="13"/>
      <c r="G81" s="13"/>
      <c r="H81" s="13"/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13"/>
      <c r="F82" s="13"/>
      <c r="G82" s="13"/>
      <c r="H82" s="13"/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13"/>
      <c r="F83" s="13"/>
      <c r="G83" s="13"/>
      <c r="H83" s="13"/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13"/>
      <c r="F84" s="13"/>
      <c r="G84" s="13"/>
      <c r="H84" s="13"/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13"/>
      <c r="F85" s="13"/>
      <c r="G85" s="13"/>
      <c r="H85" s="13"/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13"/>
      <c r="F86" s="13"/>
      <c r="G86" s="13"/>
      <c r="H86" s="13"/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13"/>
      <c r="F87" s="13"/>
      <c r="G87" s="13"/>
      <c r="H87" s="13"/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184"/>
      <c r="F88" s="184"/>
      <c r="G88" s="184"/>
      <c r="H88" s="184"/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184"/>
      <c r="F89" s="184"/>
      <c r="G89" s="184"/>
      <c r="H89" s="184"/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13"/>
      <c r="F90" s="13"/>
      <c r="G90" s="13"/>
      <c r="H90" s="13"/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13"/>
      <c r="F91" s="13"/>
      <c r="G91" s="13"/>
      <c r="H91" s="13"/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13"/>
      <c r="F92" s="185"/>
      <c r="G92" s="13"/>
      <c r="H92" s="13"/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13"/>
      <c r="F93" s="13"/>
      <c r="G93" s="13"/>
      <c r="H93" s="13"/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13"/>
      <c r="F94" s="13"/>
      <c r="G94" s="13"/>
      <c r="H94" s="13"/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13"/>
      <c r="F95" s="13"/>
      <c r="G95" s="13"/>
      <c r="H95" s="13"/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184"/>
      <c r="F96" s="184"/>
      <c r="G96" s="184"/>
      <c r="H96" s="184"/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184"/>
      <c r="F97" s="184"/>
      <c r="G97" s="184"/>
      <c r="H97" s="184"/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13"/>
      <c r="F98" s="13"/>
      <c r="G98" s="13"/>
      <c r="H98" s="13"/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13"/>
      <c r="F99" s="13"/>
      <c r="G99" s="13"/>
      <c r="H99" s="13"/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184"/>
      <c r="F100" s="184"/>
      <c r="G100" s="244"/>
      <c r="H100" s="265"/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184"/>
      <c r="F101" s="184"/>
      <c r="G101" s="244"/>
      <c r="H101" s="184"/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184"/>
      <c r="F102" s="184"/>
      <c r="G102" s="244"/>
      <c r="H102" s="184"/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184"/>
      <c r="F103" s="184"/>
      <c r="G103" s="244"/>
      <c r="H103" s="184"/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13"/>
      <c r="F104" s="13"/>
      <c r="G104" s="232"/>
      <c r="H104" s="232"/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13"/>
      <c r="F105" s="13"/>
      <c r="G105" s="232"/>
      <c r="H105" s="232"/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13"/>
      <c r="F106" s="13"/>
      <c r="G106" s="232"/>
      <c r="H106" s="232"/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13"/>
      <c r="F107" s="13"/>
      <c r="G107" s="232"/>
      <c r="H107" s="232"/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13"/>
      <c r="F108" s="13"/>
      <c r="G108" s="13"/>
      <c r="H108" s="13"/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13"/>
      <c r="F109" s="13"/>
      <c r="G109" s="13"/>
      <c r="H109" s="13"/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13"/>
      <c r="F110" s="13"/>
      <c r="G110" s="13"/>
      <c r="H110" s="13"/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13"/>
      <c r="F111" s="13"/>
      <c r="G111" s="13"/>
      <c r="H111" s="13"/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13"/>
      <c r="F112" s="13"/>
      <c r="G112" s="13"/>
      <c r="H112" s="13"/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13"/>
      <c r="F113" s="13"/>
      <c r="G113" s="13"/>
      <c r="H113" s="13"/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184"/>
      <c r="F114" s="184"/>
      <c r="G114" s="244"/>
      <c r="H114" s="184"/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184"/>
      <c r="F115" s="184"/>
      <c r="G115" s="244"/>
      <c r="H115" s="184"/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184"/>
      <c r="F116" s="184"/>
      <c r="G116" s="244"/>
      <c r="H116" s="184"/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184"/>
      <c r="F117" s="184"/>
      <c r="G117" s="244"/>
      <c r="H117" s="184"/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13"/>
      <c r="F118" s="13"/>
      <c r="G118" s="13"/>
      <c r="H118" s="13"/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13"/>
      <c r="F119" s="13"/>
      <c r="G119" s="13"/>
      <c r="H119" s="13"/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13"/>
      <c r="F120" s="13"/>
      <c r="G120" s="13"/>
      <c r="H120" s="13"/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13"/>
      <c r="F121" s="13"/>
      <c r="G121" s="13"/>
      <c r="H121" s="13"/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13"/>
      <c r="F122" s="13"/>
      <c r="G122" s="13"/>
      <c r="H122" s="13"/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13"/>
      <c r="F123" s="13"/>
      <c r="G123" s="13"/>
      <c r="H123" s="13"/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184"/>
      <c r="F124" s="184"/>
      <c r="G124" s="244"/>
      <c r="H124" s="265"/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184"/>
      <c r="F125" s="184"/>
      <c r="G125" s="244"/>
      <c r="H125" s="184"/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184"/>
      <c r="F126" s="184"/>
      <c r="G126" s="184"/>
      <c r="H126" s="184"/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184"/>
      <c r="F127" s="184"/>
      <c r="G127" s="184"/>
      <c r="H127" s="184"/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13"/>
      <c r="F128" s="13"/>
      <c r="G128" s="232"/>
      <c r="H128" s="232"/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13"/>
      <c r="F129" s="13"/>
      <c r="G129" s="232"/>
      <c r="H129" s="232"/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13"/>
      <c r="F130" s="13"/>
      <c r="G130" s="232"/>
      <c r="H130" s="232"/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13"/>
      <c r="F131" s="13"/>
      <c r="G131" s="232"/>
      <c r="H131" s="232"/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13"/>
      <c r="F132" s="13"/>
      <c r="G132" s="13"/>
      <c r="H132" s="13"/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13"/>
      <c r="F133" s="13"/>
      <c r="G133" s="13"/>
      <c r="H133" s="13"/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13"/>
      <c r="F134" s="13"/>
      <c r="G134" s="13"/>
      <c r="H134" s="13"/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13"/>
      <c r="F135" s="13"/>
      <c r="G135" s="13"/>
      <c r="H135" s="13"/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13"/>
      <c r="F136" s="13"/>
      <c r="G136" s="13"/>
      <c r="H136" s="13"/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13"/>
      <c r="F137" s="13"/>
      <c r="G137" s="13"/>
      <c r="H137" s="13"/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184"/>
      <c r="F138" s="184"/>
      <c r="G138" s="184"/>
      <c r="H138" s="184"/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184"/>
      <c r="F139" s="184"/>
      <c r="G139" s="184"/>
      <c r="H139" s="184"/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184"/>
      <c r="F140" s="184"/>
      <c r="G140" s="184"/>
      <c r="H140" s="184"/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184"/>
      <c r="F141" s="184"/>
      <c r="G141" s="184"/>
      <c r="H141" s="184"/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13"/>
      <c r="F142" s="13"/>
      <c r="G142" s="13"/>
      <c r="H142" s="13"/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13"/>
      <c r="F143" s="13"/>
      <c r="G143" s="13"/>
      <c r="H143" s="13"/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13"/>
      <c r="F144" s="13"/>
      <c r="G144" s="13"/>
      <c r="H144" s="13"/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13"/>
      <c r="F145" s="13"/>
      <c r="G145" s="13"/>
      <c r="H145" s="13"/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13"/>
      <c r="F146" s="13"/>
      <c r="G146" s="13"/>
      <c r="H146" s="13"/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13"/>
      <c r="F147" s="13"/>
      <c r="G147" s="13"/>
      <c r="H147" s="13"/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265"/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184"/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13"/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13"/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13"/>
      <c r="F152" s="13"/>
      <c r="G152" s="232"/>
      <c r="H152" s="245"/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13"/>
      <c r="F153" s="13"/>
      <c r="G153" s="232"/>
      <c r="H153" s="245"/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13"/>
      <c r="F154" s="13"/>
      <c r="G154" s="232"/>
      <c r="H154" s="245"/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13"/>
      <c r="F155" s="13"/>
      <c r="G155" s="232"/>
      <c r="H155" s="245"/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13"/>
      <c r="F156" s="13"/>
      <c r="G156" s="13"/>
      <c r="H156" s="13"/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13"/>
      <c r="F157" s="13"/>
      <c r="G157" s="13"/>
      <c r="H157" s="13"/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13"/>
      <c r="F158" s="13"/>
      <c r="G158" s="13"/>
      <c r="H158" s="13"/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13"/>
      <c r="F159" s="13"/>
      <c r="G159" s="13"/>
      <c r="H159" s="13"/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184"/>
      <c r="F160" s="184"/>
      <c r="G160" s="184"/>
      <c r="H160" s="184"/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184"/>
      <c r="F161" s="184"/>
      <c r="G161" s="184"/>
      <c r="H161" s="184"/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184"/>
      <c r="F162" s="184"/>
      <c r="G162" s="244"/>
      <c r="H162" s="184"/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184"/>
      <c r="F163" s="184"/>
      <c r="G163" s="244"/>
      <c r="H163" s="184"/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184"/>
      <c r="F164" s="184"/>
      <c r="G164" s="244"/>
      <c r="H164" s="184"/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184"/>
      <c r="F165" s="184"/>
      <c r="G165" s="244"/>
      <c r="H165" s="184"/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184"/>
      <c r="F166" s="184"/>
      <c r="G166" s="244"/>
      <c r="H166" s="184"/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184"/>
      <c r="F167" s="184"/>
      <c r="G167" s="244"/>
      <c r="H167" s="184"/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13"/>
      <c r="F168" s="13"/>
      <c r="G168" s="232"/>
      <c r="H168" s="245"/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13"/>
      <c r="F169" s="13"/>
      <c r="G169" s="232"/>
      <c r="H169" s="245"/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13"/>
      <c r="F170" s="13"/>
      <c r="G170" s="232"/>
      <c r="H170" s="245"/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13"/>
      <c r="F171" s="13"/>
      <c r="G171" s="232"/>
      <c r="H171" s="245"/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265"/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184"/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13"/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13"/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13"/>
      <c r="F176" s="13"/>
      <c r="G176" s="13"/>
      <c r="H176" s="13"/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13"/>
      <c r="F177" s="13"/>
      <c r="G177" s="13"/>
      <c r="H177" s="13"/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13"/>
      <c r="F178" s="13"/>
      <c r="G178" s="13"/>
      <c r="H178" s="13"/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13"/>
      <c r="F179" s="13"/>
      <c r="G179" s="13"/>
      <c r="H179" s="13"/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13"/>
      <c r="F180" s="13"/>
      <c r="G180" s="13"/>
      <c r="H180" s="13"/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13"/>
      <c r="F181" s="13"/>
      <c r="G181" s="13"/>
      <c r="H181" s="13"/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13"/>
      <c r="F182" s="13"/>
      <c r="G182" s="13"/>
      <c r="H182" s="13"/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13"/>
      <c r="F183" s="13"/>
      <c r="G183" s="13"/>
      <c r="H183" s="13"/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184"/>
      <c r="F184" s="184"/>
      <c r="G184" s="184"/>
      <c r="H184" s="184"/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184"/>
      <c r="F185" s="184"/>
      <c r="G185" s="184"/>
      <c r="H185" s="184"/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13"/>
      <c r="F186" s="13"/>
      <c r="G186" s="13"/>
      <c r="H186" s="13"/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13"/>
      <c r="F187" s="13"/>
      <c r="G187" s="13"/>
      <c r="H187" s="13"/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13"/>
      <c r="F188" s="13"/>
      <c r="G188" s="13"/>
      <c r="H188" s="13"/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13"/>
      <c r="F189" s="13"/>
      <c r="G189" s="13"/>
      <c r="H189" s="13"/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13"/>
      <c r="F190" s="13"/>
      <c r="G190" s="13"/>
      <c r="H190" s="13"/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13"/>
      <c r="F191" s="13"/>
      <c r="G191" s="13"/>
      <c r="H191" s="13"/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184"/>
      <c r="F192" s="184"/>
      <c r="G192" s="184"/>
      <c r="H192" s="184"/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184"/>
      <c r="F193" s="184"/>
      <c r="G193" s="184"/>
      <c r="H193" s="184"/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13"/>
      <c r="F194" s="13"/>
      <c r="G194" s="13"/>
      <c r="H194" s="13"/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13"/>
      <c r="F195" s="13"/>
      <c r="G195" s="13"/>
      <c r="H195" s="13"/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265"/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184"/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13"/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13"/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13"/>
      <c r="F200" s="13"/>
      <c r="G200" s="232"/>
      <c r="H200" s="13"/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13"/>
      <c r="F201" s="13"/>
      <c r="G201" s="232"/>
      <c r="H201" s="13"/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13"/>
      <c r="F202" s="13"/>
      <c r="G202" s="232"/>
      <c r="H202" s="13"/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13"/>
      <c r="F203" s="13"/>
      <c r="G203" s="232"/>
      <c r="H203" s="13"/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13"/>
      <c r="F204" s="13"/>
      <c r="G204" s="13"/>
      <c r="H204" s="13"/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13"/>
      <c r="F205" s="13"/>
      <c r="G205" s="13"/>
      <c r="H205" s="13"/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13"/>
      <c r="F206" s="13"/>
      <c r="G206" s="13"/>
      <c r="H206" s="13"/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13"/>
      <c r="F207" s="13"/>
      <c r="G207" s="13"/>
      <c r="H207" s="13"/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184"/>
      <c r="F208" s="184"/>
      <c r="G208" s="184"/>
      <c r="H208" s="264"/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184"/>
      <c r="F209" s="184"/>
      <c r="G209" s="184"/>
      <c r="H209" s="264"/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184"/>
      <c r="F210" s="184"/>
      <c r="G210" s="184"/>
      <c r="H210" s="264"/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184"/>
      <c r="F211" s="184"/>
      <c r="G211" s="184"/>
      <c r="H211" s="264"/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184"/>
      <c r="F212" s="184"/>
      <c r="G212" s="244"/>
      <c r="H212" s="264"/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184"/>
      <c r="F213" s="184"/>
      <c r="G213" s="244"/>
      <c r="H213" s="264"/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184"/>
      <c r="F214" s="184"/>
      <c r="G214" s="244"/>
      <c r="H214" s="264"/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184"/>
      <c r="F215" s="184"/>
      <c r="G215" s="244"/>
      <c r="H215" s="264"/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13"/>
      <c r="F216" s="13"/>
      <c r="G216" s="232"/>
      <c r="H216" s="232"/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13"/>
      <c r="F217" s="13"/>
      <c r="G217" s="232"/>
      <c r="H217" s="232"/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13"/>
      <c r="F218" s="13"/>
      <c r="G218" s="232"/>
      <c r="H218" s="232"/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13"/>
      <c r="F219" s="13"/>
      <c r="G219" s="232"/>
      <c r="H219" s="232"/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/>
      <c r="F221" s="271"/>
      <c r="G221" s="293"/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5"/>
      <c r="F223" s="275"/>
      <c r="G223" s="294"/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/>
      <c r="F225" s="271"/>
      <c r="G225" s="293"/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5"/>
      <c r="F230" s="5"/>
      <c r="G230" s="5"/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5"/>
      <c r="F231" s="5"/>
      <c r="G231" s="5"/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5"/>
      <c r="F232" s="5"/>
      <c r="G232" s="5"/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5"/>
      <c r="F233" s="5"/>
      <c r="G233" s="5"/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/>
      <c r="F234" s="271"/>
      <c r="G234" s="282"/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5"/>
      <c r="F236" s="5"/>
      <c r="G236" s="5"/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5"/>
      <c r="F237" s="5"/>
      <c r="G237" s="5"/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5"/>
      <c r="F238" s="5"/>
      <c r="G238" s="5"/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13"/>
      <c r="F239" s="13"/>
      <c r="G239" s="256"/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/>
      <c r="F240" s="271"/>
      <c r="G240" s="282"/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5"/>
      <c r="F242" s="275"/>
      <c r="G242" s="294"/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13"/>
      <c r="F244" s="13"/>
      <c r="G244" s="13"/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13"/>
      <c r="F246" s="13"/>
      <c r="G246" s="13"/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44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44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57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57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57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57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57"/>
      <c r="H388" s="13"/>
      <c r="I388" s="13"/>
      <c r="J388" s="271"/>
      <c r="K388" s="273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57"/>
      <c r="H389" s="13"/>
      <c r="I389" s="13"/>
      <c r="J389" s="271"/>
      <c r="K389" s="273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33"/>
      <c r="H390" s="13"/>
      <c r="I390" s="13"/>
      <c r="J390" s="271"/>
      <c r="K390" s="273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33"/>
      <c r="H391" s="13"/>
      <c r="I391" s="13"/>
      <c r="J391" s="271"/>
      <c r="K391" s="273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44"/>
      <c r="H392" s="13"/>
      <c r="I392" s="13"/>
      <c r="J392" s="271"/>
      <c r="K392" s="273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44"/>
      <c r="H393" s="13"/>
      <c r="I393" s="13"/>
      <c r="J393" s="271"/>
      <c r="K393" s="273"/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/>
      <c r="F396" s="13"/>
      <c r="G396" s="282"/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/>
      <c r="F397" s="13"/>
      <c r="G397" s="282"/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5"/>
      <c r="F400" s="5"/>
      <c r="G400" s="5"/>
      <c r="H400" s="5"/>
      <c r="I400" s="5"/>
      <c r="J400" s="5"/>
      <c r="K400" s="14"/>
    </row>
    <row r="401" spans="2:17">
      <c r="B401" s="26">
        <v>396</v>
      </c>
      <c r="C401" s="259" t="s">
        <v>872</v>
      </c>
      <c r="D401" s="302" t="s">
        <v>648</v>
      </c>
      <c r="E401" s="5"/>
      <c r="F401" s="5"/>
      <c r="G401" s="5"/>
      <c r="H401" s="5"/>
      <c r="I401" s="5"/>
      <c r="J401" s="5"/>
      <c r="K401" s="14"/>
    </row>
    <row r="402" spans="2:17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7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7">
      <c r="B404" s="26">
        <v>399</v>
      </c>
      <c r="C404" s="228" t="s">
        <v>227</v>
      </c>
      <c r="D404" s="300" t="s">
        <v>639</v>
      </c>
      <c r="E404" s="271"/>
      <c r="F404" s="263"/>
      <c r="G404" s="282"/>
      <c r="H404" s="13"/>
      <c r="I404" s="13"/>
      <c r="J404" s="13"/>
      <c r="K404" s="16"/>
    </row>
    <row r="405" spans="2:17" ht="16.2" thickBot="1">
      <c r="B405" s="26">
        <v>400</v>
      </c>
      <c r="C405" s="291" t="s">
        <v>235</v>
      </c>
      <c r="D405" s="303" t="s">
        <v>640</v>
      </c>
      <c r="E405" s="292"/>
      <c r="F405" s="297"/>
      <c r="G405" s="298"/>
      <c r="H405" s="226"/>
      <c r="I405" s="226"/>
      <c r="J405" s="226"/>
      <c r="K405" s="227"/>
      <c r="Q405" s="217"/>
    </row>
    <row r="406" spans="2:17">
      <c r="B406"/>
      <c r="C406"/>
      <c r="D406"/>
      <c r="E406"/>
      <c r="F406"/>
      <c r="G406"/>
      <c r="H406"/>
      <c r="I406"/>
      <c r="J406"/>
      <c r="K406"/>
      <c r="Q406" s="233"/>
    </row>
    <row r="407" spans="2:17">
      <c r="B407"/>
      <c r="C407"/>
      <c r="D407"/>
      <c r="E407"/>
      <c r="F407"/>
      <c r="G407"/>
      <c r="H407"/>
      <c r="I407"/>
      <c r="J407"/>
      <c r="K407"/>
      <c r="Q407" s="233"/>
    </row>
    <row r="408" spans="2:17">
      <c r="B408"/>
      <c r="C408"/>
      <c r="D408"/>
      <c r="E408"/>
      <c r="F408"/>
      <c r="G408"/>
      <c r="H408"/>
      <c r="I408"/>
      <c r="J408"/>
      <c r="K408"/>
      <c r="Q408" s="233"/>
    </row>
    <row r="409" spans="2:17">
      <c r="B409"/>
      <c r="C409"/>
      <c r="D409"/>
      <c r="E409"/>
      <c r="F409"/>
      <c r="G409"/>
      <c r="H409"/>
      <c r="I409"/>
      <c r="J409"/>
      <c r="K409"/>
      <c r="Q409" s="233"/>
    </row>
    <row r="410" spans="2:17">
      <c r="B410"/>
      <c r="C410"/>
      <c r="D410"/>
      <c r="E410"/>
      <c r="F410"/>
      <c r="G410"/>
      <c r="H410"/>
      <c r="I410"/>
      <c r="J410"/>
      <c r="K410"/>
      <c r="Q410" s="233"/>
    </row>
    <row r="411" spans="2:17">
      <c r="B411"/>
      <c r="C411"/>
      <c r="D411"/>
      <c r="E411"/>
      <c r="F411"/>
      <c r="G411"/>
      <c r="H411"/>
      <c r="I411"/>
      <c r="J411"/>
      <c r="K411"/>
      <c r="Q411" s="233"/>
    </row>
    <row r="412" spans="2:17">
      <c r="B412"/>
      <c r="C412"/>
      <c r="D412"/>
      <c r="E412"/>
      <c r="F412"/>
      <c r="G412"/>
      <c r="H412"/>
      <c r="I412"/>
      <c r="J412"/>
      <c r="K412"/>
      <c r="Q412" s="233"/>
    </row>
    <row r="413" spans="2:17">
      <c r="B413"/>
      <c r="C413"/>
      <c r="D413"/>
      <c r="E413"/>
      <c r="F413"/>
      <c r="G413"/>
      <c r="H413"/>
      <c r="I413"/>
      <c r="J413"/>
      <c r="K413"/>
      <c r="Q413" s="233"/>
    </row>
    <row r="414" spans="2:17">
      <c r="B414"/>
      <c r="C414"/>
      <c r="D414"/>
      <c r="E414"/>
      <c r="F414"/>
      <c r="G414"/>
      <c r="H414"/>
      <c r="I414"/>
      <c r="J414"/>
      <c r="K414"/>
      <c r="Q414" s="233"/>
    </row>
    <row r="415" spans="2:17">
      <c r="B415"/>
      <c r="C415"/>
      <c r="D415"/>
      <c r="E415"/>
      <c r="F415"/>
      <c r="G415"/>
      <c r="H415"/>
      <c r="I415"/>
      <c r="J415"/>
      <c r="K415"/>
      <c r="Q415" s="233"/>
    </row>
    <row r="416" spans="2:17">
      <c r="B416"/>
      <c r="C416"/>
      <c r="D416"/>
      <c r="E416"/>
      <c r="F416"/>
      <c r="G416"/>
      <c r="H416"/>
      <c r="I416"/>
      <c r="J416"/>
      <c r="K416"/>
      <c r="Q416" s="233"/>
    </row>
    <row r="417" spans="2:17">
      <c r="B417"/>
      <c r="C417"/>
      <c r="D417"/>
      <c r="E417"/>
      <c r="F417"/>
      <c r="G417"/>
      <c r="H417"/>
      <c r="I417"/>
      <c r="J417"/>
      <c r="K417"/>
      <c r="Q417" s="233"/>
    </row>
    <row r="418" spans="2:17">
      <c r="B418"/>
      <c r="C418"/>
      <c r="D418"/>
      <c r="E418"/>
      <c r="F418"/>
      <c r="G418"/>
      <c r="H418"/>
      <c r="I418"/>
      <c r="J418"/>
      <c r="K418"/>
      <c r="Q418" s="233"/>
    </row>
    <row r="419" spans="2:17">
      <c r="B419"/>
      <c r="C419"/>
      <c r="D419"/>
      <c r="E419"/>
      <c r="F419"/>
      <c r="G419"/>
      <c r="H419"/>
      <c r="I419"/>
      <c r="J419"/>
      <c r="K419"/>
      <c r="Q419" s="233"/>
    </row>
    <row r="420" spans="2:17">
      <c r="B420"/>
      <c r="C420"/>
      <c r="D420"/>
      <c r="E420"/>
      <c r="F420"/>
      <c r="G420"/>
      <c r="H420"/>
      <c r="I420"/>
      <c r="J420"/>
      <c r="K420"/>
      <c r="Q420" s="233"/>
    </row>
    <row r="421" spans="2:17">
      <c r="B421"/>
      <c r="C421"/>
      <c r="D421"/>
      <c r="E421"/>
      <c r="F421"/>
      <c r="G421"/>
      <c r="H421"/>
      <c r="I421"/>
      <c r="J421"/>
      <c r="K421"/>
      <c r="Q421" s="233"/>
    </row>
    <row r="422" spans="2:17">
      <c r="B422"/>
      <c r="C422"/>
      <c r="D422"/>
      <c r="E422"/>
      <c r="F422"/>
      <c r="G422"/>
      <c r="H422"/>
      <c r="I422"/>
      <c r="J422"/>
      <c r="K422"/>
      <c r="Q422" s="233"/>
    </row>
    <row r="423" spans="2:17">
      <c r="B423"/>
      <c r="C423"/>
      <c r="D423"/>
      <c r="E423"/>
      <c r="F423"/>
      <c r="G423"/>
      <c r="H423"/>
      <c r="I423"/>
      <c r="J423"/>
      <c r="K423"/>
      <c r="Q423" s="233"/>
    </row>
    <row r="424" spans="2:17">
      <c r="B424"/>
      <c r="C424"/>
      <c r="D424"/>
      <c r="E424"/>
      <c r="F424"/>
      <c r="G424"/>
      <c r="H424"/>
      <c r="I424"/>
      <c r="J424"/>
      <c r="K424"/>
      <c r="Q424" s="233"/>
    </row>
    <row r="425" spans="2:17">
      <c r="B425"/>
      <c r="C425"/>
      <c r="D425"/>
      <c r="E425"/>
      <c r="F425"/>
      <c r="G425"/>
      <c r="H425"/>
      <c r="I425"/>
      <c r="J425"/>
      <c r="K425"/>
      <c r="Q425" s="233"/>
    </row>
    <row r="426" spans="2:17">
      <c r="B426"/>
      <c r="C426"/>
      <c r="D426"/>
      <c r="E426"/>
      <c r="F426"/>
      <c r="G426"/>
      <c r="H426"/>
      <c r="I426"/>
      <c r="J426"/>
      <c r="K426"/>
      <c r="Q426" s="233"/>
    </row>
    <row r="427" spans="2:17">
      <c r="B427"/>
      <c r="C427"/>
      <c r="D427"/>
      <c r="E427"/>
      <c r="F427"/>
      <c r="G427"/>
      <c r="H427"/>
      <c r="I427"/>
      <c r="J427"/>
      <c r="K427"/>
      <c r="Q427" s="233"/>
    </row>
    <row r="428" spans="2:17">
      <c r="B428"/>
      <c r="C428"/>
      <c r="D428"/>
      <c r="E428"/>
      <c r="F428"/>
      <c r="G428"/>
      <c r="H428"/>
      <c r="I428"/>
      <c r="J428"/>
      <c r="K428"/>
      <c r="Q428" s="233"/>
    </row>
    <row r="429" spans="2:17">
      <c r="B429"/>
      <c r="C429"/>
      <c r="D429"/>
      <c r="E429"/>
      <c r="F429"/>
      <c r="G429"/>
      <c r="H429"/>
      <c r="I429"/>
      <c r="J429"/>
      <c r="K429"/>
      <c r="Q429" s="233"/>
    </row>
    <row r="430" spans="2:17">
      <c r="B430"/>
      <c r="C430"/>
      <c r="D430"/>
      <c r="E430"/>
      <c r="F430"/>
      <c r="G430"/>
      <c r="H430"/>
      <c r="I430"/>
      <c r="J430"/>
      <c r="K430"/>
      <c r="Q430" s="233"/>
    </row>
    <row r="431" spans="2:17">
      <c r="B431"/>
      <c r="C431"/>
      <c r="D431"/>
      <c r="E431"/>
      <c r="F431"/>
      <c r="G431"/>
      <c r="H431"/>
      <c r="I431"/>
      <c r="J431"/>
      <c r="K431"/>
      <c r="Q431" s="233"/>
    </row>
    <row r="432" spans="2:17">
      <c r="B432"/>
      <c r="C432"/>
      <c r="D432"/>
      <c r="E432"/>
      <c r="F432"/>
      <c r="G432"/>
      <c r="H432"/>
      <c r="I432"/>
      <c r="J432"/>
      <c r="K432"/>
      <c r="Q432" s="233"/>
    </row>
    <row r="433" spans="2:17">
      <c r="B433"/>
      <c r="C433"/>
      <c r="D433"/>
      <c r="E433"/>
      <c r="F433"/>
      <c r="G433"/>
      <c r="H433"/>
      <c r="I433"/>
      <c r="J433"/>
      <c r="K433"/>
      <c r="Q433" s="233"/>
    </row>
    <row r="434" spans="2:17">
      <c r="B434"/>
      <c r="C434"/>
      <c r="D434"/>
      <c r="E434"/>
      <c r="F434"/>
      <c r="G434"/>
      <c r="H434"/>
      <c r="I434"/>
      <c r="J434"/>
      <c r="K434"/>
      <c r="Q434" s="233"/>
    </row>
    <row r="435" spans="2:17">
      <c r="B435"/>
      <c r="C435"/>
      <c r="D435"/>
      <c r="E435"/>
      <c r="F435"/>
      <c r="G435"/>
      <c r="H435"/>
      <c r="I435"/>
      <c r="J435"/>
      <c r="K435"/>
      <c r="Q435" s="233"/>
    </row>
    <row r="436" spans="2:17">
      <c r="B436"/>
      <c r="C436"/>
      <c r="D436"/>
      <c r="E436"/>
      <c r="F436"/>
      <c r="G436"/>
      <c r="H436"/>
      <c r="I436"/>
      <c r="J436"/>
      <c r="K436"/>
      <c r="Q436" s="233"/>
    </row>
    <row r="437" spans="2:17">
      <c r="B437"/>
      <c r="C437"/>
      <c r="D437"/>
      <c r="E437"/>
      <c r="F437"/>
      <c r="G437"/>
      <c r="H437"/>
      <c r="I437"/>
      <c r="J437"/>
      <c r="K437"/>
      <c r="Q437" s="233"/>
    </row>
    <row r="438" spans="2:17">
      <c r="B438"/>
      <c r="C438"/>
      <c r="D438"/>
      <c r="E438"/>
      <c r="F438"/>
      <c r="G438"/>
      <c r="H438"/>
      <c r="I438"/>
      <c r="J438"/>
      <c r="K438"/>
      <c r="Q438" s="233"/>
    </row>
    <row r="439" spans="2:17">
      <c r="B439"/>
      <c r="C439"/>
      <c r="D439"/>
      <c r="E439"/>
      <c r="F439"/>
      <c r="G439"/>
      <c r="H439"/>
      <c r="I439"/>
      <c r="J439"/>
      <c r="K439"/>
      <c r="Q439" s="233"/>
    </row>
    <row r="440" spans="2:17">
      <c r="B440"/>
      <c r="C440"/>
      <c r="D440"/>
      <c r="E440"/>
      <c r="F440"/>
      <c r="G440"/>
      <c r="H440"/>
      <c r="I440"/>
      <c r="J440"/>
      <c r="K440"/>
      <c r="Q440" s="233"/>
    </row>
    <row r="441" spans="2:17">
      <c r="B441"/>
      <c r="C441"/>
      <c r="D441"/>
      <c r="E441"/>
      <c r="F441"/>
      <c r="G441"/>
      <c r="H441"/>
      <c r="I441"/>
      <c r="J441"/>
      <c r="K441"/>
      <c r="Q441" s="233"/>
    </row>
    <row r="442" spans="2:17">
      <c r="B442"/>
      <c r="C442"/>
      <c r="D442"/>
      <c r="E442"/>
      <c r="F442"/>
      <c r="G442"/>
      <c r="H442"/>
      <c r="I442"/>
      <c r="J442"/>
      <c r="K442"/>
      <c r="Q442" s="233"/>
    </row>
    <row r="443" spans="2:17">
      <c r="B443"/>
      <c r="C443"/>
      <c r="D443"/>
      <c r="E443"/>
      <c r="F443"/>
      <c r="G443"/>
      <c r="H443"/>
      <c r="I443"/>
      <c r="J443"/>
      <c r="K443"/>
      <c r="Q443" s="233"/>
    </row>
    <row r="444" spans="2:17">
      <c r="B444"/>
      <c r="C444"/>
      <c r="D444"/>
      <c r="E444"/>
      <c r="F444"/>
      <c r="G444"/>
      <c r="H444"/>
      <c r="I444"/>
      <c r="J444"/>
      <c r="K444"/>
      <c r="Q444" s="233"/>
    </row>
    <row r="445" spans="2:17">
      <c r="B445"/>
      <c r="C445"/>
      <c r="D445"/>
      <c r="E445"/>
      <c r="F445"/>
      <c r="G445"/>
      <c r="H445"/>
      <c r="I445"/>
      <c r="J445"/>
      <c r="K445"/>
      <c r="Q445" s="233"/>
    </row>
    <row r="446" spans="2:17">
      <c r="B446"/>
      <c r="C446"/>
      <c r="D446"/>
      <c r="E446"/>
      <c r="F446"/>
      <c r="G446"/>
      <c r="H446"/>
      <c r="I446"/>
      <c r="J446"/>
      <c r="K446"/>
      <c r="Q446" s="233"/>
    </row>
    <row r="447" spans="2:17">
      <c r="B447"/>
      <c r="C447"/>
      <c r="D447"/>
      <c r="E447"/>
      <c r="F447"/>
      <c r="G447"/>
      <c r="H447"/>
      <c r="I447"/>
      <c r="J447"/>
      <c r="K447"/>
      <c r="Q447" s="233"/>
    </row>
    <row r="448" spans="2:17">
      <c r="B448"/>
      <c r="C448"/>
      <c r="D448"/>
      <c r="E448"/>
      <c r="F448"/>
      <c r="G448"/>
      <c r="H448"/>
      <c r="I448"/>
      <c r="J448"/>
      <c r="K448"/>
      <c r="Q448" s="233"/>
    </row>
    <row r="449" spans="2:17">
      <c r="B449"/>
      <c r="C449"/>
      <c r="D449"/>
      <c r="E449"/>
      <c r="F449"/>
      <c r="G449"/>
      <c r="H449"/>
      <c r="I449"/>
      <c r="J449"/>
      <c r="K449"/>
      <c r="Q449" s="233"/>
    </row>
    <row r="450" spans="2:17">
      <c r="B450"/>
      <c r="C450"/>
      <c r="D450"/>
      <c r="E450"/>
      <c r="F450"/>
      <c r="G450"/>
      <c r="H450"/>
      <c r="I450"/>
      <c r="J450"/>
      <c r="K450"/>
      <c r="Q450" s="233"/>
    </row>
    <row r="451" spans="2:17">
      <c r="B451"/>
      <c r="C451"/>
      <c r="D451"/>
      <c r="E451"/>
      <c r="F451"/>
      <c r="G451"/>
      <c r="H451"/>
      <c r="I451"/>
      <c r="J451"/>
      <c r="K451"/>
      <c r="Q451" s="233"/>
    </row>
    <row r="452" spans="2:17">
      <c r="B452"/>
      <c r="C452"/>
      <c r="D452"/>
      <c r="E452"/>
      <c r="F452"/>
      <c r="G452"/>
      <c r="H452"/>
      <c r="I452"/>
      <c r="J452"/>
      <c r="K452"/>
      <c r="Q452" s="233"/>
    </row>
    <row r="453" spans="2:17">
      <c r="B453"/>
      <c r="C453"/>
      <c r="D453"/>
      <c r="E453"/>
      <c r="F453"/>
      <c r="G453"/>
      <c r="H453"/>
      <c r="I453"/>
      <c r="J453"/>
      <c r="K453"/>
      <c r="Q453" s="233"/>
    </row>
    <row r="454" spans="2:17">
      <c r="B454"/>
      <c r="C454"/>
      <c r="D454"/>
      <c r="E454"/>
      <c r="F454"/>
      <c r="G454"/>
      <c r="H454"/>
      <c r="I454"/>
      <c r="J454"/>
      <c r="K454"/>
      <c r="Q454" s="233"/>
    </row>
    <row r="455" spans="2:17">
      <c r="B455"/>
      <c r="C455"/>
      <c r="D455"/>
      <c r="E455"/>
      <c r="F455"/>
      <c r="G455"/>
      <c r="H455"/>
      <c r="I455"/>
      <c r="J455"/>
      <c r="K455"/>
      <c r="Q455" s="233"/>
    </row>
    <row r="456" spans="2:17">
      <c r="B456"/>
      <c r="C456"/>
      <c r="D456"/>
      <c r="E456"/>
      <c r="F456"/>
      <c r="G456"/>
      <c r="H456"/>
      <c r="I456"/>
      <c r="J456"/>
      <c r="K456"/>
      <c r="Q456" s="1"/>
    </row>
    <row r="457" spans="2:17">
      <c r="B457"/>
      <c r="C457"/>
      <c r="D457"/>
      <c r="E457"/>
      <c r="F457"/>
      <c r="G457"/>
      <c r="H457"/>
      <c r="I457"/>
      <c r="J457"/>
      <c r="K457"/>
      <c r="Q457" s="1"/>
    </row>
    <row r="458" spans="2:17">
      <c r="B458"/>
      <c r="C458"/>
      <c r="D458"/>
      <c r="E458"/>
      <c r="F458"/>
      <c r="G458"/>
      <c r="H458"/>
      <c r="I458"/>
      <c r="J458"/>
      <c r="K458"/>
      <c r="Q458" s="1"/>
    </row>
    <row r="459" spans="2:17">
      <c r="B459"/>
      <c r="C459"/>
      <c r="D459"/>
      <c r="E459"/>
      <c r="F459"/>
      <c r="G459"/>
      <c r="H459"/>
      <c r="I459"/>
      <c r="J459"/>
      <c r="K459"/>
      <c r="Q459" s="1"/>
    </row>
    <row r="460" spans="2:17">
      <c r="B460"/>
      <c r="C460"/>
      <c r="D460"/>
      <c r="E460"/>
      <c r="F460"/>
      <c r="G460"/>
      <c r="H460"/>
      <c r="I460"/>
      <c r="J460"/>
      <c r="K460"/>
      <c r="Q460" s="1"/>
    </row>
    <row r="461" spans="2:17">
      <c r="B461"/>
      <c r="C461"/>
      <c r="D461"/>
      <c r="E461"/>
      <c r="F461"/>
      <c r="G461"/>
      <c r="H461"/>
      <c r="I461"/>
      <c r="J461"/>
      <c r="K461"/>
      <c r="Q461" s="1"/>
    </row>
    <row r="462" spans="2:17">
      <c r="B462"/>
      <c r="C462"/>
      <c r="D462"/>
      <c r="E462"/>
      <c r="F462"/>
      <c r="G462"/>
      <c r="H462"/>
      <c r="I462"/>
      <c r="J462"/>
      <c r="K462"/>
      <c r="Q462" s="1"/>
    </row>
    <row r="463" spans="2:17">
      <c r="B463"/>
      <c r="C463"/>
      <c r="D463"/>
      <c r="E463"/>
      <c r="F463"/>
      <c r="G463"/>
      <c r="H463"/>
      <c r="I463"/>
      <c r="J463"/>
      <c r="K463"/>
      <c r="Q463" s="1"/>
    </row>
    <row r="464" spans="2:17">
      <c r="B464"/>
      <c r="C464"/>
      <c r="D464"/>
      <c r="E464"/>
      <c r="F464"/>
      <c r="G464"/>
      <c r="H464"/>
      <c r="I464"/>
      <c r="J464"/>
      <c r="K464"/>
      <c r="Q464" s="1"/>
    </row>
    <row r="465" spans="2:17">
      <c r="B465"/>
      <c r="C465"/>
      <c r="D465"/>
      <c r="E465"/>
      <c r="F465"/>
      <c r="G465"/>
      <c r="H465"/>
      <c r="I465"/>
      <c r="J465"/>
      <c r="K465"/>
      <c r="Q465" s="1"/>
    </row>
    <row r="466" spans="2:17">
      <c r="B466"/>
      <c r="C466"/>
      <c r="D466"/>
      <c r="E466"/>
      <c r="F466"/>
      <c r="G466"/>
      <c r="H466"/>
      <c r="I466"/>
      <c r="J466"/>
      <c r="K466"/>
      <c r="Q466" s="1"/>
    </row>
    <row r="467" spans="2:17">
      <c r="B467"/>
      <c r="C467"/>
      <c r="D467"/>
      <c r="E467"/>
      <c r="F467"/>
      <c r="G467"/>
      <c r="H467"/>
      <c r="I467"/>
      <c r="J467"/>
      <c r="K467"/>
      <c r="Q467" s="1"/>
    </row>
    <row r="468" spans="2:17">
      <c r="B468"/>
      <c r="C468"/>
      <c r="D468"/>
      <c r="E468"/>
      <c r="F468"/>
      <c r="G468"/>
      <c r="H468"/>
      <c r="I468"/>
      <c r="J468"/>
      <c r="K468"/>
      <c r="Q468" s="1"/>
    </row>
    <row r="469" spans="2:17">
      <c r="B469"/>
      <c r="C469"/>
      <c r="D469"/>
      <c r="E469"/>
      <c r="F469"/>
      <c r="G469"/>
      <c r="H469"/>
      <c r="I469"/>
      <c r="J469"/>
      <c r="K469"/>
      <c r="Q469" s="1"/>
    </row>
    <row r="470" spans="2:17">
      <c r="B470"/>
      <c r="C470"/>
      <c r="D470"/>
      <c r="E470"/>
      <c r="F470"/>
      <c r="G470"/>
      <c r="H470"/>
      <c r="I470"/>
      <c r="J470"/>
      <c r="K470"/>
      <c r="Q470" s="1"/>
    </row>
    <row r="471" spans="2:17">
      <c r="B471"/>
      <c r="C471"/>
      <c r="D471"/>
      <c r="E471"/>
      <c r="F471"/>
      <c r="G471"/>
      <c r="H471"/>
      <c r="I471"/>
      <c r="J471"/>
      <c r="K471"/>
      <c r="Q471" s="1"/>
    </row>
    <row r="472" spans="2:17">
      <c r="B472"/>
      <c r="C472"/>
      <c r="D472"/>
      <c r="E472"/>
      <c r="F472"/>
      <c r="G472"/>
      <c r="H472"/>
      <c r="I472"/>
      <c r="J472"/>
      <c r="K472"/>
      <c r="Q472" s="1"/>
    </row>
    <row r="473" spans="2:17">
      <c r="B473"/>
      <c r="C473"/>
      <c r="D473"/>
      <c r="E473"/>
      <c r="F473"/>
      <c r="G473"/>
      <c r="H473"/>
      <c r="I473"/>
      <c r="J473"/>
      <c r="K473"/>
      <c r="Q473" s="1"/>
    </row>
    <row r="474" spans="2:17">
      <c r="B474"/>
      <c r="C474"/>
      <c r="D474"/>
      <c r="E474"/>
      <c r="F474"/>
      <c r="G474"/>
      <c r="H474"/>
      <c r="I474"/>
      <c r="J474"/>
      <c r="K474"/>
      <c r="Q474" s="1"/>
    </row>
    <row r="475" spans="2:17">
      <c r="B475"/>
      <c r="C475"/>
      <c r="D475"/>
      <c r="E475"/>
      <c r="F475"/>
      <c r="G475"/>
      <c r="H475"/>
      <c r="I475"/>
      <c r="J475"/>
      <c r="K475"/>
      <c r="Q475" s="1"/>
    </row>
    <row r="476" spans="2:17">
      <c r="B476"/>
      <c r="C476"/>
      <c r="D476"/>
      <c r="E476"/>
      <c r="F476"/>
      <c r="G476"/>
      <c r="H476"/>
      <c r="I476"/>
      <c r="J476"/>
      <c r="K476"/>
      <c r="Q476" s="1"/>
    </row>
    <row r="477" spans="2:17">
      <c r="B477"/>
      <c r="C477"/>
      <c r="D477"/>
      <c r="E477"/>
      <c r="F477"/>
      <c r="G477"/>
      <c r="H477"/>
      <c r="I477"/>
      <c r="J477"/>
      <c r="K477"/>
      <c r="Q477" s="1"/>
    </row>
    <row r="478" spans="2:17">
      <c r="B478"/>
      <c r="C478"/>
      <c r="D478"/>
      <c r="E478"/>
      <c r="F478"/>
      <c r="G478"/>
      <c r="H478"/>
      <c r="I478"/>
      <c r="J478"/>
      <c r="K478"/>
      <c r="Q478" s="1"/>
    </row>
    <row r="479" spans="2:17">
      <c r="B479"/>
      <c r="C479"/>
      <c r="D479"/>
      <c r="E479"/>
      <c r="F479"/>
      <c r="G479"/>
      <c r="H479"/>
      <c r="I479"/>
      <c r="J479"/>
      <c r="K479"/>
      <c r="Q479" s="1"/>
    </row>
    <row r="480" spans="2:17">
      <c r="B480"/>
      <c r="C480"/>
      <c r="D480"/>
      <c r="E480"/>
      <c r="F480"/>
      <c r="G480"/>
      <c r="H480"/>
      <c r="I480"/>
      <c r="J480"/>
      <c r="K480"/>
      <c r="Q480" s="1"/>
    </row>
    <row r="481" spans="2:17">
      <c r="B481"/>
      <c r="C481"/>
      <c r="D481"/>
      <c r="E481"/>
      <c r="F481"/>
      <c r="G481"/>
      <c r="H481"/>
      <c r="I481"/>
      <c r="J481"/>
      <c r="K481"/>
      <c r="Q481" s="1"/>
    </row>
    <row r="482" spans="2:17">
      <c r="B482"/>
      <c r="C482"/>
      <c r="D482"/>
      <c r="E482"/>
      <c r="F482"/>
      <c r="G482"/>
      <c r="H482"/>
      <c r="I482"/>
      <c r="J482"/>
      <c r="K482"/>
      <c r="Q482" s="1"/>
    </row>
    <row r="483" spans="2:17">
      <c r="B483"/>
      <c r="C483"/>
      <c r="D483"/>
      <c r="E483"/>
      <c r="F483"/>
      <c r="G483"/>
      <c r="H483"/>
      <c r="I483"/>
      <c r="J483"/>
      <c r="K483"/>
      <c r="Q483" s="1"/>
    </row>
    <row r="484" spans="2:17">
      <c r="B484"/>
      <c r="C484"/>
      <c r="D484"/>
      <c r="E484"/>
      <c r="F484"/>
      <c r="G484"/>
      <c r="H484"/>
      <c r="I484"/>
      <c r="J484"/>
      <c r="K484"/>
      <c r="Q484" s="1"/>
    </row>
    <row r="485" spans="2:17">
      <c r="B485"/>
      <c r="C485"/>
      <c r="D485"/>
      <c r="E485"/>
      <c r="F485"/>
      <c r="G485"/>
      <c r="H485"/>
      <c r="I485"/>
      <c r="J485"/>
      <c r="K485"/>
      <c r="Q485" s="1"/>
    </row>
    <row r="486" spans="2:17">
      <c r="B486"/>
      <c r="C486"/>
      <c r="D486"/>
      <c r="E486"/>
      <c r="F486"/>
      <c r="G486"/>
      <c r="H486"/>
      <c r="I486"/>
      <c r="J486"/>
      <c r="K486"/>
      <c r="Q486" s="1"/>
    </row>
    <row r="487" spans="2:17">
      <c r="B487"/>
      <c r="C487"/>
      <c r="D487"/>
      <c r="E487"/>
      <c r="F487"/>
      <c r="G487"/>
      <c r="H487"/>
      <c r="I487"/>
      <c r="J487"/>
      <c r="K487"/>
      <c r="Q487" s="1"/>
    </row>
    <row r="488" spans="2:17">
      <c r="B488"/>
      <c r="C488"/>
      <c r="D488"/>
      <c r="E488"/>
      <c r="F488"/>
      <c r="G488"/>
      <c r="H488"/>
      <c r="I488"/>
      <c r="J488"/>
      <c r="K488"/>
      <c r="Q488" s="1"/>
    </row>
    <row r="489" spans="2:17">
      <c r="B489"/>
      <c r="C489"/>
      <c r="D489"/>
      <c r="E489"/>
      <c r="F489"/>
      <c r="G489"/>
      <c r="H489"/>
      <c r="I489"/>
      <c r="J489"/>
      <c r="K489"/>
      <c r="Q489" s="1"/>
    </row>
    <row r="490" spans="2:17">
      <c r="B490"/>
      <c r="C490"/>
      <c r="D490"/>
      <c r="E490"/>
      <c r="F490"/>
      <c r="G490"/>
      <c r="H490"/>
      <c r="I490"/>
      <c r="J490"/>
      <c r="K490"/>
      <c r="Q490" s="1"/>
    </row>
    <row r="491" spans="2:17">
      <c r="B491"/>
      <c r="C491"/>
      <c r="D491"/>
      <c r="E491"/>
      <c r="F491"/>
      <c r="G491"/>
      <c r="H491"/>
      <c r="I491"/>
      <c r="J491"/>
      <c r="K491"/>
      <c r="Q491" s="1"/>
    </row>
    <row r="492" spans="2:17">
      <c r="B492"/>
      <c r="C492"/>
      <c r="D492"/>
      <c r="E492"/>
      <c r="F492"/>
      <c r="G492"/>
      <c r="H492"/>
      <c r="I492"/>
      <c r="J492"/>
      <c r="K492"/>
      <c r="Q492" s="1"/>
    </row>
    <row r="493" spans="2:17">
      <c r="B493"/>
      <c r="C493"/>
      <c r="D493"/>
      <c r="E493"/>
      <c r="F493"/>
      <c r="G493"/>
      <c r="H493"/>
      <c r="I493"/>
      <c r="J493"/>
      <c r="K493"/>
      <c r="Q493" s="1"/>
    </row>
    <row r="494" spans="2:17">
      <c r="B494"/>
      <c r="C494"/>
      <c r="D494"/>
      <c r="E494"/>
      <c r="F494"/>
      <c r="G494"/>
      <c r="H494"/>
      <c r="I494"/>
      <c r="J494"/>
      <c r="K494"/>
      <c r="Q494" s="1"/>
    </row>
    <row r="495" spans="2:17">
      <c r="B495"/>
      <c r="C495"/>
      <c r="D495"/>
      <c r="E495"/>
      <c r="F495"/>
      <c r="G495"/>
      <c r="H495"/>
      <c r="I495"/>
      <c r="J495"/>
      <c r="K495"/>
      <c r="Q495" s="1"/>
    </row>
    <row r="496" spans="2:17">
      <c r="B496"/>
      <c r="C496"/>
      <c r="D496"/>
      <c r="E496"/>
      <c r="F496"/>
      <c r="G496"/>
      <c r="H496"/>
      <c r="I496"/>
      <c r="J496"/>
      <c r="K496"/>
      <c r="Q496" s="1"/>
    </row>
    <row r="497" spans="2:17">
      <c r="B497"/>
      <c r="C497"/>
      <c r="D497"/>
      <c r="E497"/>
      <c r="F497"/>
      <c r="G497"/>
      <c r="H497"/>
      <c r="I497"/>
      <c r="J497"/>
      <c r="K497"/>
      <c r="Q497" s="1"/>
    </row>
    <row r="498" spans="2:17">
      <c r="B498"/>
      <c r="C498"/>
      <c r="D498"/>
      <c r="E498"/>
      <c r="F498"/>
      <c r="G498"/>
      <c r="H498"/>
      <c r="I498"/>
      <c r="J498"/>
      <c r="K498"/>
      <c r="Q498" s="1"/>
    </row>
    <row r="499" spans="2:17">
      <c r="B499"/>
      <c r="C499"/>
      <c r="D499"/>
      <c r="E499"/>
      <c r="F499"/>
      <c r="G499"/>
      <c r="H499"/>
      <c r="I499"/>
      <c r="J499"/>
      <c r="K499"/>
      <c r="Q499" s="1"/>
    </row>
    <row r="500" spans="2:17">
      <c r="B500"/>
      <c r="C500"/>
      <c r="D500"/>
      <c r="E500"/>
      <c r="F500"/>
      <c r="G500"/>
      <c r="H500"/>
      <c r="I500"/>
      <c r="J500"/>
      <c r="K500"/>
      <c r="Q500" s="1"/>
    </row>
    <row r="501" spans="2:17">
      <c r="B501"/>
      <c r="C501"/>
      <c r="D501"/>
      <c r="E501"/>
      <c r="F501"/>
      <c r="G501"/>
      <c r="H501"/>
      <c r="I501"/>
      <c r="J501"/>
      <c r="K501"/>
      <c r="Q501" s="1"/>
    </row>
    <row r="502" spans="2:17">
      <c r="B502"/>
      <c r="C502"/>
      <c r="D502"/>
      <c r="E502"/>
      <c r="F502"/>
      <c r="G502"/>
      <c r="H502"/>
      <c r="I502"/>
      <c r="J502"/>
      <c r="K502"/>
      <c r="Q502" s="1"/>
    </row>
    <row r="503" spans="2:17">
      <c r="B503"/>
      <c r="C503"/>
      <c r="D503"/>
      <c r="E503"/>
      <c r="F503"/>
      <c r="G503"/>
      <c r="H503"/>
      <c r="I503"/>
      <c r="J503"/>
      <c r="K503"/>
      <c r="Q503" s="1"/>
    </row>
    <row r="504" spans="2:17">
      <c r="B504"/>
      <c r="C504"/>
      <c r="D504"/>
      <c r="E504"/>
      <c r="F504"/>
      <c r="G504"/>
      <c r="H504"/>
      <c r="I504"/>
      <c r="J504"/>
      <c r="K504"/>
      <c r="Q504" s="1"/>
    </row>
    <row r="505" spans="2:17">
      <c r="B505"/>
      <c r="C505"/>
      <c r="D505"/>
      <c r="E505"/>
      <c r="F505"/>
      <c r="G505"/>
      <c r="H505"/>
      <c r="I505"/>
      <c r="J505"/>
      <c r="K505"/>
      <c r="Q505" s="1"/>
    </row>
    <row r="506" spans="2:17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K90">
    <cfRule type="expression" dxfId="190" priority="9">
      <formula>MOD(ROW(),2)=0</formula>
    </cfRule>
  </conditionalFormatting>
  <conditionalFormatting sqref="K56">
    <cfRule type="expression" dxfId="189" priority="8">
      <formula>MOD(ROW(),2)=0</formula>
    </cfRule>
  </conditionalFormatting>
  <conditionalFormatting sqref="K283">
    <cfRule type="expression" dxfId="188" priority="7">
      <formula>MOD(ROW(),2)=0</formula>
    </cfRule>
  </conditionalFormatting>
  <conditionalFormatting sqref="K284">
    <cfRule type="expression" dxfId="187" priority="6">
      <formula>MOD(ROW(),2)=0</formula>
    </cfRule>
  </conditionalFormatting>
  <conditionalFormatting sqref="Q405">
    <cfRule type="expression" dxfId="186" priority="192">
      <formula>MOD(ROW(),2)=0</formula>
    </cfRule>
  </conditionalFormatting>
  <conditionalFormatting sqref="K295:K300">
    <cfRule type="expression" dxfId="185" priority="4">
      <formula>MOD(ROW(),2)=0</formula>
    </cfRule>
  </conditionalFormatting>
  <conditionalFormatting sqref="E6:J55 E400:J405 E388:F397 H388:J399 F398:F399 E209:J222 E60:F63 F64 F255:F256 F269:F270 F275:F277 E257:F268 E271:F274 E242:J242 F235:F236 F244 F241 E251:J254 H235:J241 H243:J250 E57:J59 F56:J56 E278:F282 F283 E295:J387 H60:J64 I65:J208 E231:J234 E223:F230 I223:J230 H255:J294 E292:F294 E285:F285 F286:F291">
    <cfRule type="expression" dxfId="184" priority="190">
      <formula>MOD(ROW(),2)=0</formula>
    </cfRule>
  </conditionalFormatting>
  <conditionalFormatting sqref="B6:B405">
    <cfRule type="expression" dxfId="183" priority="189">
      <formula>MOD(ROW(),2)=0</formula>
    </cfRule>
  </conditionalFormatting>
  <conditionalFormatting sqref="D6:D228 D241:D405">
    <cfRule type="expression" dxfId="182" priority="188">
      <formula>MOD(ROW(),2)=0</formula>
    </cfRule>
  </conditionalFormatting>
  <conditionalFormatting sqref="E89:H114 F65:F69 E70:F71 F84:F87 H65:H88 E88:F88 E119:H128 E115:F118 H115:H118 E133:H138 E129:F132 H129:H132 E141:H166 E139:F140 H139:H140 E189:H208 E171:H176 H167:H170 H177:H188 E167:F170 E177:F188">
    <cfRule type="expression" dxfId="181" priority="187">
      <formula>MOD(ROW(),2)=0</formula>
    </cfRule>
  </conditionalFormatting>
  <conditionalFormatting sqref="G388:G389">
    <cfRule type="expression" dxfId="180" priority="186">
      <formula>MOD(ROW(),2)=0</formula>
    </cfRule>
  </conditionalFormatting>
  <conditionalFormatting sqref="G390:G391">
    <cfRule type="expression" dxfId="179" priority="185">
      <formula>MOD(ROW(),2)=0</formula>
    </cfRule>
  </conditionalFormatting>
  <conditionalFormatting sqref="G392:G393">
    <cfRule type="expression" dxfId="178" priority="184">
      <formula>MOD(ROW(),2)=0</formula>
    </cfRule>
  </conditionalFormatting>
  <conditionalFormatting sqref="G394:G395">
    <cfRule type="expression" dxfId="177" priority="183">
      <formula>MOD(ROW(),2)=0</formula>
    </cfRule>
  </conditionalFormatting>
  <conditionalFormatting sqref="G396:G397">
    <cfRule type="expression" dxfId="176" priority="182">
      <formula>MOD(ROW(),2)=0</formula>
    </cfRule>
  </conditionalFormatting>
  <conditionalFormatting sqref="G398:G399">
    <cfRule type="expression" dxfId="175" priority="181">
      <formula>MOD(ROW(),2)=0</formula>
    </cfRule>
  </conditionalFormatting>
  <conditionalFormatting sqref="E398:E399">
    <cfRule type="expression" dxfId="174" priority="180">
      <formula>MOD(ROW(),2)=0</formula>
    </cfRule>
  </conditionalFormatting>
  <conditionalFormatting sqref="C401:C405">
    <cfRule type="expression" dxfId="173" priority="179">
      <formula>MOD(ROW(),2)=0</formula>
    </cfRule>
  </conditionalFormatting>
  <conditionalFormatting sqref="C6:C400">
    <cfRule type="expression" dxfId="172" priority="178">
      <formula>MOD(ROW(),2)=0</formula>
    </cfRule>
  </conditionalFormatting>
  <conditionalFormatting sqref="G60:G61">
    <cfRule type="expression" dxfId="171" priority="177">
      <formula>MOD(ROW(),2)=0</formula>
    </cfRule>
  </conditionalFormatting>
  <conditionalFormatting sqref="G62:G63">
    <cfRule type="expression" dxfId="170" priority="176">
      <formula>MOD(ROW(),2)=0</formula>
    </cfRule>
  </conditionalFormatting>
  <conditionalFormatting sqref="G64:G65">
    <cfRule type="expression" dxfId="169" priority="175">
      <formula>MOD(ROW(),2)=0</formula>
    </cfRule>
  </conditionalFormatting>
  <conditionalFormatting sqref="E64:E65">
    <cfRule type="expression" dxfId="168" priority="174">
      <formula>MOD(ROW(),2)=0</formula>
    </cfRule>
  </conditionalFormatting>
  <conditionalFormatting sqref="G66:G67">
    <cfRule type="expression" dxfId="167" priority="173">
      <formula>MOD(ROW(),2)=0</formula>
    </cfRule>
  </conditionalFormatting>
  <conditionalFormatting sqref="E66:E67">
    <cfRule type="expression" dxfId="166" priority="172">
      <formula>MOD(ROW(),2)=0</formula>
    </cfRule>
  </conditionalFormatting>
  <conditionalFormatting sqref="G68:G69">
    <cfRule type="expression" dxfId="165" priority="171">
      <formula>MOD(ROW(),2)=0</formula>
    </cfRule>
  </conditionalFormatting>
  <conditionalFormatting sqref="E68:E69">
    <cfRule type="expression" dxfId="164" priority="170">
      <formula>MOD(ROW(),2)=0</formula>
    </cfRule>
  </conditionalFormatting>
  <conditionalFormatting sqref="G70:G71">
    <cfRule type="expression" dxfId="163" priority="169">
      <formula>MOD(ROW(),2)=0</formula>
    </cfRule>
  </conditionalFormatting>
  <conditionalFormatting sqref="E72:F75 F76">
    <cfRule type="expression" dxfId="162" priority="168">
      <formula>MOD(ROW(),2)=0</formula>
    </cfRule>
  </conditionalFormatting>
  <conditionalFormatting sqref="F77:F81 E82:F83">
    <cfRule type="expression" dxfId="161" priority="167">
      <formula>MOD(ROW(),2)=0</formula>
    </cfRule>
  </conditionalFormatting>
  <conditionalFormatting sqref="G72:G73">
    <cfRule type="expression" dxfId="160" priority="166">
      <formula>MOD(ROW(),2)=0</formula>
    </cfRule>
  </conditionalFormatting>
  <conditionalFormatting sqref="G74:G75">
    <cfRule type="expression" dxfId="159" priority="165">
      <formula>MOD(ROW(),2)=0</formula>
    </cfRule>
  </conditionalFormatting>
  <conditionalFormatting sqref="G76:G77">
    <cfRule type="expression" dxfId="158" priority="164">
      <formula>MOD(ROW(),2)=0</formula>
    </cfRule>
  </conditionalFormatting>
  <conditionalFormatting sqref="E76:E77">
    <cfRule type="expression" dxfId="157" priority="163">
      <formula>MOD(ROW(),2)=0</formula>
    </cfRule>
  </conditionalFormatting>
  <conditionalFormatting sqref="G78:G79">
    <cfRule type="expression" dxfId="156" priority="162">
      <formula>MOD(ROW(),2)=0</formula>
    </cfRule>
  </conditionalFormatting>
  <conditionalFormatting sqref="E78:E79">
    <cfRule type="expression" dxfId="155" priority="161">
      <formula>MOD(ROW(),2)=0</formula>
    </cfRule>
  </conditionalFormatting>
  <conditionalFormatting sqref="G80:G81">
    <cfRule type="expression" dxfId="154" priority="160">
      <formula>MOD(ROW(),2)=0</formula>
    </cfRule>
  </conditionalFormatting>
  <conditionalFormatting sqref="E80:E81">
    <cfRule type="expression" dxfId="153" priority="159">
      <formula>MOD(ROW(),2)=0</formula>
    </cfRule>
  </conditionalFormatting>
  <conditionalFormatting sqref="G82:G83">
    <cfRule type="expression" dxfId="152" priority="158">
      <formula>MOD(ROW(),2)=0</formula>
    </cfRule>
  </conditionalFormatting>
  <conditionalFormatting sqref="G84:G85">
    <cfRule type="expression" dxfId="151" priority="157">
      <formula>MOD(ROW(),2)=0</formula>
    </cfRule>
  </conditionalFormatting>
  <conditionalFormatting sqref="E84:E85">
    <cfRule type="expression" dxfId="150" priority="156">
      <formula>MOD(ROW(),2)=0</formula>
    </cfRule>
  </conditionalFormatting>
  <conditionalFormatting sqref="G86:G87">
    <cfRule type="expression" dxfId="149" priority="155">
      <formula>MOD(ROW(),2)=0</formula>
    </cfRule>
  </conditionalFormatting>
  <conditionalFormatting sqref="E86:E87">
    <cfRule type="expression" dxfId="148" priority="154">
      <formula>MOD(ROW(),2)=0</formula>
    </cfRule>
  </conditionalFormatting>
  <conditionalFormatting sqref="G255">
    <cfRule type="expression" dxfId="147" priority="153">
      <formula>MOD(ROW(),2)=0</formula>
    </cfRule>
  </conditionalFormatting>
  <conditionalFormatting sqref="E255">
    <cfRule type="expression" dxfId="146" priority="152">
      <formula>MOD(ROW(),2)=0</formula>
    </cfRule>
  </conditionalFormatting>
  <conditionalFormatting sqref="G269">
    <cfRule type="expression" dxfId="145" priority="151">
      <formula>MOD(ROW(),2)=0</formula>
    </cfRule>
  </conditionalFormatting>
  <conditionalFormatting sqref="E269">
    <cfRule type="expression" dxfId="144" priority="150">
      <formula>MOD(ROW(),2)=0</formula>
    </cfRule>
  </conditionalFormatting>
  <conditionalFormatting sqref="G256">
    <cfRule type="expression" dxfId="143" priority="149">
      <formula>MOD(ROW(),2)=0</formula>
    </cfRule>
  </conditionalFormatting>
  <conditionalFormatting sqref="E256">
    <cfRule type="expression" dxfId="142" priority="148">
      <formula>MOD(ROW(),2)=0</formula>
    </cfRule>
  </conditionalFormatting>
  <conditionalFormatting sqref="G270">
    <cfRule type="expression" dxfId="141" priority="147">
      <formula>MOD(ROW(),2)=0</formula>
    </cfRule>
  </conditionalFormatting>
  <conditionalFormatting sqref="E270">
    <cfRule type="expression" dxfId="140" priority="146">
      <formula>MOD(ROW(),2)=0</formula>
    </cfRule>
  </conditionalFormatting>
  <conditionalFormatting sqref="G261">
    <cfRule type="expression" dxfId="139" priority="145">
      <formula>MOD(ROW(),2)=0</formula>
    </cfRule>
  </conditionalFormatting>
  <conditionalFormatting sqref="G275">
    <cfRule type="expression" dxfId="138" priority="144">
      <formula>MOD(ROW(),2)=0</formula>
    </cfRule>
  </conditionalFormatting>
  <conditionalFormatting sqref="E275">
    <cfRule type="expression" dxfId="137" priority="143">
      <formula>MOD(ROW(),2)=0</formula>
    </cfRule>
  </conditionalFormatting>
  <conditionalFormatting sqref="G262">
    <cfRule type="expression" dxfId="136" priority="142">
      <formula>MOD(ROW(),2)=0</formula>
    </cfRule>
  </conditionalFormatting>
  <conditionalFormatting sqref="G276">
    <cfRule type="expression" dxfId="135" priority="141">
      <formula>MOD(ROW(),2)=0</formula>
    </cfRule>
  </conditionalFormatting>
  <conditionalFormatting sqref="E276">
    <cfRule type="expression" dxfId="134" priority="140">
      <formula>MOD(ROW(),2)=0</formula>
    </cfRule>
  </conditionalFormatting>
  <conditionalFormatting sqref="G263">
    <cfRule type="expression" dxfId="133" priority="139">
      <formula>MOD(ROW(),2)=0</formula>
    </cfRule>
  </conditionalFormatting>
  <conditionalFormatting sqref="G277">
    <cfRule type="expression" dxfId="132" priority="138">
      <formula>MOD(ROW(),2)=0</formula>
    </cfRule>
  </conditionalFormatting>
  <conditionalFormatting sqref="E277">
    <cfRule type="expression" dxfId="131" priority="137">
      <formula>MOD(ROW(),2)=0</formula>
    </cfRule>
  </conditionalFormatting>
  <conditionalFormatting sqref="G264">
    <cfRule type="expression" dxfId="130" priority="136">
      <formula>MOD(ROW(),2)=0</formula>
    </cfRule>
  </conditionalFormatting>
  <conditionalFormatting sqref="G278">
    <cfRule type="expression" dxfId="129" priority="135">
      <formula>MOD(ROW(),2)=0</formula>
    </cfRule>
  </conditionalFormatting>
  <conditionalFormatting sqref="G265">
    <cfRule type="expression" dxfId="128" priority="134">
      <formula>MOD(ROW(),2)=0</formula>
    </cfRule>
  </conditionalFormatting>
  <conditionalFormatting sqref="G279">
    <cfRule type="expression" dxfId="127" priority="133">
      <formula>MOD(ROW(),2)=0</formula>
    </cfRule>
  </conditionalFormatting>
  <conditionalFormatting sqref="G266">
    <cfRule type="expression" dxfId="126" priority="132">
      <formula>MOD(ROW(),2)=0</formula>
    </cfRule>
  </conditionalFormatting>
  <conditionalFormatting sqref="G280">
    <cfRule type="expression" dxfId="125" priority="131">
      <formula>MOD(ROW(),2)=0</formula>
    </cfRule>
  </conditionalFormatting>
  <conditionalFormatting sqref="G267">
    <cfRule type="expression" dxfId="124" priority="130">
      <formula>MOD(ROW(),2)=0</formula>
    </cfRule>
  </conditionalFormatting>
  <conditionalFormatting sqref="G281">
    <cfRule type="expression" dxfId="123" priority="129">
      <formula>MOD(ROW(),2)=0</formula>
    </cfRule>
  </conditionalFormatting>
  <conditionalFormatting sqref="G268">
    <cfRule type="expression" dxfId="122" priority="128">
      <formula>MOD(ROW(),2)=0</formula>
    </cfRule>
  </conditionalFormatting>
  <conditionalFormatting sqref="G282">
    <cfRule type="expression" dxfId="121" priority="127">
      <formula>MOD(ROW(),2)=0</formula>
    </cfRule>
  </conditionalFormatting>
  <conditionalFormatting sqref="G257">
    <cfRule type="expression" dxfId="120" priority="126">
      <formula>MOD(ROW(),2)=0</formula>
    </cfRule>
  </conditionalFormatting>
  <conditionalFormatting sqref="G271">
    <cfRule type="expression" dxfId="119" priority="125">
      <formula>MOD(ROW(),2)=0</formula>
    </cfRule>
  </conditionalFormatting>
  <conditionalFormatting sqref="G258">
    <cfRule type="expression" dxfId="118" priority="124">
      <formula>MOD(ROW(),2)=0</formula>
    </cfRule>
  </conditionalFormatting>
  <conditionalFormatting sqref="G272">
    <cfRule type="expression" dxfId="117" priority="123">
      <formula>MOD(ROW(),2)=0</formula>
    </cfRule>
  </conditionalFormatting>
  <conditionalFormatting sqref="G259">
    <cfRule type="expression" dxfId="116" priority="122">
      <formula>MOD(ROW(),2)=0</formula>
    </cfRule>
  </conditionalFormatting>
  <conditionalFormatting sqref="G273">
    <cfRule type="expression" dxfId="115" priority="121">
      <formula>MOD(ROW(),2)=0</formula>
    </cfRule>
  </conditionalFormatting>
  <conditionalFormatting sqref="G260">
    <cfRule type="expression" dxfId="114" priority="120">
      <formula>MOD(ROW(),2)=0</formula>
    </cfRule>
  </conditionalFormatting>
  <conditionalFormatting sqref="G274">
    <cfRule type="expression" dxfId="113" priority="119">
      <formula>MOD(ROW(),2)=0</formula>
    </cfRule>
  </conditionalFormatting>
  <conditionalFormatting sqref="G235">
    <cfRule type="expression" dxfId="112" priority="118">
      <formula>MOD(ROW(),2)=0</formula>
    </cfRule>
  </conditionalFormatting>
  <conditionalFormatting sqref="E235">
    <cfRule type="expression" dxfId="111" priority="117">
      <formula>MOD(ROW(),2)=0</formula>
    </cfRule>
  </conditionalFormatting>
  <conditionalFormatting sqref="G236">
    <cfRule type="expression" dxfId="110" priority="116">
      <formula>MOD(ROW(),2)=0</formula>
    </cfRule>
  </conditionalFormatting>
  <conditionalFormatting sqref="E236">
    <cfRule type="expression" dxfId="109" priority="115">
      <formula>MOD(ROW(),2)=0</formula>
    </cfRule>
  </conditionalFormatting>
  <conditionalFormatting sqref="F243">
    <cfRule type="expression" dxfId="108" priority="114">
      <formula>MOD(ROW(),2)=0</formula>
    </cfRule>
  </conditionalFormatting>
  <conditionalFormatting sqref="E243">
    <cfRule type="expression" dxfId="107" priority="113">
      <formula>MOD(ROW(),2)=0</formula>
    </cfRule>
  </conditionalFormatting>
  <conditionalFormatting sqref="E244">
    <cfRule type="expression" dxfId="106" priority="112">
      <formula>MOD(ROW(),2)=0</formula>
    </cfRule>
  </conditionalFormatting>
  <conditionalFormatting sqref="F245">
    <cfRule type="expression" dxfId="105" priority="111">
      <formula>MOD(ROW(),2)=0</formula>
    </cfRule>
  </conditionalFormatting>
  <conditionalFormatting sqref="G245">
    <cfRule type="expression" dxfId="104" priority="110">
      <formula>MOD(ROW(),2)=0</formula>
    </cfRule>
  </conditionalFormatting>
  <conditionalFormatting sqref="E245">
    <cfRule type="expression" dxfId="103" priority="109">
      <formula>MOD(ROW(),2)=0</formula>
    </cfRule>
  </conditionalFormatting>
  <conditionalFormatting sqref="F246">
    <cfRule type="expression" dxfId="102" priority="108">
      <formula>MOD(ROW(),2)=0</formula>
    </cfRule>
  </conditionalFormatting>
  <conditionalFormatting sqref="G246">
    <cfRule type="expression" dxfId="101" priority="107">
      <formula>MOD(ROW(),2)=0</formula>
    </cfRule>
  </conditionalFormatting>
  <conditionalFormatting sqref="E246">
    <cfRule type="expression" dxfId="100" priority="106">
      <formula>MOD(ROW(),2)=0</formula>
    </cfRule>
  </conditionalFormatting>
  <conditionalFormatting sqref="F247">
    <cfRule type="expression" dxfId="99" priority="105">
      <formula>MOD(ROW(),2)=0</formula>
    </cfRule>
  </conditionalFormatting>
  <conditionalFormatting sqref="E247">
    <cfRule type="expression" dxfId="98" priority="104">
      <formula>MOD(ROW(),2)=0</formula>
    </cfRule>
  </conditionalFormatting>
  <conditionalFormatting sqref="F248">
    <cfRule type="expression" dxfId="97" priority="103">
      <formula>MOD(ROW(),2)=0</formula>
    </cfRule>
  </conditionalFormatting>
  <conditionalFormatting sqref="E248">
    <cfRule type="expression" dxfId="96" priority="102">
      <formula>MOD(ROW(),2)=0</formula>
    </cfRule>
  </conditionalFormatting>
  <conditionalFormatting sqref="F239">
    <cfRule type="expression" dxfId="95" priority="101">
      <formula>MOD(ROW(),2)=0</formula>
    </cfRule>
  </conditionalFormatting>
  <conditionalFormatting sqref="F240">
    <cfRule type="expression" dxfId="94" priority="100">
      <formula>MOD(ROW(),2)=0</formula>
    </cfRule>
  </conditionalFormatting>
  <conditionalFormatting sqref="E240">
    <cfRule type="expression" dxfId="93" priority="99">
      <formula>MOD(ROW(),2)=0</formula>
    </cfRule>
  </conditionalFormatting>
  <conditionalFormatting sqref="G247">
    <cfRule type="expression" dxfId="92" priority="98">
      <formula>MOD(ROW(),2)=0</formula>
    </cfRule>
  </conditionalFormatting>
  <conditionalFormatting sqref="G248">
    <cfRule type="expression" dxfId="91" priority="97">
      <formula>MOD(ROW(),2)=0</formula>
    </cfRule>
  </conditionalFormatting>
  <conditionalFormatting sqref="G240">
    <cfRule type="expression" dxfId="90" priority="96">
      <formula>MOD(ROW(),2)=0</formula>
    </cfRule>
  </conditionalFormatting>
  <conditionalFormatting sqref="G241">
    <cfRule type="expression" dxfId="89" priority="95">
      <formula>MOD(ROW(),2)=0</formula>
    </cfRule>
  </conditionalFormatting>
  <conditionalFormatting sqref="E241">
    <cfRule type="expression" dxfId="88" priority="94">
      <formula>MOD(ROW(),2)=0</formula>
    </cfRule>
  </conditionalFormatting>
  <conditionalFormatting sqref="E56">
    <cfRule type="expression" dxfId="87" priority="93">
      <formula>MOD(ROW(),2)=0</formula>
    </cfRule>
  </conditionalFormatting>
  <conditionalFormatting sqref="G88">
    <cfRule type="expression" dxfId="86" priority="92">
      <formula>MOD(ROW(),2)=0</formula>
    </cfRule>
  </conditionalFormatting>
  <conditionalFormatting sqref="G283">
    <cfRule type="expression" dxfId="85" priority="91">
      <formula>MOD(ROW(),2)=0</formula>
    </cfRule>
  </conditionalFormatting>
  <conditionalFormatting sqref="E283">
    <cfRule type="expression" dxfId="84" priority="90">
      <formula>MOD(ROW(),2)=0</formula>
    </cfRule>
  </conditionalFormatting>
  <conditionalFormatting sqref="E288">
    <cfRule type="expression" dxfId="83" priority="89">
      <formula>MOD(ROW(),2)=0</formula>
    </cfRule>
  </conditionalFormatting>
  <conditionalFormatting sqref="G289">
    <cfRule type="expression" dxfId="82" priority="88">
      <formula>MOD(ROW(),2)=0</formula>
    </cfRule>
  </conditionalFormatting>
  <conditionalFormatting sqref="G290">
    <cfRule type="expression" dxfId="81" priority="87">
      <formula>MOD(ROW(),2)=0</formula>
    </cfRule>
  </conditionalFormatting>
  <conditionalFormatting sqref="E289">
    <cfRule type="expression" dxfId="80" priority="86">
      <formula>MOD(ROW(),2)=0</formula>
    </cfRule>
  </conditionalFormatting>
  <conditionalFormatting sqref="E290">
    <cfRule type="expression" dxfId="79" priority="85">
      <formula>MOD(ROW(),2)=0</formula>
    </cfRule>
  </conditionalFormatting>
  <conditionalFormatting sqref="G115:G116">
    <cfRule type="expression" dxfId="78" priority="84">
      <formula>MOD(ROW(),2)=0</formula>
    </cfRule>
  </conditionalFormatting>
  <conditionalFormatting sqref="G117:G118">
    <cfRule type="expression" dxfId="77" priority="83">
      <formula>MOD(ROW(),2)=0</formula>
    </cfRule>
  </conditionalFormatting>
  <conditionalFormatting sqref="G129:G130">
    <cfRule type="expression" dxfId="76" priority="82">
      <formula>MOD(ROW(),2)=0</formula>
    </cfRule>
  </conditionalFormatting>
  <conditionalFormatting sqref="G131:G132">
    <cfRule type="expression" dxfId="75" priority="81">
      <formula>MOD(ROW(),2)=0</formula>
    </cfRule>
  </conditionalFormatting>
  <conditionalFormatting sqref="G139:G140">
    <cfRule type="expression" dxfId="74" priority="80">
      <formula>MOD(ROW(),2)=0</formula>
    </cfRule>
  </conditionalFormatting>
  <conditionalFormatting sqref="G177:G178">
    <cfRule type="expression" dxfId="73" priority="79">
      <formula>MOD(ROW(),2)=0</formula>
    </cfRule>
  </conditionalFormatting>
  <conditionalFormatting sqref="G179:G180">
    <cfRule type="expression" dxfId="72" priority="78">
      <formula>MOD(ROW(),2)=0</formula>
    </cfRule>
  </conditionalFormatting>
  <conditionalFormatting sqref="G181:G182">
    <cfRule type="expression" dxfId="71" priority="77">
      <formula>MOD(ROW(),2)=0</formula>
    </cfRule>
  </conditionalFormatting>
  <conditionalFormatting sqref="G187:G188">
    <cfRule type="expression" dxfId="70" priority="76">
      <formula>MOD(ROW(),2)=0</formula>
    </cfRule>
  </conditionalFormatting>
  <conditionalFormatting sqref="G223:H226">
    <cfRule type="expression" dxfId="69" priority="75">
      <formula>MOD(ROW(),2)=0</formula>
    </cfRule>
  </conditionalFormatting>
  <conditionalFormatting sqref="H227:H230">
    <cfRule type="expression" dxfId="68" priority="74">
      <formula>MOD(ROW(),2)=0</formula>
    </cfRule>
  </conditionalFormatting>
  <conditionalFormatting sqref="G227:G228">
    <cfRule type="expression" dxfId="67" priority="73">
      <formula>MOD(ROW(),2)=0</formula>
    </cfRule>
  </conditionalFormatting>
  <conditionalFormatting sqref="G229:G230">
    <cfRule type="expression" dxfId="66" priority="72">
      <formula>MOD(ROW(),2)=0</formula>
    </cfRule>
  </conditionalFormatting>
  <conditionalFormatting sqref="G183:G186">
    <cfRule type="expression" dxfId="65" priority="71">
      <formula>MOD(ROW(),2)=0</formula>
    </cfRule>
  </conditionalFormatting>
  <conditionalFormatting sqref="G167:G170">
    <cfRule type="expression" dxfId="64" priority="70">
      <formula>MOD(ROW(),2)=0</formula>
    </cfRule>
  </conditionalFormatting>
  <conditionalFormatting sqref="F284">
    <cfRule type="expression" dxfId="63" priority="69">
      <formula>MOD(ROW(),2)=0</formula>
    </cfRule>
  </conditionalFormatting>
  <conditionalFormatting sqref="G284">
    <cfRule type="expression" dxfId="62" priority="68">
      <formula>MOD(ROW(),2)=0</formula>
    </cfRule>
  </conditionalFormatting>
  <conditionalFormatting sqref="E284">
    <cfRule type="expression" dxfId="61" priority="67">
      <formula>MOD(ROW(),2)=0</formula>
    </cfRule>
  </conditionalFormatting>
  <conditionalFormatting sqref="G289">
    <cfRule type="expression" dxfId="60" priority="66">
      <formula>MOD(ROW(),2)=0</formula>
    </cfRule>
  </conditionalFormatting>
  <conditionalFormatting sqref="G290">
    <cfRule type="expression" dxfId="59" priority="65">
      <formula>MOD(ROW(),2)=0</formula>
    </cfRule>
  </conditionalFormatting>
  <conditionalFormatting sqref="G287">
    <cfRule type="expression" dxfId="58" priority="64">
      <formula>MOD(ROW(),2)=0</formula>
    </cfRule>
  </conditionalFormatting>
  <conditionalFormatting sqref="E287">
    <cfRule type="expression" dxfId="57" priority="63">
      <formula>MOD(ROW(),2)=0</formula>
    </cfRule>
  </conditionalFormatting>
  <conditionalFormatting sqref="G288">
    <cfRule type="expression" dxfId="56" priority="62">
      <formula>MOD(ROW(),2)=0</formula>
    </cfRule>
  </conditionalFormatting>
  <conditionalFormatting sqref="E291">
    <cfRule type="expression" dxfId="55" priority="61">
      <formula>MOD(ROW(),2)=0</formula>
    </cfRule>
  </conditionalFormatting>
  <conditionalFormatting sqref="G291">
    <cfRule type="expression" dxfId="54" priority="60">
      <formula>MOD(ROW(),2)=0</formula>
    </cfRule>
  </conditionalFormatting>
  <conditionalFormatting sqref="G292">
    <cfRule type="expression" dxfId="53" priority="59">
      <formula>MOD(ROW(),2)=0</formula>
    </cfRule>
  </conditionalFormatting>
  <conditionalFormatting sqref="G293">
    <cfRule type="expression" dxfId="52" priority="58">
      <formula>MOD(ROW(),2)=0</formula>
    </cfRule>
  </conditionalFormatting>
  <conditionalFormatting sqref="G294">
    <cfRule type="expression" dxfId="51" priority="57">
      <formula>MOD(ROW(),2)=0</formula>
    </cfRule>
  </conditionalFormatting>
  <conditionalFormatting sqref="G285">
    <cfRule type="expression" dxfId="50" priority="56">
      <formula>MOD(ROW(),2)=0</formula>
    </cfRule>
  </conditionalFormatting>
  <conditionalFormatting sqref="G286">
    <cfRule type="expression" dxfId="49" priority="55">
      <formula>MOD(ROW(),2)=0</formula>
    </cfRule>
  </conditionalFormatting>
  <conditionalFormatting sqref="E286">
    <cfRule type="expression" dxfId="48" priority="54">
      <formula>MOD(ROW(),2)=0</formula>
    </cfRule>
  </conditionalFormatting>
  <conditionalFormatting sqref="G243">
    <cfRule type="expression" dxfId="47" priority="53">
      <formula>MOD(ROW(),2)=0</formula>
    </cfRule>
  </conditionalFormatting>
  <conditionalFormatting sqref="G244">
    <cfRule type="expression" dxfId="46" priority="52">
      <formula>MOD(ROW(),2)=0</formula>
    </cfRule>
  </conditionalFormatting>
  <conditionalFormatting sqref="F243">
    <cfRule type="expression" dxfId="45" priority="51">
      <formula>MOD(ROW(),2)=0</formula>
    </cfRule>
  </conditionalFormatting>
  <conditionalFormatting sqref="G243">
    <cfRule type="expression" dxfId="44" priority="50">
      <formula>MOD(ROW(),2)=0</formula>
    </cfRule>
  </conditionalFormatting>
  <conditionalFormatting sqref="E243">
    <cfRule type="expression" dxfId="43" priority="49">
      <formula>MOD(ROW(),2)=0</formula>
    </cfRule>
  </conditionalFormatting>
  <conditionalFormatting sqref="F244">
    <cfRule type="expression" dxfId="42" priority="48">
      <formula>MOD(ROW(),2)=0</formula>
    </cfRule>
  </conditionalFormatting>
  <conditionalFormatting sqref="G244">
    <cfRule type="expression" dxfId="41" priority="47">
      <formula>MOD(ROW(),2)=0</formula>
    </cfRule>
  </conditionalFormatting>
  <conditionalFormatting sqref="E244">
    <cfRule type="expression" dxfId="40" priority="46">
      <formula>MOD(ROW(),2)=0</formula>
    </cfRule>
  </conditionalFormatting>
  <conditionalFormatting sqref="F245">
    <cfRule type="expression" dxfId="39" priority="45">
      <formula>MOD(ROW(),2)=0</formula>
    </cfRule>
  </conditionalFormatting>
  <conditionalFormatting sqref="E245">
    <cfRule type="expression" dxfId="38" priority="44">
      <formula>MOD(ROW(),2)=0</formula>
    </cfRule>
  </conditionalFormatting>
  <conditionalFormatting sqref="F246">
    <cfRule type="expression" dxfId="37" priority="43">
      <formula>MOD(ROW(),2)=0</formula>
    </cfRule>
  </conditionalFormatting>
  <conditionalFormatting sqref="E246">
    <cfRule type="expression" dxfId="36" priority="42">
      <formula>MOD(ROW(),2)=0</formula>
    </cfRule>
  </conditionalFormatting>
  <conditionalFormatting sqref="F247">
    <cfRule type="expression" dxfId="35" priority="41">
      <formula>MOD(ROW(),2)=0</formula>
    </cfRule>
  </conditionalFormatting>
  <conditionalFormatting sqref="F248">
    <cfRule type="expression" dxfId="34" priority="40">
      <formula>MOD(ROW(),2)=0</formula>
    </cfRule>
  </conditionalFormatting>
  <conditionalFormatting sqref="E248">
    <cfRule type="expression" dxfId="33" priority="39">
      <formula>MOD(ROW(),2)=0</formula>
    </cfRule>
  </conditionalFormatting>
  <conditionalFormatting sqref="G245">
    <cfRule type="expression" dxfId="32" priority="38">
      <formula>MOD(ROW(),2)=0</formula>
    </cfRule>
  </conditionalFormatting>
  <conditionalFormatting sqref="G246">
    <cfRule type="expression" dxfId="31" priority="37">
      <formula>MOD(ROW(),2)=0</formula>
    </cfRule>
  </conditionalFormatting>
  <conditionalFormatting sqref="G247">
    <cfRule type="expression" dxfId="30" priority="36">
      <formula>MOD(ROW(),2)=0</formula>
    </cfRule>
  </conditionalFormatting>
  <conditionalFormatting sqref="G248">
    <cfRule type="expression" dxfId="29" priority="35">
      <formula>MOD(ROW(),2)=0</formula>
    </cfRule>
  </conditionalFormatting>
  <conditionalFormatting sqref="E247">
    <cfRule type="expression" dxfId="28" priority="34">
      <formula>MOD(ROW(),2)=0</formula>
    </cfRule>
  </conditionalFormatting>
  <conditionalFormatting sqref="F249">
    <cfRule type="expression" dxfId="27" priority="33">
      <formula>MOD(ROW(),2)=0</formula>
    </cfRule>
  </conditionalFormatting>
  <conditionalFormatting sqref="E249">
    <cfRule type="expression" dxfId="26" priority="32">
      <formula>MOD(ROW(),2)=0</formula>
    </cfRule>
  </conditionalFormatting>
  <conditionalFormatting sqref="F250">
    <cfRule type="expression" dxfId="25" priority="31">
      <formula>MOD(ROW(),2)=0</formula>
    </cfRule>
  </conditionalFormatting>
  <conditionalFormatting sqref="E250">
    <cfRule type="expression" dxfId="24" priority="30">
      <formula>MOD(ROW(),2)=0</formula>
    </cfRule>
  </conditionalFormatting>
  <conditionalFormatting sqref="G249">
    <cfRule type="expression" dxfId="23" priority="29">
      <formula>MOD(ROW(),2)=0</formula>
    </cfRule>
  </conditionalFormatting>
  <conditionalFormatting sqref="G250">
    <cfRule type="expression" dxfId="22" priority="28">
      <formula>MOD(ROW(),2)=0</formula>
    </cfRule>
  </conditionalFormatting>
  <conditionalFormatting sqref="F237">
    <cfRule type="expression" dxfId="21" priority="27">
      <formula>MOD(ROW(),2)=0</formula>
    </cfRule>
  </conditionalFormatting>
  <conditionalFormatting sqref="E237">
    <cfRule type="expression" dxfId="20" priority="26">
      <formula>MOD(ROW(),2)=0</formula>
    </cfRule>
  </conditionalFormatting>
  <conditionalFormatting sqref="F238">
    <cfRule type="expression" dxfId="19" priority="25">
      <formula>MOD(ROW(),2)=0</formula>
    </cfRule>
  </conditionalFormatting>
  <conditionalFormatting sqref="E238">
    <cfRule type="expression" dxfId="18" priority="24">
      <formula>MOD(ROW(),2)=0</formula>
    </cfRule>
  </conditionalFormatting>
  <conditionalFormatting sqref="G237">
    <cfRule type="expression" dxfId="17" priority="23">
      <formula>MOD(ROW(),2)=0</formula>
    </cfRule>
  </conditionalFormatting>
  <conditionalFormatting sqref="G238">
    <cfRule type="expression" dxfId="16" priority="22">
      <formula>MOD(ROW(),2)=0</formula>
    </cfRule>
  </conditionalFormatting>
  <conditionalFormatting sqref="G239">
    <cfRule type="expression" dxfId="15" priority="21">
      <formula>MOD(ROW(),2)=0</formula>
    </cfRule>
  </conditionalFormatting>
  <conditionalFormatting sqref="E239">
    <cfRule type="expression" dxfId="14" priority="20">
      <formula>MOD(ROW(),2)=0</formula>
    </cfRule>
  </conditionalFormatting>
  <conditionalFormatting sqref="K244:K250 K255:K282 K285:K294 K60:K87 K91:K234 K6:K55 K236:K242 K57 K301:K405">
    <cfRule type="expression" dxfId="13" priority="19">
      <formula>MOD(ROW(),2)=0</formula>
    </cfRule>
  </conditionalFormatting>
  <conditionalFormatting sqref="K251">
    <cfRule type="expression" dxfId="12" priority="18">
      <formula>MOD(ROW(),2)=0</formula>
    </cfRule>
  </conditionalFormatting>
  <conditionalFormatting sqref="K58">
    <cfRule type="expression" dxfId="11" priority="17">
      <formula>MOD(ROW(),2)=0</formula>
    </cfRule>
  </conditionalFormatting>
  <conditionalFormatting sqref="K253">
    <cfRule type="expression" dxfId="10" priority="16">
      <formula>MOD(ROW(),2)=0</formula>
    </cfRule>
  </conditionalFormatting>
  <conditionalFormatting sqref="K59">
    <cfRule type="expression" dxfId="9" priority="15">
      <formula>MOD(ROW(),2)=0</formula>
    </cfRule>
  </conditionalFormatting>
  <conditionalFormatting sqref="K252">
    <cfRule type="expression" dxfId="8" priority="14">
      <formula>MOD(ROW(),2)=0</formula>
    </cfRule>
  </conditionalFormatting>
  <conditionalFormatting sqref="K254">
    <cfRule type="expression" dxfId="7" priority="13">
      <formula>MOD(ROW(),2)=0</formula>
    </cfRule>
  </conditionalFormatting>
  <conditionalFormatting sqref="K235">
    <cfRule type="expression" dxfId="6" priority="12">
      <formula>MOD(ROW(),2)=0</formula>
    </cfRule>
  </conditionalFormatting>
  <conditionalFormatting sqref="K89">
    <cfRule type="expression" dxfId="5" priority="11">
      <formula>MOD(ROW(),2)=0</formula>
    </cfRule>
  </conditionalFormatting>
  <conditionalFormatting sqref="K243">
    <cfRule type="expression" dxfId="4" priority="10">
      <formula>MOD(ROW(),2)=0</formula>
    </cfRule>
  </conditionalFormatting>
  <conditionalFormatting sqref="K88">
    <cfRule type="expression" dxfId="3" priority="5">
      <formula>MOD(ROW(),2)=0</formula>
    </cfRule>
  </conditionalFormatting>
  <conditionalFormatting sqref="D235:D240">
    <cfRule type="expression" dxfId="2" priority="3">
      <formula>MOD(ROW(),2)=0</formula>
    </cfRule>
  </conditionalFormatting>
  <conditionalFormatting sqref="D235:D240">
    <cfRule type="expression" dxfId="1" priority="2">
      <formula>MOD(ROW(),2)=0</formula>
    </cfRule>
  </conditionalFormatting>
  <conditionalFormatting sqref="D229:D234">
    <cfRule type="expression" dxfId="0" priority="1">
      <formula>MOD(ROW(),2)=0</formula>
    </cfRule>
  </conditionalFormatting>
  <hyperlinks>
    <hyperlink ref="AN6" location="'0'!A1" tooltip="X stave 0, Front" display="'0'!A1" xr:uid="{00000000-0004-0000-0F00-000000000000}"/>
    <hyperlink ref="AN7:AN10" location="'0'!A1" tooltip="X stave 0, Front" display="'0'!A1" xr:uid="{00000000-0004-0000-0F00-000001000000}"/>
    <hyperlink ref="AJ6" location="'0'!A1" tooltip="X stave 0, Front" display="'0'!A1" xr:uid="{00000000-0004-0000-0F00-000002000000}"/>
    <hyperlink ref="AJ7:AJ10" location="'0'!A1" tooltip="X stave 0, Front" display="'0'!A1" xr:uid="{00000000-0004-0000-0F00-000003000000}"/>
    <hyperlink ref="AH6" location="'0'!A1" tooltip="X stave 0, Front" display="'0'!A1" xr:uid="{00000000-0004-0000-0F00-000004000000}"/>
    <hyperlink ref="AH7:AH10" location="'0'!A1" tooltip="X stave 0, Front" display="'0'!A1" xr:uid="{00000000-0004-0000-0F00-000005000000}"/>
    <hyperlink ref="AJ6:AJ10" location="'2'!A1" tooltip="DCB 2" display="'2'!A1" xr:uid="{00000000-0004-0000-0F00-000006000000}"/>
    <hyperlink ref="AN6:AN10" location="'0'!A1" tooltip="DCB 0" display="'0'!A1" xr:uid="{00000000-0004-0000-0F00-000007000000}"/>
    <hyperlink ref="AL6" location="'0'!A1" tooltip="X stave 0, Front" display="'0'!A1" xr:uid="{00000000-0004-0000-0F00-000008000000}"/>
    <hyperlink ref="AL7:AL10" location="'0'!A1" tooltip="X stave 0, Front" display="'0'!A1" xr:uid="{00000000-0004-0000-0F00-000009000000}"/>
    <hyperlink ref="AL6:AL10" location="'1'!A1" tooltip="DCB 1" display="'1'!A1" xr:uid="{00000000-0004-0000-0F00-00000A000000}"/>
    <hyperlink ref="AH6:AH10" location="'3'!A1" display="'3'!A1" xr:uid="{00000000-0004-0000-0F00-00000B000000}"/>
    <hyperlink ref="AF6" location="'0'!A1" tooltip="X stave 0, Front" display="'0'!A1" xr:uid="{00000000-0004-0000-0F00-00000C000000}"/>
    <hyperlink ref="AF7:AF10" location="'0'!A1" tooltip="X stave 0, Front" display="'0'!A1" xr:uid="{00000000-0004-0000-0F00-00000D000000}"/>
    <hyperlink ref="AF6:AF10" location="'4'!A1" display="'4'!A1" xr:uid="{00000000-0004-0000-0F00-00000E000000}"/>
    <hyperlink ref="AD6" location="'0'!A1" tooltip="X stave 0, Front" display="'0'!A1" xr:uid="{00000000-0004-0000-0F00-00000F000000}"/>
    <hyperlink ref="AD7:AD10" location="'0'!A1" tooltip="X stave 0, Front" display="'0'!A1" xr:uid="{00000000-0004-0000-0F00-000010000000}"/>
    <hyperlink ref="AD6:AD10" location="'5'!A1" display="'5'!A1" xr:uid="{00000000-0004-0000-0F00-000011000000}"/>
    <hyperlink ref="AB6" location="'0'!A1" tooltip="X stave 0, Front" display="'0'!A1" xr:uid="{00000000-0004-0000-0F00-000012000000}"/>
    <hyperlink ref="AB7:AB10" location="'0'!A1" tooltip="X stave 0, Front" display="'0'!A1" xr:uid="{00000000-0004-0000-0F00-000013000000}"/>
    <hyperlink ref="AB6:AB10" location="'6'!A1" display="'6'!A1" xr:uid="{00000000-0004-0000-0F00-000014000000}"/>
    <hyperlink ref="Z6" location="'0'!A1" tooltip="X stave 0, Front" display="'0'!A1" xr:uid="{00000000-0004-0000-0F00-000015000000}"/>
    <hyperlink ref="Z7:Z10" location="'0'!A1" tooltip="X stave 0, Front" display="'0'!A1" xr:uid="{00000000-0004-0000-0F00-000016000000}"/>
    <hyperlink ref="Z6:Z10" location="'7'!A1" display="'7'!A1" xr:uid="{00000000-0004-0000-0F00-000017000000}"/>
    <hyperlink ref="X6" location="'0'!A1" tooltip="X stave 0, Front" display="'0'!A1" xr:uid="{00000000-0004-0000-0F00-000018000000}"/>
    <hyperlink ref="X7:X10" location="'0'!A1" tooltip="X stave 0, Front" display="'0'!A1" xr:uid="{00000000-0004-0000-0F00-000019000000}"/>
    <hyperlink ref="X6:X10" location="'8'!A1" display="'8'!A1" xr:uid="{00000000-0004-0000-0F00-00001A000000}"/>
    <hyperlink ref="V6" location="'0'!A1" tooltip="X stave 0, Front" display="'0'!A1" xr:uid="{00000000-0004-0000-0F00-00001B000000}"/>
    <hyperlink ref="V7:V10" location="'0'!A1" tooltip="X stave 0, Front" display="'0'!A1" xr:uid="{00000000-0004-0000-0F00-00001C000000}"/>
    <hyperlink ref="V6:V10" location="'9'!A1" display="'9'!A1" xr:uid="{00000000-0004-0000-0F00-00001D000000}"/>
    <hyperlink ref="T6" location="'0'!A1" tooltip="X stave 0, Front" display="'0'!A1" xr:uid="{00000000-0004-0000-0F00-00001E000000}"/>
    <hyperlink ref="T7:T10" location="'0'!A1" tooltip="X stave 0, Front" display="'0'!A1" xr:uid="{00000000-0004-0000-0F00-00001F000000}"/>
    <hyperlink ref="T6:T10" location="'10'!A1" display="'10'!A1" xr:uid="{00000000-0004-0000-0F00-000020000000}"/>
    <hyperlink ref="R6" location="'0'!A1" tooltip="X stave 0, Front" display="'0'!A1" xr:uid="{00000000-0004-0000-0F00-000021000000}"/>
    <hyperlink ref="R7:R10" location="'0'!A1" tooltip="X stave 0, Front" display="'0'!A1" xr:uid="{00000000-0004-0000-0F00-000022000000}"/>
    <hyperlink ref="R6:R10" location="'11'!A1" display="'11'!A1" xr:uid="{00000000-0004-0000-0F00-000023000000}"/>
  </hyperlinks>
  <pageMargins left="0.75" right="0.75" top="1" bottom="1" header="0.5" footer="0.5"/>
  <pageSetup orientation="portrait" horizontalDpi="4294967292" vertic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Backplane diagram</vt:lpstr>
      <vt:lpstr>Hybrid-to-GBTx master</vt:lpstr>
      <vt:lpstr>Hybrid Positions</vt:lpstr>
      <vt:lpstr>0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template</vt:lpstr>
      <vt:lpstr>'Hybrid-to-GBTx master'!__xlnm.Print_Area</vt:lpstr>
      <vt:lpstr>'Hybrid-to-GBTx master'!Print_Area</vt:lpstr>
    </vt:vector>
  </TitlesOfParts>
  <Company>University of Maryland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Zishuo Yang</dc:creator>
  <cp:lastModifiedBy>yzs</cp:lastModifiedBy>
  <cp:lastPrinted>2017-07-20T16:51:28Z</cp:lastPrinted>
  <dcterms:created xsi:type="dcterms:W3CDTF">2017-01-25T17:31:57Z</dcterms:created>
  <dcterms:modified xsi:type="dcterms:W3CDTF">2018-09-18T15:18:33Z</dcterms:modified>
  <cp:contentStatus/>
</cp:coreProperties>
</file>