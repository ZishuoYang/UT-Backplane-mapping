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UT\Backplane-Remapping\trueType\"/>
    </mc:Choice>
  </mc:AlternateContent>
  <bookViews>
    <workbookView xWindow="0" yWindow="0" windowWidth="24000" windowHeight="10320" tabRatio="676"/>
  </bookViews>
  <sheets>
    <sheet name="Backplane diagram" sheetId="10" r:id="rId1"/>
    <sheet name="Hybrid-to-GBTx master" sheetId="18" r:id="rId2"/>
    <sheet name="Hybrid Positions" sheetId="28" r:id="rId3"/>
    <sheet name="0" sheetId="51" r:id="rId4"/>
    <sheet name="1" sheetId="52" r:id="rId5"/>
    <sheet name="2" sheetId="53" r:id="rId6"/>
    <sheet name="3" sheetId="54" r:id="rId7"/>
    <sheet name="4" sheetId="55" r:id="rId8"/>
    <sheet name="5" sheetId="56" r:id="rId9"/>
    <sheet name="6" sheetId="57" r:id="rId10"/>
    <sheet name="7" sheetId="58" r:id="rId11"/>
    <sheet name="8" sheetId="59" r:id="rId12"/>
    <sheet name="9" sheetId="60" r:id="rId13"/>
    <sheet name="10" sheetId="61" r:id="rId14"/>
    <sheet name="11" sheetId="62" r:id="rId15"/>
    <sheet name="template" sheetId="63" r:id="rId16"/>
    <sheet name="previous template" sheetId="9" r:id="rId17"/>
    <sheet name="notes" sheetId="21" r:id="rId18"/>
  </sheets>
  <definedNames>
    <definedName name="__xlnm.Print_Area" localSheetId="1">'Hybrid-to-GBTx master'!$C$3:$AA$66</definedName>
    <definedName name="_xlnm.Print_Area" localSheetId="1">'Hybrid-to-GBTx master'!$A$1:$AA$131</definedName>
  </definedNames>
  <calcPr calcId="152511"/>
</workbook>
</file>

<file path=xl/calcChain.xml><?xml version="1.0" encoding="utf-8"?>
<calcChain xmlns="http://schemas.openxmlformats.org/spreadsheetml/2006/main">
  <c r="D126" i="18" l="1"/>
  <c r="D125" i="18"/>
  <c r="D124" i="18"/>
  <c r="R115" i="18"/>
  <c r="W115" i="18" s="1"/>
  <c r="U114" i="18"/>
  <c r="V114" i="18" s="1"/>
  <c r="O114" i="18"/>
  <c r="P114" i="18" s="1"/>
  <c r="I114" i="18"/>
  <c r="S113" i="18"/>
  <c r="H113" i="18"/>
  <c r="G113" i="18"/>
  <c r="F113" i="18"/>
  <c r="I113" i="18" s="1"/>
  <c r="S112" i="18"/>
  <c r="R112" i="18"/>
  <c r="N112" i="18"/>
  <c r="M112" i="18"/>
  <c r="L112" i="18"/>
  <c r="H112" i="18"/>
  <c r="G112" i="18"/>
  <c r="F112" i="18"/>
  <c r="I112" i="18" s="1"/>
  <c r="S111" i="18"/>
  <c r="R111" i="18"/>
  <c r="N111" i="18"/>
  <c r="M111" i="18"/>
  <c r="L111" i="18"/>
  <c r="H111" i="18"/>
  <c r="G111" i="18"/>
  <c r="F111" i="18"/>
  <c r="S110" i="18"/>
  <c r="U110" i="18" s="1"/>
  <c r="R110" i="18"/>
  <c r="N110" i="18"/>
  <c r="O110" i="18" s="1"/>
  <c r="M110" i="18"/>
  <c r="L110" i="18"/>
  <c r="H110" i="18"/>
  <c r="G110" i="18"/>
  <c r="F110" i="18"/>
  <c r="S109" i="18"/>
  <c r="R109" i="18"/>
  <c r="N109" i="18"/>
  <c r="N113" i="18" s="1"/>
  <c r="M109" i="18"/>
  <c r="M113" i="18" s="1"/>
  <c r="L109" i="18"/>
  <c r="H109" i="18"/>
  <c r="G109" i="18"/>
  <c r="F109" i="18"/>
  <c r="S108" i="18"/>
  <c r="R108" i="18"/>
  <c r="U108" i="18" s="1"/>
  <c r="V108" i="18" s="1"/>
  <c r="N108" i="18"/>
  <c r="M108" i="18"/>
  <c r="L108" i="18"/>
  <c r="O108" i="18" s="1"/>
  <c r="P108" i="18" s="1"/>
  <c r="H108" i="18"/>
  <c r="G108" i="18"/>
  <c r="F108" i="18"/>
  <c r="I108" i="18" s="1"/>
  <c r="J108" i="18" s="1"/>
  <c r="U107" i="18"/>
  <c r="O107" i="18"/>
  <c r="L115" i="18" s="1"/>
  <c r="O115" i="18" s="1"/>
  <c r="I107" i="18"/>
  <c r="U106" i="18"/>
  <c r="W106" i="18" s="1"/>
  <c r="O106" i="18"/>
  <c r="Q106" i="18" s="1"/>
  <c r="I106" i="18"/>
  <c r="X105" i="18"/>
  <c r="U105" i="18"/>
  <c r="O105" i="18"/>
  <c r="I105" i="18"/>
  <c r="R103" i="18"/>
  <c r="U102" i="18"/>
  <c r="V102" i="18" s="1"/>
  <c r="P102" i="18"/>
  <c r="O102" i="18"/>
  <c r="I102" i="18"/>
  <c r="X102" i="18" s="1"/>
  <c r="H101" i="18"/>
  <c r="G101" i="18"/>
  <c r="F101" i="18"/>
  <c r="I101" i="18" s="1"/>
  <c r="S100" i="18"/>
  <c r="R100" i="18"/>
  <c r="U100" i="18" s="1"/>
  <c r="N100" i="18"/>
  <c r="M100" i="18"/>
  <c r="L100" i="18"/>
  <c r="H100" i="18"/>
  <c r="G100" i="18"/>
  <c r="F100" i="18"/>
  <c r="S99" i="18"/>
  <c r="R99" i="18"/>
  <c r="U99" i="18" s="1"/>
  <c r="N99" i="18"/>
  <c r="M99" i="18"/>
  <c r="L99" i="18"/>
  <c r="H99" i="18"/>
  <c r="I99" i="18" s="1"/>
  <c r="G99" i="18"/>
  <c r="F99" i="18"/>
  <c r="S98" i="18"/>
  <c r="R98" i="18"/>
  <c r="U98" i="18" s="1"/>
  <c r="N98" i="18"/>
  <c r="M98" i="18"/>
  <c r="L98" i="18"/>
  <c r="H98" i="18"/>
  <c r="G98" i="18"/>
  <c r="F98" i="18"/>
  <c r="S97" i="18"/>
  <c r="S101" i="18" s="1"/>
  <c r="R97" i="18"/>
  <c r="N97" i="18"/>
  <c r="N101" i="18" s="1"/>
  <c r="M97" i="18"/>
  <c r="M101" i="18" s="1"/>
  <c r="L97" i="18"/>
  <c r="H97" i="18"/>
  <c r="G97" i="18"/>
  <c r="F97" i="18"/>
  <c r="U96" i="18"/>
  <c r="S96" i="18"/>
  <c r="R96" i="18"/>
  <c r="N96" i="18"/>
  <c r="M96" i="18"/>
  <c r="L96" i="18"/>
  <c r="O96" i="18" s="1"/>
  <c r="H96" i="18"/>
  <c r="G96" i="18"/>
  <c r="F96" i="18"/>
  <c r="U95" i="18"/>
  <c r="O95" i="18"/>
  <c r="L103" i="18" s="1"/>
  <c r="O103" i="18" s="1"/>
  <c r="I95" i="18"/>
  <c r="U94" i="18"/>
  <c r="W94" i="18" s="1"/>
  <c r="O94" i="18"/>
  <c r="Q94" i="18" s="1"/>
  <c r="I94" i="18"/>
  <c r="U93" i="18"/>
  <c r="O93" i="18"/>
  <c r="X93" i="18" s="1"/>
  <c r="I93" i="18"/>
  <c r="X91" i="18"/>
  <c r="D60" i="18"/>
  <c r="D59" i="18"/>
  <c r="L118" i="18" s="1"/>
  <c r="D58" i="18"/>
  <c r="U48" i="18"/>
  <c r="V48" i="18" s="1"/>
  <c r="O48" i="18"/>
  <c r="P48" i="18" s="1"/>
  <c r="J48" i="18"/>
  <c r="I48" i="18"/>
  <c r="H47" i="18"/>
  <c r="G47" i="18"/>
  <c r="F47" i="18"/>
  <c r="T46" i="18"/>
  <c r="S46" i="18"/>
  <c r="R46" i="18"/>
  <c r="N46" i="18"/>
  <c r="M46" i="18"/>
  <c r="L46" i="18"/>
  <c r="H46" i="18"/>
  <c r="G46" i="18"/>
  <c r="F46" i="18"/>
  <c r="I46" i="18" s="1"/>
  <c r="T45" i="18"/>
  <c r="S45" i="18"/>
  <c r="R45" i="18"/>
  <c r="N45" i="18"/>
  <c r="M45" i="18"/>
  <c r="L45" i="18"/>
  <c r="H45" i="18"/>
  <c r="G45" i="18"/>
  <c r="I45" i="18" s="1"/>
  <c r="F45" i="18"/>
  <c r="T44" i="18"/>
  <c r="S44" i="18"/>
  <c r="U44" i="18" s="1"/>
  <c r="R44" i="18"/>
  <c r="N44" i="18"/>
  <c r="M44" i="18"/>
  <c r="O44" i="18" s="1"/>
  <c r="O62" i="18" s="1"/>
  <c r="L44" i="18"/>
  <c r="H44" i="18"/>
  <c r="G44" i="18"/>
  <c r="I44" i="18" s="1"/>
  <c r="F44" i="18"/>
  <c r="T43" i="18"/>
  <c r="T47" i="18" s="1"/>
  <c r="S43" i="18"/>
  <c r="S47" i="18" s="1"/>
  <c r="R43" i="18"/>
  <c r="N43" i="18"/>
  <c r="N47" i="18" s="1"/>
  <c r="M43" i="18"/>
  <c r="L43" i="18"/>
  <c r="L47" i="18" s="1"/>
  <c r="I43" i="18"/>
  <c r="J43" i="18" s="1"/>
  <c r="H43" i="18"/>
  <c r="G43" i="18"/>
  <c r="F43" i="18"/>
  <c r="T42" i="18"/>
  <c r="S42" i="18"/>
  <c r="R42" i="18"/>
  <c r="N42" i="18"/>
  <c r="M42" i="18"/>
  <c r="L42" i="18"/>
  <c r="H42" i="18"/>
  <c r="G42" i="18"/>
  <c r="I42" i="18" s="1"/>
  <c r="J42" i="18" s="1"/>
  <c r="F42" i="18"/>
  <c r="U41" i="18"/>
  <c r="R49" i="18" s="1"/>
  <c r="O41" i="18"/>
  <c r="L49" i="18" s="1"/>
  <c r="O49" i="18" s="1"/>
  <c r="I41" i="18"/>
  <c r="F49" i="18" s="1"/>
  <c r="I49" i="18" s="1"/>
  <c r="W40" i="18"/>
  <c r="U40" i="18"/>
  <c r="O40" i="18"/>
  <c r="Q40" i="18" s="1"/>
  <c r="I40" i="18"/>
  <c r="K40" i="18" s="1"/>
  <c r="U39" i="18"/>
  <c r="O39" i="18"/>
  <c r="I39" i="18"/>
  <c r="V36" i="18"/>
  <c r="U36" i="18"/>
  <c r="O36" i="18"/>
  <c r="P36" i="18" s="1"/>
  <c r="I36" i="18"/>
  <c r="J36" i="18" s="1"/>
  <c r="H35" i="18"/>
  <c r="G35" i="18"/>
  <c r="F35" i="18"/>
  <c r="T34" i="18"/>
  <c r="S34" i="18"/>
  <c r="R34" i="18"/>
  <c r="U34" i="18" s="1"/>
  <c r="N34" i="18"/>
  <c r="M34" i="18"/>
  <c r="L34" i="18"/>
  <c r="O34" i="18" s="1"/>
  <c r="H34" i="18"/>
  <c r="G34" i="18"/>
  <c r="F34" i="18"/>
  <c r="I34" i="18" s="1"/>
  <c r="T33" i="18"/>
  <c r="S33" i="18"/>
  <c r="R33" i="18"/>
  <c r="U33" i="18" s="1"/>
  <c r="O33" i="18"/>
  <c r="N33" i="18"/>
  <c r="M33" i="18"/>
  <c r="L33" i="18"/>
  <c r="H33" i="18"/>
  <c r="G33" i="18"/>
  <c r="F33" i="18"/>
  <c r="T32" i="18"/>
  <c r="S32" i="18"/>
  <c r="R32" i="18"/>
  <c r="N32" i="18"/>
  <c r="M32" i="18"/>
  <c r="L32" i="18"/>
  <c r="O32" i="18" s="1"/>
  <c r="H32" i="18"/>
  <c r="G32" i="18"/>
  <c r="F32" i="18"/>
  <c r="T31" i="18"/>
  <c r="T35" i="18" s="1"/>
  <c r="S31" i="18"/>
  <c r="S35" i="18" s="1"/>
  <c r="R31" i="18"/>
  <c r="R35" i="18" s="1"/>
  <c r="N31" i="18"/>
  <c r="N35" i="18" s="1"/>
  <c r="M31" i="18"/>
  <c r="M35" i="18" s="1"/>
  <c r="L31" i="18"/>
  <c r="L35" i="18" s="1"/>
  <c r="H31" i="18"/>
  <c r="G31" i="18"/>
  <c r="F31" i="18"/>
  <c r="T30" i="18"/>
  <c r="S30" i="18"/>
  <c r="R30" i="18"/>
  <c r="U30" i="18" s="1"/>
  <c r="N30" i="18"/>
  <c r="M30" i="18"/>
  <c r="L30" i="18"/>
  <c r="H30" i="18"/>
  <c r="G30" i="18"/>
  <c r="F30" i="18"/>
  <c r="I30" i="18" s="1"/>
  <c r="U29" i="18"/>
  <c r="R37" i="18" s="1"/>
  <c r="W37" i="18" s="1"/>
  <c r="O29" i="18"/>
  <c r="L37" i="18" s="1"/>
  <c r="I29" i="18"/>
  <c r="X29" i="18" s="1"/>
  <c r="U28" i="18"/>
  <c r="W28" i="18" s="1"/>
  <c r="Q28" i="18"/>
  <c r="O28" i="18"/>
  <c r="I28" i="18"/>
  <c r="X27" i="18"/>
  <c r="U27" i="18"/>
  <c r="O27" i="18"/>
  <c r="I27" i="18"/>
  <c r="X25" i="18"/>
  <c r="X34" i="18" l="1"/>
  <c r="O31" i="18"/>
  <c r="P31" i="18" s="1"/>
  <c r="U45" i="18"/>
  <c r="V45" i="18" s="1"/>
  <c r="I47" i="18"/>
  <c r="J47" i="18" s="1"/>
  <c r="O100" i="18"/>
  <c r="I110" i="18"/>
  <c r="X112" i="18"/>
  <c r="I31" i="18"/>
  <c r="J31" i="18" s="1"/>
  <c r="O35" i="18"/>
  <c r="P35" i="18" s="1"/>
  <c r="I33" i="18"/>
  <c r="I35" i="18"/>
  <c r="J35" i="18" s="1"/>
  <c r="X41" i="18"/>
  <c r="I96" i="18"/>
  <c r="J96" i="18" s="1"/>
  <c r="O98" i="18"/>
  <c r="O128" i="18" s="1"/>
  <c r="I100" i="18"/>
  <c r="X100" i="18" s="1"/>
  <c r="I111" i="18"/>
  <c r="U111" i="18"/>
  <c r="V111" i="18" s="1"/>
  <c r="U112" i="18"/>
  <c r="O30" i="18"/>
  <c r="P30" i="18" s="1"/>
  <c r="U32" i="18"/>
  <c r="O42" i="18"/>
  <c r="P42" i="18" s="1"/>
  <c r="R52" i="18"/>
  <c r="I98" i="18"/>
  <c r="X98" i="18" s="1"/>
  <c r="O112" i="18"/>
  <c r="J113" i="18"/>
  <c r="W49" i="18"/>
  <c r="U49" i="18"/>
  <c r="R51" i="18"/>
  <c r="I128" i="18"/>
  <c r="K128" i="18" s="1"/>
  <c r="X110" i="18"/>
  <c r="J99" i="18"/>
  <c r="I130" i="18"/>
  <c r="Q37" i="18"/>
  <c r="Q50" i="18" s="1"/>
  <c r="L51" i="18"/>
  <c r="O37" i="18"/>
  <c r="X33" i="18"/>
  <c r="J33" i="18"/>
  <c r="I64" i="18"/>
  <c r="J111" i="18"/>
  <c r="X49" i="18"/>
  <c r="X36" i="18"/>
  <c r="U37" i="18"/>
  <c r="M47" i="18"/>
  <c r="O47" i="18" s="1"/>
  <c r="O43" i="18"/>
  <c r="P43" i="18" s="1"/>
  <c r="J45" i="18"/>
  <c r="Q49" i="18"/>
  <c r="L52" i="18"/>
  <c r="U130" i="18"/>
  <c r="V99" i="18"/>
  <c r="J102" i="18"/>
  <c r="W103" i="18"/>
  <c r="W116" i="18" s="1"/>
  <c r="U103" i="18"/>
  <c r="R117" i="18"/>
  <c r="I63" i="18"/>
  <c r="K63" i="18" s="1"/>
  <c r="X28" i="18"/>
  <c r="K28" i="18"/>
  <c r="U64" i="18"/>
  <c r="V33" i="18"/>
  <c r="I32" i="18"/>
  <c r="X32" i="18" s="1"/>
  <c r="F37" i="18"/>
  <c r="U46" i="18"/>
  <c r="X48" i="18"/>
  <c r="X96" i="18"/>
  <c r="P96" i="18"/>
  <c r="V96" i="18"/>
  <c r="O97" i="18"/>
  <c r="P97" i="18" s="1"/>
  <c r="L101" i="18"/>
  <c r="O101" i="18" s="1"/>
  <c r="P101" i="18" s="1"/>
  <c r="R101" i="18"/>
  <c r="U101" i="18" s="1"/>
  <c r="V101" i="18" s="1"/>
  <c r="U97" i="18"/>
  <c r="V97" i="18" s="1"/>
  <c r="O99" i="18"/>
  <c r="X108" i="18"/>
  <c r="O109" i="18"/>
  <c r="P109" i="18" s="1"/>
  <c r="L113" i="18"/>
  <c r="O113" i="18" s="1"/>
  <c r="P113" i="18" s="1"/>
  <c r="R113" i="18"/>
  <c r="U113" i="18" s="1"/>
  <c r="V113" i="18" s="1"/>
  <c r="U109" i="18"/>
  <c r="V109" i="18" s="1"/>
  <c r="O111" i="18"/>
  <c r="P111" i="18" s="1"/>
  <c r="W50" i="18"/>
  <c r="V30" i="18"/>
  <c r="P33" i="18"/>
  <c r="U35" i="18"/>
  <c r="V35" i="18" s="1"/>
  <c r="K49" i="18"/>
  <c r="Q103" i="18"/>
  <c r="Q116" i="18" s="1"/>
  <c r="U128" i="18"/>
  <c r="W128" i="18" s="1"/>
  <c r="U31" i="18"/>
  <c r="V31" i="18" s="1"/>
  <c r="J30" i="18"/>
  <c r="X39" i="18"/>
  <c r="X40" i="18"/>
  <c r="U42" i="18"/>
  <c r="V42" i="18" s="1"/>
  <c r="U43" i="18"/>
  <c r="V43" i="18" s="1"/>
  <c r="R47" i="18"/>
  <c r="U47" i="18" s="1"/>
  <c r="V47" i="18" s="1"/>
  <c r="X44" i="18"/>
  <c r="U62" i="18"/>
  <c r="W62" i="18" s="1"/>
  <c r="O45" i="18"/>
  <c r="P45" i="18" s="1"/>
  <c r="O46" i="18"/>
  <c r="X46" i="18" s="1"/>
  <c r="F118" i="18"/>
  <c r="X118" i="18" s="1"/>
  <c r="F52" i="18"/>
  <c r="R118" i="18"/>
  <c r="X94" i="18"/>
  <c r="K94" i="18"/>
  <c r="F103" i="18"/>
  <c r="X95" i="18"/>
  <c r="I97" i="18"/>
  <c r="J101" i="18"/>
  <c r="X106" i="18"/>
  <c r="K106" i="18"/>
  <c r="F115" i="18"/>
  <c r="X107" i="18"/>
  <c r="I109" i="18"/>
  <c r="J114" i="18"/>
  <c r="X114" i="18"/>
  <c r="Q115" i="18"/>
  <c r="L117" i="18"/>
  <c r="U115" i="18"/>
  <c r="O64" i="18" l="1"/>
  <c r="Q62" i="18" s="1"/>
  <c r="X30" i="18"/>
  <c r="X113" i="18"/>
  <c r="X101" i="18"/>
  <c r="P47" i="18"/>
  <c r="X47" i="18"/>
  <c r="K115" i="18"/>
  <c r="I115" i="18"/>
  <c r="X115" i="18" s="1"/>
  <c r="J97" i="18"/>
  <c r="X97" i="18"/>
  <c r="I62" i="18"/>
  <c r="K62" i="18" s="1"/>
  <c r="AB62" i="18" s="1"/>
  <c r="X42" i="18"/>
  <c r="J50" i="18"/>
  <c r="V50" i="18"/>
  <c r="X31" i="18"/>
  <c r="O129" i="18"/>
  <c r="Q129" i="18" s="1"/>
  <c r="V116" i="18"/>
  <c r="X43" i="18"/>
  <c r="U63" i="18"/>
  <c r="W63" i="18" s="1"/>
  <c r="U129" i="18"/>
  <c r="W129" i="18" s="1"/>
  <c r="P50" i="18"/>
  <c r="J109" i="18"/>
  <c r="X109" i="18"/>
  <c r="F117" i="18"/>
  <c r="X117" i="18" s="1"/>
  <c r="X119" i="18" s="1"/>
  <c r="K103" i="18"/>
  <c r="K116" i="18" s="1"/>
  <c r="I103" i="18"/>
  <c r="X103" i="18" s="1"/>
  <c r="X52" i="18"/>
  <c r="P99" i="18"/>
  <c r="P116" i="18" s="1"/>
  <c r="O130" i="18"/>
  <c r="Q128" i="18" s="1"/>
  <c r="AB128" i="18" s="1"/>
  <c r="I129" i="18"/>
  <c r="K129" i="18" s="1"/>
  <c r="F51" i="18"/>
  <c r="X51" i="18" s="1"/>
  <c r="X53" i="18" s="1"/>
  <c r="K37" i="18"/>
  <c r="K50" i="18" s="1"/>
  <c r="I37" i="18"/>
  <c r="X37" i="18" s="1"/>
  <c r="X45" i="18"/>
  <c r="X111" i="18"/>
  <c r="X35" i="18"/>
  <c r="X99" i="18"/>
  <c r="O63" i="18"/>
  <c r="Q63" i="18" s="1"/>
  <c r="AB63" i="18" s="1"/>
  <c r="AB129" i="18" l="1"/>
  <c r="J116" i="18"/>
</calcChain>
</file>

<file path=xl/comments1.xml><?xml version="1.0" encoding="utf-8"?>
<comments xmlns="http://schemas.openxmlformats.org/spreadsheetml/2006/main">
  <authors>
    <author>tobannon</author>
  </authors>
  <commentList>
    <comment ref="K28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Q28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W28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I31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O31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U31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K40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Q40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W40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O43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U43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K94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Q94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W94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 x2
2 sense
1 ground--but not include in this 'off-board tabulation)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O97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U97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K106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Q106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W106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2 DC
2 sense
1 ground--but not include in this 'off-board tabulation)</t>
        </r>
      </text>
    </comment>
    <comment ref="I109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O109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  <comment ref="U109" authorId="0" shapeId="0">
      <text>
        <r>
          <rPr>
            <b/>
            <sz val="9"/>
            <color indexed="81"/>
            <rFont val="Tahoma"/>
            <family val="2"/>
          </rPr>
          <t>tobannon:</t>
        </r>
        <r>
          <rPr>
            <sz val="9"/>
            <color indexed="81"/>
            <rFont val="Tahoma"/>
            <family val="2"/>
          </rPr>
          <t xml:space="preserve">
GBTx has 4-bit address bus.
Assuming one i2C per DCB with 6 GBTx devices</t>
        </r>
      </text>
    </comment>
  </commentList>
</comments>
</file>

<file path=xl/sharedStrings.xml><?xml version="1.0" encoding="utf-8"?>
<sst xmlns="http://schemas.openxmlformats.org/spreadsheetml/2006/main" count="18169" uniqueCount="1042">
  <si>
    <t>A10</t>
  </si>
  <si>
    <t>DCB slot</t>
  </si>
  <si>
    <t>Signal ID</t>
  </si>
  <si>
    <t>GBTx ID</t>
  </si>
  <si>
    <t>B10</t>
  </si>
  <si>
    <t>C10</t>
  </si>
  <si>
    <t>D10</t>
  </si>
  <si>
    <t>E10</t>
  </si>
  <si>
    <t>F10</t>
  </si>
  <si>
    <t>G10</t>
  </si>
  <si>
    <t>H10</t>
  </si>
  <si>
    <t>I10</t>
  </si>
  <si>
    <t>J10</t>
  </si>
  <si>
    <t>S</t>
  </si>
  <si>
    <t>X</t>
  </si>
  <si>
    <t>B</t>
  </si>
  <si>
    <t>F</t>
  </si>
  <si>
    <t>M</t>
  </si>
  <si>
    <t>C</t>
  </si>
  <si>
    <t>ref</t>
  </si>
  <si>
    <t>A11</t>
  </si>
  <si>
    <t>B11</t>
  </si>
  <si>
    <t>C11</t>
  </si>
  <si>
    <t>D11</t>
  </si>
  <si>
    <t>E11</t>
  </si>
  <si>
    <t>F11</t>
  </si>
  <si>
    <t>G11</t>
  </si>
  <si>
    <t>H11</t>
  </si>
  <si>
    <t>I11</t>
  </si>
  <si>
    <t>J11</t>
  </si>
  <si>
    <t>A12</t>
  </si>
  <si>
    <t>B12</t>
  </si>
  <si>
    <t>C12</t>
  </si>
  <si>
    <t>D12</t>
  </si>
  <si>
    <t>E12</t>
  </si>
  <si>
    <t>F12</t>
  </si>
  <si>
    <t>G12</t>
  </si>
  <si>
    <t>H12</t>
  </si>
  <si>
    <t>I12</t>
  </si>
  <si>
    <t>J12</t>
  </si>
  <si>
    <t>A13</t>
  </si>
  <si>
    <t>B13</t>
  </si>
  <si>
    <t>C13</t>
  </si>
  <si>
    <t>D13</t>
  </si>
  <si>
    <t>E13</t>
  </si>
  <si>
    <t>F13</t>
  </si>
  <si>
    <t>G13</t>
  </si>
  <si>
    <t>H13</t>
  </si>
  <si>
    <t>I13</t>
  </si>
  <si>
    <t>J13</t>
  </si>
  <si>
    <t>A14</t>
  </si>
  <si>
    <t>B14</t>
  </si>
  <si>
    <t>C14</t>
  </si>
  <si>
    <t>D14</t>
  </si>
  <si>
    <t>E14</t>
  </si>
  <si>
    <t>F14</t>
  </si>
  <si>
    <t>G14</t>
  </si>
  <si>
    <t>H14</t>
  </si>
  <si>
    <t>I14</t>
  </si>
  <si>
    <t>J14</t>
  </si>
  <si>
    <t>A15</t>
  </si>
  <si>
    <t>B15</t>
  </si>
  <si>
    <t>C15</t>
  </si>
  <si>
    <t>D15</t>
  </si>
  <si>
    <t>E15</t>
  </si>
  <si>
    <t>F15</t>
  </si>
  <si>
    <t>G15</t>
  </si>
  <si>
    <t>H15</t>
  </si>
  <si>
    <t>I15</t>
  </si>
  <si>
    <t>J15</t>
  </si>
  <si>
    <t>A16</t>
  </si>
  <si>
    <t>B16</t>
  </si>
  <si>
    <t>C16</t>
  </si>
  <si>
    <t>D16</t>
  </si>
  <si>
    <t>E16</t>
  </si>
  <si>
    <t>F16</t>
  </si>
  <si>
    <t>G16</t>
  </si>
  <si>
    <t>H16</t>
  </si>
  <si>
    <t>I16</t>
  </si>
  <si>
    <t>J16</t>
  </si>
  <si>
    <t>A17</t>
  </si>
  <si>
    <t>B17</t>
  </si>
  <si>
    <t>C17</t>
  </si>
  <si>
    <t>D17</t>
  </si>
  <si>
    <t>E17</t>
  </si>
  <si>
    <t>F17</t>
  </si>
  <si>
    <t>G17</t>
  </si>
  <si>
    <t>H17</t>
  </si>
  <si>
    <t>I17</t>
  </si>
  <si>
    <t>J17</t>
  </si>
  <si>
    <t>A18</t>
  </si>
  <si>
    <t>B18</t>
  </si>
  <si>
    <t>C18</t>
  </si>
  <si>
    <t>D18</t>
  </si>
  <si>
    <t>E18</t>
  </si>
  <si>
    <t>F18</t>
  </si>
  <si>
    <t>G18</t>
  </si>
  <si>
    <t>H18</t>
  </si>
  <si>
    <t>I18</t>
  </si>
  <si>
    <t>J18</t>
  </si>
  <si>
    <t>A19</t>
  </si>
  <si>
    <t>B19</t>
  </si>
  <si>
    <t>C19</t>
  </si>
  <si>
    <t>D19</t>
  </si>
  <si>
    <t>E19</t>
  </si>
  <si>
    <t>F19</t>
  </si>
  <si>
    <t>G19</t>
  </si>
  <si>
    <t>H19</t>
  </si>
  <si>
    <t>I19</t>
  </si>
  <si>
    <t>J19</t>
  </si>
  <si>
    <t>A20</t>
  </si>
  <si>
    <t>B20</t>
  </si>
  <si>
    <t>C20</t>
  </si>
  <si>
    <t>D20</t>
  </si>
  <si>
    <t>E20</t>
  </si>
  <si>
    <t>F20</t>
  </si>
  <si>
    <t>G20</t>
  </si>
  <si>
    <t>H20</t>
  </si>
  <si>
    <t>I20</t>
  </si>
  <si>
    <t>J20</t>
  </si>
  <si>
    <t>A21</t>
  </si>
  <si>
    <t>B21</t>
  </si>
  <si>
    <t>C21</t>
  </si>
  <si>
    <t>D21</t>
  </si>
  <si>
    <t>E21</t>
  </si>
  <si>
    <t>F21</t>
  </si>
  <si>
    <t>G21</t>
  </si>
  <si>
    <t>H21</t>
  </si>
  <si>
    <t>I21</t>
  </si>
  <si>
    <t>J21</t>
  </si>
  <si>
    <t>A22</t>
  </si>
  <si>
    <t>B22</t>
  </si>
  <si>
    <t>C22</t>
  </si>
  <si>
    <t>D22</t>
  </si>
  <si>
    <t>E22</t>
  </si>
  <si>
    <t>F22</t>
  </si>
  <si>
    <t>G22</t>
  </si>
  <si>
    <t>H22</t>
  </si>
  <si>
    <t>I22</t>
  </si>
  <si>
    <t>J22</t>
  </si>
  <si>
    <t>A23</t>
  </si>
  <si>
    <t>B23</t>
  </si>
  <si>
    <t>C23</t>
  </si>
  <si>
    <t>D23</t>
  </si>
  <si>
    <t>E23</t>
  </si>
  <si>
    <t>F23</t>
  </si>
  <si>
    <t>G23</t>
  </si>
  <si>
    <t>H23</t>
  </si>
  <si>
    <t>I23</t>
  </si>
  <si>
    <t>J23</t>
  </si>
  <si>
    <t>A24</t>
  </si>
  <si>
    <t>B24</t>
  </si>
  <si>
    <t>C24</t>
  </si>
  <si>
    <t>D24</t>
  </si>
  <si>
    <t>E24</t>
  </si>
  <si>
    <t>F24</t>
  </si>
  <si>
    <t>G24</t>
  </si>
  <si>
    <t>H24</t>
  </si>
  <si>
    <t>I24</t>
  </si>
  <si>
    <t>J24</t>
  </si>
  <si>
    <t>A25</t>
  </si>
  <si>
    <t>B25</t>
  </si>
  <si>
    <t>C25</t>
  </si>
  <si>
    <t>D25</t>
  </si>
  <si>
    <t>E25</t>
  </si>
  <si>
    <t>F25</t>
  </si>
  <si>
    <t>G25</t>
  </si>
  <si>
    <t>H25</t>
  </si>
  <si>
    <t>I25</t>
  </si>
  <si>
    <t>J25</t>
  </si>
  <si>
    <t>A26</t>
  </si>
  <si>
    <t>B26</t>
  </si>
  <si>
    <t>C26</t>
  </si>
  <si>
    <t>D26</t>
  </si>
  <si>
    <t>E26</t>
  </si>
  <si>
    <t>F26</t>
  </si>
  <si>
    <t>G26</t>
  </si>
  <si>
    <t>H26</t>
  </si>
  <si>
    <t>I26</t>
  </si>
  <si>
    <t>J26</t>
  </si>
  <si>
    <t>A27</t>
  </si>
  <si>
    <t>B27</t>
  </si>
  <si>
    <t>C27</t>
  </si>
  <si>
    <t>D27</t>
  </si>
  <si>
    <t>E27</t>
  </si>
  <si>
    <t>F27</t>
  </si>
  <si>
    <t>G27</t>
  </si>
  <si>
    <t>H27</t>
  </si>
  <si>
    <t>I27</t>
  </si>
  <si>
    <t>J27</t>
  </si>
  <si>
    <t>A28</t>
  </si>
  <si>
    <t>B28</t>
  </si>
  <si>
    <t>C28</t>
  </si>
  <si>
    <t>D28</t>
  </si>
  <si>
    <t>E28</t>
  </si>
  <si>
    <t>F28</t>
  </si>
  <si>
    <t>G28</t>
  </si>
  <si>
    <t>H28</t>
  </si>
  <si>
    <t>I28</t>
  </si>
  <si>
    <t>J28</t>
  </si>
  <si>
    <t>A29</t>
  </si>
  <si>
    <t>B29</t>
  </si>
  <si>
    <t>C29</t>
  </si>
  <si>
    <t>D29</t>
  </si>
  <si>
    <t>E29</t>
  </si>
  <si>
    <t>F29</t>
  </si>
  <si>
    <t>G29</t>
  </si>
  <si>
    <t>H29</t>
  </si>
  <si>
    <t>I29</t>
  </si>
  <si>
    <t>J29</t>
  </si>
  <si>
    <t>A30</t>
  </si>
  <si>
    <t>B30</t>
  </si>
  <si>
    <t>C30</t>
  </si>
  <si>
    <t>D30</t>
  </si>
  <si>
    <t>E30</t>
  </si>
  <si>
    <t>F30</t>
  </si>
  <si>
    <t>G30</t>
  </si>
  <si>
    <t>H30</t>
  </si>
  <si>
    <t>I30</t>
  </si>
  <si>
    <t>J30</t>
  </si>
  <si>
    <t>A31</t>
  </si>
  <si>
    <t>B31</t>
  </si>
  <si>
    <t>C31</t>
  </si>
  <si>
    <t>D31</t>
  </si>
  <si>
    <t>E31</t>
  </si>
  <si>
    <t>F31</t>
  </si>
  <si>
    <t>G31</t>
  </si>
  <si>
    <t>H31</t>
  </si>
  <si>
    <t>I31</t>
  </si>
  <si>
    <t>J31</t>
  </si>
  <si>
    <t>A32</t>
  </si>
  <si>
    <t>B32</t>
  </si>
  <si>
    <t>C32</t>
  </si>
  <si>
    <t>D32</t>
  </si>
  <si>
    <t>E32</t>
  </si>
  <si>
    <t>F32</t>
  </si>
  <si>
    <t>G32</t>
  </si>
  <si>
    <t>H32</t>
  </si>
  <si>
    <t>I32</t>
  </si>
  <si>
    <t>J32</t>
  </si>
  <si>
    <t>A33</t>
  </si>
  <si>
    <t>B33</t>
  </si>
  <si>
    <t>C33</t>
  </si>
  <si>
    <t>D33</t>
  </si>
  <si>
    <t>E33</t>
  </si>
  <si>
    <t>F33</t>
  </si>
  <si>
    <t>G33</t>
  </si>
  <si>
    <t>H33</t>
  </si>
  <si>
    <t>I33</t>
  </si>
  <si>
    <t>J33</t>
  </si>
  <si>
    <t>A34</t>
  </si>
  <si>
    <t>B34</t>
  </si>
  <si>
    <t>C34</t>
  </si>
  <si>
    <t>D34</t>
  </si>
  <si>
    <t>E34</t>
  </si>
  <si>
    <t>F34</t>
  </si>
  <si>
    <t>G34</t>
  </si>
  <si>
    <t>H34</t>
  </si>
  <si>
    <t>I34</t>
  </si>
  <si>
    <t>J34</t>
  </si>
  <si>
    <t>A35</t>
  </si>
  <si>
    <t>B35</t>
  </si>
  <si>
    <t>C35</t>
  </si>
  <si>
    <t>D35</t>
  </si>
  <si>
    <t>E35</t>
  </si>
  <si>
    <t>F35</t>
  </si>
  <si>
    <t>G35</t>
  </si>
  <si>
    <t>H35</t>
  </si>
  <si>
    <t>I35</t>
  </si>
  <si>
    <t>J35</t>
  </si>
  <si>
    <t>A36</t>
  </si>
  <si>
    <t>B36</t>
  </si>
  <si>
    <t>C36</t>
  </si>
  <si>
    <t>D36</t>
  </si>
  <si>
    <t>E36</t>
  </si>
  <si>
    <t>F36</t>
  </si>
  <si>
    <t>G36</t>
  </si>
  <si>
    <t>H36</t>
  </si>
  <si>
    <t>I36</t>
  </si>
  <si>
    <t>J36</t>
  </si>
  <si>
    <t>A37</t>
  </si>
  <si>
    <t>B37</t>
  </si>
  <si>
    <t>C37</t>
  </si>
  <si>
    <t>D37</t>
  </si>
  <si>
    <t>E37</t>
  </si>
  <si>
    <t>F37</t>
  </si>
  <si>
    <t>G37</t>
  </si>
  <si>
    <t>H37</t>
  </si>
  <si>
    <t>I37</t>
  </si>
  <si>
    <t>J37</t>
  </si>
  <si>
    <t>A38</t>
  </si>
  <si>
    <t>B38</t>
  </si>
  <si>
    <t>C38</t>
  </si>
  <si>
    <t>D38</t>
  </si>
  <si>
    <t>E38</t>
  </si>
  <si>
    <t>F38</t>
  </si>
  <si>
    <t>G38</t>
  </si>
  <si>
    <t>H38</t>
  </si>
  <si>
    <t>I38</t>
  </si>
  <si>
    <t>J38</t>
  </si>
  <si>
    <t>A39</t>
  </si>
  <si>
    <t>B39</t>
  </si>
  <si>
    <t>C39</t>
  </si>
  <si>
    <t>D39</t>
  </si>
  <si>
    <t>E39</t>
  </si>
  <si>
    <t>F39</t>
  </si>
  <si>
    <t>G39</t>
  </si>
  <si>
    <t>H39</t>
  </si>
  <si>
    <t>I39</t>
  </si>
  <si>
    <t>J39</t>
  </si>
  <si>
    <t>A40</t>
  </si>
  <si>
    <t>B40</t>
  </si>
  <si>
    <t>C40</t>
  </si>
  <si>
    <t>D40</t>
  </si>
  <si>
    <t>E40</t>
  </si>
  <si>
    <t>F40</t>
  </si>
  <si>
    <t>G40</t>
  </si>
  <si>
    <t>H40</t>
  </si>
  <si>
    <t>I40</t>
  </si>
  <si>
    <t>J40</t>
  </si>
  <si>
    <t>P2_EAST_THERMISTOR_P</t>
  </si>
  <si>
    <t>P2_EAST_LV_SOURCE</t>
  </si>
  <si>
    <t>P2_EAST_I2C_SCL_P</t>
  </si>
  <si>
    <t>P2_EAST_I2C_SDA_N</t>
  </si>
  <si>
    <t>P2_EAST_TFC_N</t>
  </si>
  <si>
    <t>P2_EAST_RESET_P</t>
  </si>
  <si>
    <t>P3_LV_SENSE_GND</t>
  </si>
  <si>
    <t>P3_I2C_SCL_P</t>
  </si>
  <si>
    <t>P3_LV_SENSE_P</t>
  </si>
  <si>
    <t>P3_LV_SOURCE</t>
  </si>
  <si>
    <t>P4_LV_RETURN</t>
  </si>
  <si>
    <t>P4_LV_SENSE_GND</t>
  </si>
  <si>
    <t>P4_LV_SENSE_P</t>
  </si>
  <si>
    <t>P4_LV_SENSE_N</t>
  </si>
  <si>
    <t>P4_LV_SOURCE</t>
  </si>
  <si>
    <t>P4_RESET_P</t>
  </si>
  <si>
    <t>P2_WEST_LV_SOURCE</t>
  </si>
  <si>
    <t>A01</t>
  </si>
  <si>
    <t>B01</t>
  </si>
  <si>
    <t>C01</t>
  </si>
  <si>
    <t>D01</t>
  </si>
  <si>
    <t>E01</t>
  </si>
  <si>
    <t>F01</t>
  </si>
  <si>
    <t>G01</t>
  </si>
  <si>
    <t>H01</t>
  </si>
  <si>
    <t>I01</t>
  </si>
  <si>
    <t>J01</t>
  </si>
  <si>
    <t>A02</t>
  </si>
  <si>
    <t>B02</t>
  </si>
  <si>
    <t>C02</t>
  </si>
  <si>
    <t>D02</t>
  </si>
  <si>
    <t>E02</t>
  </si>
  <si>
    <t>F02</t>
  </si>
  <si>
    <t>G02</t>
  </si>
  <si>
    <t>H02</t>
  </si>
  <si>
    <t>I02</t>
  </si>
  <si>
    <t>J02</t>
  </si>
  <si>
    <t>A03</t>
  </si>
  <si>
    <t>B03</t>
  </si>
  <si>
    <t>C03</t>
  </si>
  <si>
    <t>D03</t>
  </si>
  <si>
    <t>E03</t>
  </si>
  <si>
    <t>F03</t>
  </si>
  <si>
    <t>G03</t>
  </si>
  <si>
    <t>H03</t>
  </si>
  <si>
    <t>I03</t>
  </si>
  <si>
    <t>J03</t>
  </si>
  <si>
    <t>A04</t>
  </si>
  <si>
    <t>B04</t>
  </si>
  <si>
    <t>C04</t>
  </si>
  <si>
    <t>D04</t>
  </si>
  <si>
    <t>E04</t>
  </si>
  <si>
    <t>F04</t>
  </si>
  <si>
    <t>G04</t>
  </si>
  <si>
    <t>H04</t>
  </si>
  <si>
    <t>I04</t>
  </si>
  <si>
    <t>J04</t>
  </si>
  <si>
    <t>A05</t>
  </si>
  <si>
    <t>B05</t>
  </si>
  <si>
    <t>C05</t>
  </si>
  <si>
    <t>D05</t>
  </si>
  <si>
    <t>E05</t>
  </si>
  <si>
    <t>F05</t>
  </si>
  <si>
    <t>G05</t>
  </si>
  <si>
    <t>H05</t>
  </si>
  <si>
    <t>I05</t>
  </si>
  <si>
    <t>J05</t>
  </si>
  <si>
    <t>A06</t>
  </si>
  <si>
    <t>B06</t>
  </si>
  <si>
    <t>C06</t>
  </si>
  <si>
    <t>D06</t>
  </si>
  <si>
    <t>E06</t>
  </si>
  <si>
    <t>F06</t>
  </si>
  <si>
    <t>G06</t>
  </si>
  <si>
    <t>H06</t>
  </si>
  <si>
    <t>I06</t>
  </si>
  <si>
    <t>J06</t>
  </si>
  <si>
    <t>A07</t>
  </si>
  <si>
    <t>B07</t>
  </si>
  <si>
    <t>C07</t>
  </si>
  <si>
    <t>D07</t>
  </si>
  <si>
    <t>E07</t>
  </si>
  <si>
    <t>F07</t>
  </si>
  <si>
    <t>G07</t>
  </si>
  <si>
    <t>H07</t>
  </si>
  <si>
    <t>I07</t>
  </si>
  <si>
    <t>J07</t>
  </si>
  <si>
    <t>A08</t>
  </si>
  <si>
    <t>B08</t>
  </si>
  <si>
    <t>C08</t>
  </si>
  <si>
    <t>D08</t>
  </si>
  <si>
    <t>E08</t>
  </si>
  <si>
    <t>F08</t>
  </si>
  <si>
    <t>G08</t>
  </si>
  <si>
    <t>H08</t>
  </si>
  <si>
    <t>I08</t>
  </si>
  <si>
    <t>J08</t>
  </si>
  <si>
    <t>A09</t>
  </si>
  <si>
    <t>B09</t>
  </si>
  <si>
    <t>C09</t>
  </si>
  <si>
    <t>D09</t>
  </si>
  <si>
    <t>E09</t>
  </si>
  <si>
    <t>F09</t>
  </si>
  <si>
    <t>G09</t>
  </si>
  <si>
    <t>H09</t>
  </si>
  <si>
    <t>I09</t>
  </si>
  <si>
    <t>J09</t>
  </si>
  <si>
    <t>P2_EAST_THERMISTOR_N</t>
  </si>
  <si>
    <t>P2_EAST_I2C_SCL_N</t>
  </si>
  <si>
    <t>P2_EAST_I2C_SDA_P</t>
  </si>
  <si>
    <t>P2_EAST_TFC_P</t>
  </si>
  <si>
    <t>P2_EAST_RESET_N</t>
  </si>
  <si>
    <t>P3_LV_RETURN</t>
  </si>
  <si>
    <t>P3_I2C_SCL_N</t>
  </si>
  <si>
    <t>P3_LV_SENSE_N</t>
  </si>
  <si>
    <t>P3_RESET_P</t>
  </si>
  <si>
    <t>P3_RESET_N</t>
  </si>
  <si>
    <t>P4_THERMISTOR_P</t>
  </si>
  <si>
    <t>P4_I2C_SDA_N</t>
  </si>
  <si>
    <t>P4_RESET_N</t>
  </si>
  <si>
    <t>P2_WEST_THERMISTOR_N</t>
  </si>
  <si>
    <t>P2_WEST_THERMISTOR_P</t>
  </si>
  <si>
    <t>Pigtail pin</t>
  </si>
  <si>
    <t>Top/Bottom
SEARAY</t>
  </si>
  <si>
    <t>SEARAY
pin</t>
  </si>
  <si>
    <t>1.5 V</t>
  </si>
  <si>
    <t>2.5 V</t>
  </si>
  <si>
    <t>P2_EAST_CLK_N</t>
  </si>
  <si>
    <t>P3_I2C_SDA_P</t>
  </si>
  <si>
    <t>P3_TFC_P</t>
  </si>
  <si>
    <t>P4_THERMISTOR_N</t>
  </si>
  <si>
    <t>P4_I2C_SDA_P</t>
  </si>
  <si>
    <t>P2_WEST_CLK_P</t>
  </si>
  <si>
    <t>P2_WEST_CLK_N</t>
  </si>
  <si>
    <t>UNUSED</t>
  </si>
  <si>
    <t>P2_EAST_CLK_P</t>
  </si>
  <si>
    <t>P3_CLK_P</t>
  </si>
  <si>
    <t>P3_THERMISTOR_N</t>
  </si>
  <si>
    <t>P3_I2C_SDA_N</t>
  </si>
  <si>
    <t>P3_TFC_N</t>
  </si>
  <si>
    <t>P4_CLK_N</t>
  </si>
  <si>
    <t>P4_I2C_SCL_P</t>
  </si>
  <si>
    <t>P4_TFC_P</t>
  </si>
  <si>
    <t>P4_TFC_N</t>
  </si>
  <si>
    <t>P2_EAST_LV_RETURN</t>
  </si>
  <si>
    <t>P3_CLK_N</t>
  </si>
  <si>
    <t>P3_THERMISTOR_P</t>
  </si>
  <si>
    <t>P4_CLK_P</t>
  </si>
  <si>
    <t>P4_I2C_SCL_N</t>
  </si>
  <si>
    <t>P2_WEST_LV_SENSE_N</t>
  </si>
  <si>
    <t>P2_WEST_LV_SENSE_P</t>
  </si>
  <si>
    <t>P2_EAST_LV_SENSE_GND</t>
  </si>
  <si>
    <t>P2_EAST_LV_SENSE_P</t>
  </si>
  <si>
    <t>P2_EAST_LV_SENSE_N</t>
  </si>
  <si>
    <t>P1_EAST_LV_RETURN</t>
  </si>
  <si>
    <t>P1_WEST_LV_RETURN</t>
  </si>
  <si>
    <t>P1_WEST_LV_SOURCE</t>
  </si>
  <si>
    <t>P2_WEST_I2C_SDA_P</t>
  </si>
  <si>
    <t>P2_WEST_I2C_SDA_N</t>
  </si>
  <si>
    <t>P2_WEST_LV_SENSE_GND</t>
  </si>
  <si>
    <t>P2_WEST_RESET_P</t>
  </si>
  <si>
    <t>P2_WEST_RESET_N</t>
  </si>
  <si>
    <t>P1_EAST_LV_SOURCE</t>
  </si>
  <si>
    <t>P1_EAST_TFC_N</t>
  </si>
  <si>
    <t>P1_WEST_I2C_SCL_P</t>
  </si>
  <si>
    <t>P1_WEST_CLK_N</t>
  </si>
  <si>
    <t>P2_WEST_I2C_SCL_P</t>
  </si>
  <si>
    <t>P2_WEST_I2C_SCL_N</t>
  </si>
  <si>
    <t>P2_WEST_LV_RETURN</t>
  </si>
  <si>
    <t>P2_WEST_TFC_N</t>
  </si>
  <si>
    <t>P1_EAST_I2C_SCL_N</t>
  </si>
  <si>
    <t>P1_EAST_I2C_SDA_P</t>
  </si>
  <si>
    <t>P1_EAST_TFC_P</t>
  </si>
  <si>
    <t>P1_WEST_I2C_SCL_N</t>
  </si>
  <si>
    <t>P1_WEST_CLK_P</t>
  </si>
  <si>
    <t>P2_WEST_TFC_P</t>
  </si>
  <si>
    <t>P1_EAST_THERMISTOR_P</t>
  </si>
  <si>
    <t>P1_EAST_CLK_P</t>
  </si>
  <si>
    <t>P1_EAST_I2C_SCL_P</t>
  </si>
  <si>
    <t>P1_EAST_I2C_SDA_N</t>
  </si>
  <si>
    <t>P1_EAST_RESET_P</t>
  </si>
  <si>
    <t>P1_WEST_RESET_N</t>
  </si>
  <si>
    <t>P1_WEST_TFC_N</t>
  </si>
  <si>
    <t>P1_WEST_LV_SENSE_P</t>
  </si>
  <si>
    <t>P1_WEST_I2C_SDA_P</t>
  </si>
  <si>
    <t>P1_WEST_THERMISTOR_P</t>
  </si>
  <si>
    <t>P1_EAST_THERMISTOR_N</t>
  </si>
  <si>
    <t>P1_EAST_CLK_N</t>
  </si>
  <si>
    <t>P1_EAST_LV_SENSE_GND</t>
  </si>
  <si>
    <t>P1_EAST_LV_SENSE_P</t>
  </si>
  <si>
    <t>P1_EAST_LV_SENSE_N</t>
  </si>
  <si>
    <t>P1_EAST_RESET_N</t>
  </si>
  <si>
    <t>P1_WEST_RESET_P</t>
  </si>
  <si>
    <t>P1_WEST_TFC_P</t>
  </si>
  <si>
    <t>P1_WEST_LV_SENSE_GND</t>
  </si>
  <si>
    <t>P1_WEST_LV_SENSE_N</t>
  </si>
  <si>
    <t>P1_WEST_I2C_SDA_N</t>
  </si>
  <si>
    <t>P1_WEST_THERMISTOR_N</t>
  </si>
  <si>
    <t>P2_ASIC_7_CH3_N</t>
  </si>
  <si>
    <t>P2_ASIC_7_CH2_N</t>
  </si>
  <si>
    <t>P2_ASIC_7_CH1_N</t>
  </si>
  <si>
    <t>P2_ASIC_7_CH0_N</t>
  </si>
  <si>
    <t>P2_ASIC_4_CH2_N</t>
  </si>
  <si>
    <t>P3_ASIC_3_CH1_P</t>
  </si>
  <si>
    <t>P3_ASIC_3_CH1_N</t>
  </si>
  <si>
    <t>P3_ASIC_3_CH0_P</t>
  </si>
  <si>
    <t>P3_ASIC_3_CH0_N</t>
  </si>
  <si>
    <t>P4_ASIC_0_CH2_P</t>
  </si>
  <si>
    <t>P4_ASIC_0_CH1_P</t>
  </si>
  <si>
    <t>P4_ASIC_0_CH0_P</t>
  </si>
  <si>
    <t>P2_ASIC_3_CH1_P</t>
  </si>
  <si>
    <t>P2_ASIC_3_CH1_N</t>
  </si>
  <si>
    <t>P2_ASIC_3_CH0_P</t>
  </si>
  <si>
    <t>P2_ASIC_3_CH0_N</t>
  </si>
  <si>
    <t>P2_ASIC_7_CH3_P</t>
  </si>
  <si>
    <t>P2_ASIC_7_CH2_P</t>
  </si>
  <si>
    <t>P2_ASIC_7_CH1_P</t>
  </si>
  <si>
    <t>P2_ASIC_7_CH0_P</t>
  </si>
  <si>
    <t>P2_ASIC_4_CH2_P</t>
  </si>
  <si>
    <t>P3_ASIC_2_CH2_N</t>
  </si>
  <si>
    <t>P3_ASIC_2_CH1_N</t>
  </si>
  <si>
    <t>P3_ASIC_3_CH2_N</t>
  </si>
  <si>
    <t>P3_ASIC_0_CH2_N</t>
  </si>
  <si>
    <t>P3_ASIC_0_CH2_P</t>
  </si>
  <si>
    <t>P4_ASIC_3_CH2_N</t>
  </si>
  <si>
    <t>P4_ASIC_3_CH1_N</t>
  </si>
  <si>
    <t>P4_ASIC_3_CH0_N</t>
  </si>
  <si>
    <t>P4_ASIC_0_CH2_N</t>
  </si>
  <si>
    <t>P4_ASIC_0_CH1_N</t>
  </si>
  <si>
    <t>P4_ASIC_0_CH0_N</t>
  </si>
  <si>
    <t>P2_ASIC_3_CH2_P</t>
  </si>
  <si>
    <t>P2_ASIC_3_CH2_N</t>
  </si>
  <si>
    <t>P2_ASIC_6_CH2_P</t>
  </si>
  <si>
    <t>P2_ASIC_6_CH2_N</t>
  </si>
  <si>
    <t>P2_ASIC_6_CH3_P</t>
  </si>
  <si>
    <t>P2_ASIC_6_CH3_N</t>
  </si>
  <si>
    <t>P2_ASIC_5_CH2_P</t>
  </si>
  <si>
    <t>P2_ASIC_5_CH3_N</t>
  </si>
  <si>
    <t>P2_ASIC_4_CH0_N</t>
  </si>
  <si>
    <t>P2_ASIC_4_CH1_N</t>
  </si>
  <si>
    <t>P3_ASIC_2_CH2_P</t>
  </si>
  <si>
    <t>P3_ASIC_2_CH1_P</t>
  </si>
  <si>
    <t>P3_ASIC_3_CH2_P</t>
  </si>
  <si>
    <t>P3_ASIC_0_CH1_P</t>
  </si>
  <si>
    <t>P3_ASIC_0_CH0_P</t>
  </si>
  <si>
    <t>P3_ASIC_1_CH1_P</t>
  </si>
  <si>
    <t>P3_ASIC_1_CH0_P</t>
  </si>
  <si>
    <t>P4_ASIC_3_CH2_P</t>
  </si>
  <si>
    <t>P4_ASIC_3_CH1_P</t>
  </si>
  <si>
    <t>P4_ASIC_3_CH0_P</t>
  </si>
  <si>
    <t>P4_ASIC_1_CH1_P</t>
  </si>
  <si>
    <t>P4_ASIC_1_CH1_N</t>
  </si>
  <si>
    <t>P4_ASIC_1_CH0_N</t>
  </si>
  <si>
    <t>P4_ASIC_1_CH0_P</t>
  </si>
  <si>
    <t>P2_ASIC_3_CH3_P</t>
  </si>
  <si>
    <t>P2_ASIC_2_CH3_P</t>
  </si>
  <si>
    <t>P2_ASIC_2_CH3_N</t>
  </si>
  <si>
    <t>P2_ASIC_6_CH1_P</t>
  </si>
  <si>
    <t>P2_ASIC_6_CH1_N</t>
  </si>
  <si>
    <t>P2_ASIC_6_CH0_N</t>
  </si>
  <si>
    <t>P2_ASIC_6_CH0_P</t>
  </si>
  <si>
    <t>P2_ASIC_5_CH2_N</t>
  </si>
  <si>
    <t>P2_ASIC_5_CH3_P</t>
  </si>
  <si>
    <t>P2_ASIC_4_CH0_P</t>
  </si>
  <si>
    <t>P2_ASIC_4_CH1_P</t>
  </si>
  <si>
    <t>P3_ASIC_2_CH0_N</t>
  </si>
  <si>
    <t>P3_ASIC_0_CH1_N</t>
  </si>
  <si>
    <t>P3_ASIC_0_CH0_N</t>
  </si>
  <si>
    <t>P3_ASIC_1_CH1_N</t>
  </si>
  <si>
    <t>P3_ASIC_1_CH0_N</t>
  </si>
  <si>
    <t>P4_ASIC_2_CH2_N</t>
  </si>
  <si>
    <t>P4_ASIC_2_CH1_N</t>
  </si>
  <si>
    <t>P4_ASIC_2_CH0_N</t>
  </si>
  <si>
    <t>P4_ASIC_1_CH2_P</t>
  </si>
  <si>
    <t>P4_ASIC_1_CH2_N</t>
  </si>
  <si>
    <t>P2_ASIC_3_CH3_N</t>
  </si>
  <si>
    <t>P2_ASIC_2_CH1_P</t>
  </si>
  <si>
    <t>P2_ASIC_2_CH1_N</t>
  </si>
  <si>
    <t>P2_ASIC_2_CH0_P</t>
  </si>
  <si>
    <t>P2_ASIC_2_CH0_N</t>
  </si>
  <si>
    <t>P2_ASIC_5_CH1_P</t>
  </si>
  <si>
    <t>P2_ASIC_5_CH0_P</t>
  </si>
  <si>
    <t>P2_ASIC_4_CH3_N</t>
  </si>
  <si>
    <t>P3_ASIC_2_CH0_P</t>
  </si>
  <si>
    <t>P3_ASIC_1_CH2_P</t>
  </si>
  <si>
    <t>P4_ASIC_2_CH2_P</t>
  </si>
  <si>
    <t>P4_ASIC_2_CH1_P</t>
  </si>
  <si>
    <t>P4_ASIC_2_CH0_P</t>
  </si>
  <si>
    <t>P2_ASIC_2_CH2_P</t>
  </si>
  <si>
    <t>P2_ASIC_2_CH2_N</t>
  </si>
  <si>
    <t>P1_ASIC_4_CH4_P</t>
  </si>
  <si>
    <t>P1_ASIC_4_CH4_N</t>
  </si>
  <si>
    <t>P1_ASIC_5_CH4_P</t>
  </si>
  <si>
    <t>P1_ASIC_5_CH4_N</t>
  </si>
  <si>
    <t>P2_ASIC_5_CH1_N</t>
  </si>
  <si>
    <t>P2_ASIC_5_CH0_N</t>
  </si>
  <si>
    <t>P2_ASIC_4_CH3_P</t>
  </si>
  <si>
    <t>P3_ASIC_1_CH2_N</t>
  </si>
  <si>
    <t>P2_ASIC_0_CH2_N</t>
  </si>
  <si>
    <t>P2_ASIC_0_CH2_P</t>
  </si>
  <si>
    <t>P1_ASIC_4_CH3_P</t>
  </si>
  <si>
    <t>P1_ASIC_4_CH3_N</t>
  </si>
  <si>
    <t>P1_ASIC_4_CH0_N</t>
  </si>
  <si>
    <t>P1_ASIC_4_CH0_P</t>
  </si>
  <si>
    <t>P1_ASIC_6_CH0_N</t>
  </si>
  <si>
    <t>P1_ASIC_7_CH2_N</t>
  </si>
  <si>
    <t>P1_ASIC_6_CH1_N</t>
  </si>
  <si>
    <t>P1_ASIC_6_CH4_N</t>
  </si>
  <si>
    <t>P1_ASIC_6_CH2_N</t>
  </si>
  <si>
    <t>P1_ASIC_1_CH3_N</t>
  </si>
  <si>
    <t>P1_ASIC_1_CH3_P</t>
  </si>
  <si>
    <t>P1_ASIC_1_CH0_N</t>
  </si>
  <si>
    <t>P1_ASIC_0_CH1_N</t>
  </si>
  <si>
    <t>P1_ASIC_1_CH2_N</t>
  </si>
  <si>
    <t>P1_ASIC_0_CH2_P</t>
  </si>
  <si>
    <t>P1_ASIC_2_CH0_N</t>
  </si>
  <si>
    <t>P1_ASIC_2_CH1_N</t>
  </si>
  <si>
    <t>P1_ASIC_2_CH2_N</t>
  </si>
  <si>
    <t>P1_ASIC_2_CH3_N</t>
  </si>
  <si>
    <t>P1_ASIC_2_CH4_N</t>
  </si>
  <si>
    <t>P2_ASIC_1_CH2_N</t>
  </si>
  <si>
    <t>P2_ASIC_1_CH1_N</t>
  </si>
  <si>
    <t>P2_ASIC_0_CH1_P</t>
  </si>
  <si>
    <t>P1_ASIC_4_CH1_N</t>
  </si>
  <si>
    <t>P1_ASIC_4_CH1_P</t>
  </si>
  <si>
    <t>P1_ASIC_5_CH1_P</t>
  </si>
  <si>
    <t>P1_ASIC_5_CH1_N</t>
  </si>
  <si>
    <t>P1_ASIC_6_CH0_P</t>
  </si>
  <si>
    <t>P1_ASIC_7_CH2_P</t>
  </si>
  <si>
    <t>P1_ASIC_6_CH1_P</t>
  </si>
  <si>
    <t>P1_ASIC_6_CH4_P</t>
  </si>
  <si>
    <t>P1_ASIC_6_CH2_P</t>
  </si>
  <si>
    <t>P1_ASIC_1_CH4_N</t>
  </si>
  <si>
    <t>P1_ASIC_1_CH4_P</t>
  </si>
  <si>
    <t>P1_ASIC_1_CH0_P</t>
  </si>
  <si>
    <t>P1_ASIC_0_CH1_P</t>
  </si>
  <si>
    <t>P1_ASIC_1_CH2_P</t>
  </si>
  <si>
    <t>P1_ASIC_0_CH2_N</t>
  </si>
  <si>
    <t>P1_ASIC_2_CH0_P</t>
  </si>
  <si>
    <t>P1_ASIC_2_CH1_P</t>
  </si>
  <si>
    <t>P1_ASIC_2_CH2_P</t>
  </si>
  <si>
    <t>P1_ASIC_2_CH3_P</t>
  </si>
  <si>
    <t>P1_ASIC_2_CH4_P</t>
  </si>
  <si>
    <t>P2_ASIC_1_CH2_P</t>
  </si>
  <si>
    <t>P2_ASIC_1_CH1_P</t>
  </si>
  <si>
    <t>P2_ASIC_0_CH1_N</t>
  </si>
  <si>
    <t>P1_ASIC_4_CH2_N</t>
  </si>
  <si>
    <t>P1_ASIC_5_CH3_P</t>
  </si>
  <si>
    <t>P1_ASIC_5_CH2_P</t>
  </si>
  <si>
    <t>P1_ASIC_5_CH0_N</t>
  </si>
  <si>
    <t>P1_ASIC_7_CH0_P</t>
  </si>
  <si>
    <t>P1_ASIC_7_CH1_P</t>
  </si>
  <si>
    <t>P1_ASIC_7_CH3_N</t>
  </si>
  <si>
    <t>P1_ASIC_7_CH4_N</t>
  </si>
  <si>
    <t>P1_ASIC_6_CH3_N</t>
  </si>
  <si>
    <t>P1_ASIC_0_CH4_N</t>
  </si>
  <si>
    <t>P1_ASIC_0_CH3_N</t>
  </si>
  <si>
    <t>P1_ASIC_0_CH0_N</t>
  </si>
  <si>
    <t>P1_ASIC_1_CH1_P</t>
  </si>
  <si>
    <t>P1_ASIC_3_CH0_N</t>
  </si>
  <si>
    <t>P1_ASIC_3_CH1_N</t>
  </si>
  <si>
    <t>P1_ASIC_3_CH2_N</t>
  </si>
  <si>
    <t>P1_ASIC_3_CH3_N</t>
  </si>
  <si>
    <t>P1_ASIC_3_CH4_N</t>
  </si>
  <si>
    <t>P2_ASIC_1_CH0_P</t>
  </si>
  <si>
    <t>P2_ASIC_1_CH3_P</t>
  </si>
  <si>
    <t>P2_ASIC_0_CH3_P</t>
  </si>
  <si>
    <t>P2_ASIC_0_CH0_P</t>
  </si>
  <si>
    <t>P1_ASIC_4_CH2_P</t>
  </si>
  <si>
    <t>P1_ASIC_5_CH3_N</t>
  </si>
  <si>
    <t>P1_ASIC_5_CH2_N</t>
  </si>
  <si>
    <t>P1_ASIC_5_CH0_P</t>
  </si>
  <si>
    <t>P1_ASIC_7_CH0_N</t>
  </si>
  <si>
    <t>P1_ASIC_7_CH1_N</t>
  </si>
  <si>
    <t>P1_ASIC_7_CH3_P</t>
  </si>
  <si>
    <t>P1_ASIC_7_CH4_P</t>
  </si>
  <si>
    <t>P1_ASIC_6_CH3_P</t>
  </si>
  <si>
    <t>P1_ASIC_0_CH4_P</t>
  </si>
  <si>
    <t>P1_ASIC_0_CH3_P</t>
  </si>
  <si>
    <t>P1_ASIC_0_CH0_P</t>
  </si>
  <si>
    <t>P1_ASIC_1_CH1_N</t>
  </si>
  <si>
    <t>P1_ASIC_3_CH0_P</t>
  </si>
  <si>
    <t>P1_ASIC_3_CH1_P</t>
  </si>
  <si>
    <t>P1_ASIC_3_CH2_P</t>
  </si>
  <si>
    <t>P1_ASIC_3_CH3_P</t>
  </si>
  <si>
    <t>P1_ASIC_3_CH4_P</t>
  </si>
  <si>
    <t>P2_ASIC_1_CH0_N</t>
  </si>
  <si>
    <t>P2_ASIC_1_CH3_N</t>
  </si>
  <si>
    <t>P2_ASIC_0_CH3_N</t>
  </si>
  <si>
    <t>P2_ASIC_0_CH0_N</t>
  </si>
  <si>
    <t>S = Stereo ( UTaU, UTbV ), X = Vertical ( UTaX, UTbX )</t>
  </si>
  <si>
    <t>0 - 5 = DCB index for S or X detector plane</t>
  </si>
  <si>
    <t>MCB = Master Control Board</t>
  </si>
  <si>
    <t>0 - 2 = Stave index for S or X detector plane</t>
  </si>
  <si>
    <t>F/B = Front/Back face of stave*</t>
  </si>
  <si>
    <t>*"Front" corresponds to Ray's "C-Side Front" convention</t>
  </si>
  <si>
    <t>⟵</t>
  </si>
  <si>
    <t>S = Stereo ( aU, bV ), X = Vertical ( aX, bX )</t>
  </si>
  <si>
    <t>Stereo stave 0</t>
  </si>
  <si>
    <t>Pigtail socket 0</t>
  </si>
  <si>
    <t>Back face</t>
  </si>
  <si>
    <t>Click on any pigtail connector to be taken to the corresponding sheet</t>
  </si>
  <si>
    <t>Double-click column title below to sort by that column</t>
  </si>
  <si>
    <t>Pigtail socket 1</t>
  </si>
  <si>
    <r>
      <rPr>
        <b/>
        <u/>
        <sz val="18"/>
        <rFont val="Calibri"/>
        <family val="2"/>
      </rPr>
      <t>PEPI Chassis Dual-Quadrant Partition of the UT</t>
    </r>
    <r>
      <rPr>
        <b/>
        <u/>
        <sz val="18"/>
        <color indexed="10"/>
        <rFont val="Calibri"/>
        <family val="2"/>
      </rPr>
      <t xml:space="preserve">b </t>
    </r>
    <r>
      <rPr>
        <b/>
        <u/>
        <sz val="18"/>
        <rFont val="Calibri"/>
        <family val="2"/>
      </rPr>
      <t>plane style:</t>
    </r>
  </si>
  <si>
    <t>Based upon REV 6 NUMEROLOGY</t>
  </si>
  <si>
    <t>( 6 GBTx's / DCB )</t>
  </si>
  <si>
    <r>
      <t>KEY (eg 1(4</t>
    </r>
    <r>
      <rPr>
        <b/>
        <sz val="12"/>
        <rFont val="Symbol"/>
        <family val="1"/>
        <charset val="2"/>
      </rPr>
      <t>a</t>
    </r>
    <r>
      <rPr>
        <b/>
        <sz val="12"/>
        <rFont val="Arial Black"/>
        <family val="2"/>
      </rPr>
      <t>) ):</t>
    </r>
  </si>
  <si>
    <t>x(yz) --&gt;</t>
  </si>
  <si>
    <t>(x=#GBTx's, y=Slot ID, z=BP ID)</t>
  </si>
  <si>
    <t>#GBTx's (Card ID)</t>
  </si>
  <si>
    <t>8 FE ASICs</t>
  </si>
  <si>
    <t>4 FE ASICs</t>
  </si>
  <si>
    <t>V Plane</t>
  </si>
  <si>
    <t>C-Side Front</t>
  </si>
  <si>
    <t>C-Side Back</t>
  </si>
  <si>
    <t>Master-Control</t>
  </si>
  <si>
    <t>X Plane</t>
  </si>
  <si>
    <t>BP Type:</t>
  </si>
  <si>
    <t>Dual-Quadrant Backplane-Inner</t>
  </si>
  <si>
    <t>Dual-Quadrant Backplane-Center</t>
  </si>
  <si>
    <t>Dual-Quadrant Backplane-Outer</t>
  </si>
  <si>
    <t>Backplane Slot ID (Distribution):</t>
  </si>
  <si>
    <r>
      <rPr>
        <sz val="8"/>
        <rFont val="Symbol"/>
        <family val="1"/>
        <charset val="2"/>
      </rPr>
      <t>0a,</t>
    </r>
    <r>
      <rPr>
        <sz val="8"/>
        <color indexed="8"/>
        <rFont val="Symbol"/>
        <family val="1"/>
        <charset val="2"/>
      </rPr>
      <t xml:space="preserve"> </t>
    </r>
    <r>
      <rPr>
        <sz val="8"/>
        <color theme="3" tint="0.39997558519241921"/>
        <rFont val="Symbol"/>
        <family val="1"/>
        <charset val="2"/>
      </rPr>
      <t>0a</t>
    </r>
    <r>
      <rPr>
        <sz val="8"/>
        <color indexed="8"/>
        <rFont val="Symbol"/>
        <family val="1"/>
        <charset val="2"/>
      </rPr>
      <t xml:space="preserve">, 1a, </t>
    </r>
    <r>
      <rPr>
        <sz val="8"/>
        <color theme="3" tint="0.39997558519241921"/>
        <rFont val="Symbol"/>
        <family val="1"/>
        <charset val="2"/>
      </rPr>
      <t>1a</t>
    </r>
    <r>
      <rPr>
        <sz val="8"/>
        <color indexed="8"/>
        <rFont val="Symbol"/>
        <family val="1"/>
        <charset val="2"/>
      </rPr>
      <t xml:space="preserve">, 2a, </t>
    </r>
    <r>
      <rPr>
        <sz val="8"/>
        <color theme="3" tint="0.39997558519241921"/>
        <rFont val="Symbol"/>
        <family val="1"/>
        <charset val="2"/>
      </rPr>
      <t>2a</t>
    </r>
    <r>
      <rPr>
        <sz val="8"/>
        <color indexed="8"/>
        <rFont val="Symbol"/>
        <family val="1"/>
        <charset val="2"/>
      </rPr>
      <t xml:space="preserve">, 3a, </t>
    </r>
    <r>
      <rPr>
        <sz val="8"/>
        <color theme="3" tint="0.39997558519241921"/>
        <rFont val="Symbol"/>
        <family val="1"/>
        <charset val="2"/>
      </rPr>
      <t>3a</t>
    </r>
    <r>
      <rPr>
        <sz val="8"/>
        <color indexed="8"/>
        <rFont val="Symbol"/>
        <family val="1"/>
        <charset val="2"/>
      </rPr>
      <t xml:space="preserve">, 4a, </t>
    </r>
    <r>
      <rPr>
        <sz val="8"/>
        <color theme="3" tint="0.39997558519241921"/>
        <rFont val="Symbol"/>
        <family val="1"/>
        <charset val="2"/>
      </rPr>
      <t>4a</t>
    </r>
    <r>
      <rPr>
        <sz val="8"/>
        <color indexed="8"/>
        <rFont val="Symbol"/>
        <family val="1"/>
        <charset val="2"/>
      </rPr>
      <t xml:space="preserve">, 5a, </t>
    </r>
    <r>
      <rPr>
        <sz val="8"/>
        <color theme="3" tint="0.39997558519241921"/>
        <rFont val="Symbol"/>
        <family val="1"/>
        <charset val="2"/>
      </rPr>
      <t xml:space="preserve">5a, </t>
    </r>
    <r>
      <rPr>
        <sz val="8"/>
        <color theme="9" tint="-0.499984740745262"/>
        <rFont val="Arial"/>
        <family val="2"/>
      </rPr>
      <t>MC</t>
    </r>
  </si>
  <si>
    <r>
      <rPr>
        <sz val="8"/>
        <rFont val="Symbol"/>
        <family val="1"/>
        <charset val="2"/>
      </rPr>
      <t xml:space="preserve">0b, </t>
    </r>
    <r>
      <rPr>
        <sz val="8"/>
        <color theme="3" tint="0.39997558519241921"/>
        <rFont val="Symbol"/>
        <family val="1"/>
        <charset val="2"/>
      </rPr>
      <t>0b</t>
    </r>
    <r>
      <rPr>
        <sz val="8"/>
        <rFont val="Symbol"/>
        <family val="1"/>
        <charset val="2"/>
      </rPr>
      <t>,</t>
    </r>
    <r>
      <rPr>
        <sz val="8"/>
        <color theme="3" tint="0.39997558519241921"/>
        <rFont val="Symbol"/>
        <family val="1"/>
        <charset val="2"/>
      </rPr>
      <t xml:space="preserve"> </t>
    </r>
    <r>
      <rPr>
        <sz val="8"/>
        <rFont val="Symbol"/>
        <family val="1"/>
        <charset val="2"/>
      </rPr>
      <t>1b,</t>
    </r>
    <r>
      <rPr>
        <sz val="8"/>
        <color rgb="FFFF0000"/>
        <rFont val="Symbol"/>
        <family val="1"/>
        <charset val="2"/>
      </rPr>
      <t xml:space="preserve"> </t>
    </r>
    <r>
      <rPr>
        <sz val="8"/>
        <color theme="3" tint="0.39997558519241921"/>
        <rFont val="Symbol"/>
        <family val="1"/>
        <charset val="2"/>
      </rPr>
      <t>1b,</t>
    </r>
    <r>
      <rPr>
        <sz val="8"/>
        <color indexed="8"/>
        <rFont val="Symbol"/>
        <family val="1"/>
        <charset val="2"/>
      </rPr>
      <t xml:space="preserve"> 2b, </t>
    </r>
    <r>
      <rPr>
        <sz val="8"/>
        <color theme="3" tint="0.39997558519241921"/>
        <rFont val="Symbol"/>
        <family val="1"/>
        <charset val="2"/>
      </rPr>
      <t>2b</t>
    </r>
    <r>
      <rPr>
        <sz val="8"/>
        <color indexed="8"/>
        <rFont val="Symbol"/>
        <family val="1"/>
        <charset val="2"/>
      </rPr>
      <t xml:space="preserve">, 3b, </t>
    </r>
    <r>
      <rPr>
        <sz val="8"/>
        <color theme="3" tint="0.39997558519241921"/>
        <rFont val="Symbol"/>
        <family val="1"/>
        <charset val="2"/>
      </rPr>
      <t>3b</t>
    </r>
    <r>
      <rPr>
        <sz val="8"/>
        <color indexed="8"/>
        <rFont val="Symbol"/>
        <family val="1"/>
        <charset val="2"/>
      </rPr>
      <t xml:space="preserve">, 4b, </t>
    </r>
    <r>
      <rPr>
        <sz val="8"/>
        <color theme="3" tint="0.39997558519241921"/>
        <rFont val="Symbol"/>
        <family val="1"/>
        <charset val="2"/>
      </rPr>
      <t>4b</t>
    </r>
    <r>
      <rPr>
        <sz val="8"/>
        <color indexed="8"/>
        <rFont val="Symbol"/>
        <family val="1"/>
        <charset val="2"/>
      </rPr>
      <t xml:space="preserve">, 5b, </t>
    </r>
    <r>
      <rPr>
        <sz val="8"/>
        <color theme="3" tint="0.39997558519241921"/>
        <rFont val="Symbol"/>
        <family val="1"/>
        <charset val="2"/>
      </rPr>
      <t>5</t>
    </r>
    <r>
      <rPr>
        <sz val="8"/>
        <color indexed="8"/>
        <rFont val="Symbol"/>
        <family val="1"/>
        <charset val="2"/>
      </rPr>
      <t>b,</t>
    </r>
    <r>
      <rPr>
        <sz val="8"/>
        <color theme="9" tint="-0.499984740745262"/>
        <rFont val="Symbol"/>
        <family val="1"/>
        <charset val="2"/>
      </rPr>
      <t xml:space="preserve"> </t>
    </r>
    <r>
      <rPr>
        <sz val="8"/>
        <color theme="9" tint="-0.499984740745262"/>
        <rFont val="Times New Roman"/>
        <family val="1"/>
      </rPr>
      <t>MC</t>
    </r>
  </si>
  <si>
    <r>
      <rPr>
        <sz val="8"/>
        <rFont val="Symbol"/>
        <family val="1"/>
        <charset val="2"/>
      </rPr>
      <t>0g,</t>
    </r>
    <r>
      <rPr>
        <sz val="8"/>
        <color rgb="FFFF0000"/>
        <rFont val="Symbol"/>
        <family val="1"/>
        <charset val="2"/>
      </rPr>
      <t xml:space="preserve"> </t>
    </r>
    <r>
      <rPr>
        <sz val="8"/>
        <color theme="3" tint="0.39997558519241921"/>
        <rFont val="Symbol"/>
        <family val="1"/>
        <charset val="2"/>
      </rPr>
      <t>0g</t>
    </r>
    <r>
      <rPr>
        <sz val="8"/>
        <rFont val="Symbol"/>
        <family val="1"/>
        <charset val="2"/>
      </rPr>
      <t>,</t>
    </r>
    <r>
      <rPr>
        <sz val="8"/>
        <color rgb="FFFF0000"/>
        <rFont val="Symbol"/>
        <family val="1"/>
        <charset val="2"/>
      </rPr>
      <t xml:space="preserve"> </t>
    </r>
    <r>
      <rPr>
        <sz val="8"/>
        <rFont val="Symbol"/>
        <family val="1"/>
        <charset val="2"/>
      </rPr>
      <t xml:space="preserve">1g, </t>
    </r>
    <r>
      <rPr>
        <sz val="8"/>
        <color theme="3" tint="0.39997558519241921"/>
        <rFont val="Symbol"/>
        <family val="1"/>
        <charset val="2"/>
      </rPr>
      <t>1g</t>
    </r>
    <r>
      <rPr>
        <sz val="8"/>
        <rFont val="Symbol"/>
        <family val="1"/>
        <charset val="2"/>
      </rPr>
      <t xml:space="preserve">, </t>
    </r>
    <r>
      <rPr>
        <sz val="8"/>
        <color indexed="8"/>
        <rFont val="Symbol"/>
        <family val="1"/>
        <charset val="2"/>
      </rPr>
      <t xml:space="preserve">2g, </t>
    </r>
    <r>
      <rPr>
        <sz val="8"/>
        <color theme="3" tint="0.39997558519241921"/>
        <rFont val="Symbol"/>
        <family val="1"/>
        <charset val="2"/>
      </rPr>
      <t>2g</t>
    </r>
    <r>
      <rPr>
        <sz val="8"/>
        <color indexed="8"/>
        <rFont val="Symbol"/>
        <family val="1"/>
        <charset val="2"/>
      </rPr>
      <t xml:space="preserve">, 3g, </t>
    </r>
    <r>
      <rPr>
        <sz val="8"/>
        <color theme="3" tint="0.39997558519241921"/>
        <rFont val="Symbol"/>
        <family val="1"/>
        <charset val="2"/>
      </rPr>
      <t>3g</t>
    </r>
    <r>
      <rPr>
        <sz val="8"/>
        <color indexed="8"/>
        <rFont val="Symbol"/>
        <family val="1"/>
        <charset val="2"/>
      </rPr>
      <t xml:space="preserve">, 4g, </t>
    </r>
    <r>
      <rPr>
        <sz val="8"/>
        <color theme="3" tint="0.39997558519241921"/>
        <rFont val="Symbol"/>
        <family val="1"/>
        <charset val="2"/>
      </rPr>
      <t>4g</t>
    </r>
    <r>
      <rPr>
        <sz val="8"/>
        <color indexed="8"/>
        <rFont val="Symbol"/>
        <family val="1"/>
        <charset val="2"/>
      </rPr>
      <t xml:space="preserve">, 5g, </t>
    </r>
    <r>
      <rPr>
        <sz val="8"/>
        <color theme="3" tint="0.39997558519241921"/>
        <rFont val="Symbol"/>
        <family val="1"/>
        <charset val="2"/>
      </rPr>
      <t>5g</t>
    </r>
    <r>
      <rPr>
        <sz val="8"/>
        <color indexed="8"/>
        <rFont val="Symbol"/>
        <family val="1"/>
        <charset val="2"/>
      </rPr>
      <t xml:space="preserve">, </t>
    </r>
    <r>
      <rPr>
        <sz val="8"/>
        <color theme="9" tint="-0.499984740745262"/>
        <rFont val="Arial"/>
        <family val="2"/>
      </rPr>
      <t>MC</t>
    </r>
  </si>
  <si>
    <t>Empty DCB Slots:</t>
  </si>
  <si>
    <t>N/A</t>
  </si>
  <si>
    <t>vacant GBTx Sockets:  # (BP slot ID)</t>
  </si>
  <si>
    <t>1(5a)</t>
  </si>
  <si>
    <t>1(2a)</t>
  </si>
  <si>
    <t>1(5b)</t>
  </si>
  <si>
    <t>1(2b)</t>
  </si>
  <si>
    <t>1(5g)</t>
  </si>
  <si>
    <t>1(2g)</t>
  </si>
  <si>
    <t>1(4a)</t>
  </si>
  <si>
    <t>1(4b)</t>
  </si>
  <si>
    <t>1(4g)</t>
  </si>
  <si>
    <t>V-Plane</t>
  </si>
  <si>
    <t>x2</t>
  </si>
  <si>
    <t>X-plane</t>
  </si>
  <si>
    <t>1(3a)</t>
  </si>
  <si>
    <t>1(3b)</t>
  </si>
  <si>
    <t>1(3g)</t>
  </si>
  <si>
    <t>Stave Type:</t>
  </si>
  <si>
    <t>A*</t>
  </si>
  <si>
    <t>A</t>
  </si>
  <si>
    <t># populated DCB slots /  Backplane</t>
  </si>
  <si>
    <t>DCB's per PEPI  UTb Chassis:</t>
  </si>
  <si>
    <t>SubTotals</t>
  </si>
  <si>
    <t>Ext BP Wires:
Signal</t>
  </si>
  <si>
    <t>Ext BP Power + Return + Sense</t>
  </si>
  <si>
    <t>Total</t>
  </si>
  <si>
    <t>Plane UTbV</t>
  </si>
  <si>
    <t># ASICs</t>
  </si>
  <si>
    <t># 4-ASICs Groups</t>
  </si>
  <si>
    <t># GBTx's</t>
  </si>
  <si>
    <t># i2C Interfaces needed for SALT</t>
  </si>
  <si>
    <t># i2C Interfaces needed GBTx's</t>
  </si>
  <si>
    <t># GBTx-Master TFC Ports Needed</t>
  </si>
  <si>
    <t># REF_Clks needed for GBTx's</t>
  </si>
  <si>
    <t># REF_Clks needed for SALT's</t>
  </si>
  <si>
    <t xml:space="preserve"># temperature sensors: Hybrid </t>
  </si>
  <si>
    <t>#temperature sensors for board slots</t>
  </si>
  <si>
    <t>activated DCB equivalent:</t>
  </si>
  <si>
    <t>Plane UTbX</t>
  </si>
  <si>
    <t>SUBTOTALS:</t>
  </si>
  <si>
    <t>PEPI Chassis DCB Function
Thermal Load:</t>
  </si>
  <si>
    <t>Watts</t>
  </si>
  <si>
    <t>PEPI Chassis Master-Control  Function Thermal Load:</t>
  </si>
  <si>
    <t>Total PEPI Chassis Thermal Load</t>
  </si>
  <si>
    <t>Migrate 12 total RefClk Signals (ie Need conns along BP Edges!!)</t>
  </si>
  <si>
    <t>DCB 2.5V current:</t>
  </si>
  <si>
    <t>Amps</t>
  </si>
  <si>
    <t>DC Power pin count assumes:</t>
  </si>
  <si>
    <t>1.25Amps/pin</t>
  </si>
  <si>
    <t>DCB 1.5V current:</t>
  </si>
  <si>
    <t>x2 for round trip</t>
  </si>
  <si>
    <t>4 sense line per board</t>
  </si>
  <si>
    <t>Migrate 6 RefClk Signals</t>
  </si>
  <si>
    <t>M-C 1.5V current:</t>
  </si>
  <si>
    <t>Amps (SCA)</t>
  </si>
  <si>
    <t>Amps (GBTx-Master)</t>
  </si>
  <si>
    <t>M-C 2.5V current:</t>
  </si>
  <si>
    <t>Amps (VTRx)</t>
  </si>
  <si>
    <t>Per Octant (AKA Dual Quadrant):</t>
  </si>
  <si>
    <t>8 TFC ports per GBTx-Master</t>
  </si>
  <si>
    <t>=====&gt;</t>
  </si>
  <si>
    <t># of GBTx-Mastersbased upon TFC port needs:</t>
  </si>
  <si>
    <t>GBTx-Master Circuits</t>
  </si>
  <si>
    <t>GBTx-Masters</t>
  </si>
  <si>
    <t>16 i2C ports per GBT-SCA</t>
  </si>
  <si>
    <t># of GBTx-SCA's:</t>
  </si>
  <si>
    <t>GBT-SCA circuits</t>
  </si>
  <si>
    <t>GBT-SCA's</t>
  </si>
  <si>
    <t>8 REF Clks per GBTx</t>
  </si>
  <si>
    <t># of GBTx-Masters based upon ref clk needs:</t>
  </si>
  <si>
    <t>8 bidir SCA elink control ports per GBTx-Master</t>
  </si>
  <si>
    <t>ACTUAL GBTx-Masters</t>
  </si>
  <si>
    <r>
      <rPr>
        <b/>
        <u/>
        <sz val="18"/>
        <rFont val="Calibri"/>
        <family val="2"/>
      </rPr>
      <t>PEPI Chassis Dual-Quadrant Partition of the UT</t>
    </r>
    <r>
      <rPr>
        <b/>
        <u/>
        <sz val="18"/>
        <color indexed="10"/>
        <rFont val="Calibri"/>
        <family val="2"/>
      </rPr>
      <t xml:space="preserve">a </t>
    </r>
    <r>
      <rPr>
        <b/>
        <u/>
        <sz val="18"/>
        <rFont val="Calibri"/>
        <family val="2"/>
      </rPr>
      <t>plane style:</t>
    </r>
  </si>
  <si>
    <t>U Plane</t>
  </si>
  <si>
    <t>Empty Slots</t>
  </si>
  <si>
    <t>U-Plane</t>
  </si>
  <si>
    <t/>
  </si>
  <si>
    <t>4 empty Std Board Slots</t>
  </si>
  <si>
    <t>6 empty Std Board Slots</t>
  </si>
  <si>
    <t>20 empty DCB sockets</t>
  </si>
  <si>
    <t>6 Master-Control (MC) slots</t>
  </si>
  <si>
    <t>24 empty DCB sockets</t>
  </si>
  <si>
    <t>SALT
power</t>
  </si>
  <si>
    <t>Stereo stave 1</t>
  </si>
  <si>
    <t>Pigtail socket 4</t>
  </si>
  <si>
    <t>Pigtail socket 5</t>
  </si>
  <si>
    <t>Stereo stave 2</t>
  </si>
  <si>
    <t>Pigtail socket 8</t>
  </si>
  <si>
    <t>Pigtail socket 9</t>
  </si>
  <si>
    <t>BLACK: trace active on all backplanes</t>
  </si>
  <si>
    <t>P1</t>
  </si>
  <si>
    <t>P2</t>
  </si>
  <si>
    <t>P3</t>
  </si>
  <si>
    <t>P4</t>
  </si>
  <si>
    <t>Names of Hybrid positions on the DataFlex</t>
  </si>
  <si>
    <t>RED is always DataFlex-Medium</t>
  </si>
  <si>
    <t>BLACK is DataFlex-Short, except on Stave 0 where it is DataFlex-Long</t>
  </si>
  <si>
    <t>2(0b)</t>
  </si>
  <si>
    <t>2(0g)</t>
  </si>
  <si>
    <t>2(4a)</t>
  </si>
  <si>
    <t>2(3b)</t>
  </si>
  <si>
    <t>2(4b)</t>
  </si>
  <si>
    <t>2(3g)</t>
  </si>
  <si>
    <t>2(4g)</t>
  </si>
  <si>
    <t>2(1a), 2(0a)</t>
  </si>
  <si>
    <t>Vertical stave 0</t>
  </si>
  <si>
    <t>Pigtail socket 2</t>
  </si>
  <si>
    <t>Pigtail socket 3</t>
  </si>
  <si>
    <t>Vertical stave 1</t>
  </si>
  <si>
    <t>Pigtail socket 6</t>
  </si>
  <si>
    <t>Pigtail socket 7</t>
  </si>
  <si>
    <t>Vertical stave 2</t>
  </si>
  <si>
    <t>Pigtail socket 10</t>
  </si>
  <si>
    <t>Pigtail socket 11</t>
  </si>
  <si>
    <r>
      <t xml:space="preserve">1V, </t>
    </r>
    <r>
      <rPr>
        <sz val="10"/>
        <color theme="3" tint="0.39997558519241921"/>
        <rFont val="Calibri"/>
        <family val="2"/>
      </rPr>
      <t>1X</t>
    </r>
  </si>
  <si>
    <r>
      <t xml:space="preserve">1V, </t>
    </r>
    <r>
      <rPr>
        <sz val="10"/>
        <color theme="3" tint="0.39997558519241921"/>
        <rFont val="Calibri"/>
        <family val="2"/>
      </rPr>
      <t>1X</t>
    </r>
    <r>
      <rPr>
        <sz val="10"/>
        <color indexed="8"/>
        <rFont val="Calibri"/>
        <family val="2"/>
      </rPr>
      <t xml:space="preserve"> </t>
    </r>
  </si>
  <si>
    <r>
      <t xml:space="preserve">1V, </t>
    </r>
    <r>
      <rPr>
        <sz val="10"/>
        <color theme="3" tint="0.39997558519241921"/>
        <rFont val="Calibri"/>
        <family val="2"/>
      </rPr>
      <t>1X</t>
    </r>
    <r>
      <rPr>
        <sz val="10"/>
        <rFont val="Calibri"/>
        <family val="2"/>
      </rPr>
      <t xml:space="preserve">, 5V, </t>
    </r>
    <r>
      <rPr>
        <sz val="10"/>
        <color theme="3" tint="0.39997558519241921"/>
        <rFont val="Calibri"/>
        <family val="2"/>
      </rPr>
      <t>5X</t>
    </r>
  </si>
  <si>
    <t>Master sheet for True-Type backplane mapping</t>
  </si>
  <si>
    <t>00 / X-0</t>
  </si>
  <si>
    <t>02 / X-1</t>
  </si>
  <si>
    <t>04 / X-2</t>
  </si>
  <si>
    <t>01 / S-0</t>
  </si>
  <si>
    <t>03 / S-1</t>
  </si>
  <si>
    <t>05 / S-2</t>
  </si>
  <si>
    <t>06 / X-3</t>
  </si>
  <si>
    <t>08 / X-4</t>
  </si>
  <si>
    <t>07 / S-3</t>
  </si>
  <si>
    <t>09 / S-4</t>
  </si>
  <si>
    <t>10 / X-5</t>
  </si>
  <si>
    <t>11 / S-5</t>
  </si>
  <si>
    <t>First creation of True-type mapping</t>
  </si>
  <si>
    <t>Interchanged 136 pin ID's per Nadim's "LHCB_UT_DGER_ELECTRO" document dated May 3rd</t>
  </si>
  <si>
    <t>Previous mapping is preserved in "previous template" tab, with changes indicated in left-most column ( but only when mapping is sorted by "Pigtail pin" column )</t>
  </si>
  <si>
    <t>"x" below indicates changes when sorted by "Pigtail pin" column</t>
  </si>
  <si>
    <t>x</t>
  </si>
  <si>
    <t>Inverted P2 depopulations and DCB assignments, per Nadim's LHCb_UT_DGER_ELECTRO, Release 1 - Issue 4, dated May 16th</t>
  </si>
  <si>
    <t>BLUE: trace depopulates on middle (beta) and outer (gamma) backplanes</t>
  </si>
  <si>
    <t>Fixed i3 &lt;-&gt; j3 on trueType mapping</t>
  </si>
  <si>
    <t>00 - 1</t>
  </si>
  <si>
    <t>00 - 3</t>
  </si>
  <si>
    <t>00 - 2</t>
  </si>
  <si>
    <t>00 - 4</t>
  </si>
  <si>
    <t>00 - 5</t>
  </si>
  <si>
    <t>00 - 6</t>
  </si>
  <si>
    <t>01 - 1</t>
  </si>
  <si>
    <t>02 - 1</t>
  </si>
  <si>
    <t>02 - 2</t>
  </si>
  <si>
    <t>10 - 2</t>
  </si>
  <si>
    <t>11 - 2</t>
  </si>
  <si>
    <t>02 - 3</t>
  </si>
  <si>
    <t>10 - 3</t>
  </si>
  <si>
    <t>11 - 3</t>
  </si>
  <si>
    <t>02 - 4</t>
  </si>
  <si>
    <t>10 - 4</t>
  </si>
  <si>
    <t>11 - 4</t>
  </si>
  <si>
    <t>04 - 1</t>
  </si>
  <si>
    <t>04 - 2</t>
  </si>
  <si>
    <t>04 - 3</t>
  </si>
  <si>
    <t>04 - 4</t>
  </si>
  <si>
    <t>04 - 5</t>
  </si>
  <si>
    <t>01 - 2</t>
  </si>
  <si>
    <t>01 - 3</t>
  </si>
  <si>
    <t>01 - 4</t>
  </si>
  <si>
    <t>02 - 5</t>
  </si>
  <si>
    <t>02 - 6</t>
  </si>
  <si>
    <t>04 - 6</t>
  </si>
  <si>
    <t>01 - 6</t>
  </si>
  <si>
    <t>01 - 5</t>
  </si>
  <si>
    <t>03 - 1</t>
  </si>
  <si>
    <t>10 - 1</t>
  </si>
  <si>
    <t>11 - 1</t>
  </si>
  <si>
    <t>03 - 2</t>
  </si>
  <si>
    <t>03 - 5</t>
  </si>
  <si>
    <t>03 - 6</t>
  </si>
  <si>
    <t>03 - 3</t>
  </si>
  <si>
    <t>03 - 4</t>
  </si>
  <si>
    <t>10 - 5</t>
  </si>
  <si>
    <t>11 - 5</t>
  </si>
  <si>
    <t>10 - 6</t>
  </si>
  <si>
    <t>11 - 6</t>
  </si>
  <si>
    <t>05 - 1</t>
  </si>
  <si>
    <t>05 - 2</t>
  </si>
  <si>
    <t>05 - 3</t>
  </si>
  <si>
    <t>05 - 4</t>
  </si>
  <si>
    <t>05 - 5</t>
  </si>
  <si>
    <t>05 - 6</t>
  </si>
  <si>
    <t>06 - 1</t>
  </si>
  <si>
    <t>06 - 2</t>
  </si>
  <si>
    <t>06 - 3</t>
  </si>
  <si>
    <t>06 - 4</t>
  </si>
  <si>
    <t>06 - 5</t>
  </si>
  <si>
    <t>06 - 6</t>
  </si>
  <si>
    <t>08 - 1</t>
  </si>
  <si>
    <t>08 - 2</t>
  </si>
  <si>
    <t>08 - 3</t>
  </si>
  <si>
    <t>08 - 4</t>
  </si>
  <si>
    <t>07 - 1</t>
  </si>
  <si>
    <t>07 - 2</t>
  </si>
  <si>
    <t>07 - 3</t>
  </si>
  <si>
    <t>07 - 4</t>
  </si>
  <si>
    <t>07 - 5</t>
  </si>
  <si>
    <t>07 - 6</t>
  </si>
  <si>
    <t>09 - 1</t>
  </si>
  <si>
    <t>09 - 2</t>
  </si>
  <si>
    <t>09 - 3</t>
  </si>
  <si>
    <t>09 - 4</t>
  </si>
  <si>
    <t>SEAM
pin</t>
  </si>
  <si>
    <t>M/S = Medium / Short(Long) side of stave*</t>
  </si>
  <si>
    <t>Flex-M side</t>
  </si>
  <si>
    <t>Flex-L side</t>
  </si>
  <si>
    <t>Flex-S side</t>
  </si>
  <si>
    <t>Inactive GBTx:  # (BP slot ID)</t>
  </si>
  <si>
    <r>
      <t xml:space="preserve">2(2b), </t>
    </r>
    <r>
      <rPr>
        <sz val="10"/>
        <color theme="3" tint="0.39997558519241921"/>
        <rFont val="Symbol"/>
        <family val="1"/>
        <charset val="2"/>
      </rPr>
      <t>2(2b)</t>
    </r>
    <r>
      <rPr>
        <sz val="10"/>
        <color indexed="8"/>
        <rFont val="Symbol"/>
        <family val="1"/>
        <charset val="2"/>
      </rPr>
      <t xml:space="preserve">, 2(3b), </t>
    </r>
    <r>
      <rPr>
        <sz val="10"/>
        <color theme="3" tint="0.39997558519241921"/>
        <rFont val="Symbol"/>
        <family val="1"/>
        <charset val="2"/>
      </rPr>
      <t>2(3b)</t>
    </r>
  </si>
  <si>
    <t>1(3a),1(2a)</t>
  </si>
  <si>
    <t>4(3a)</t>
  </si>
  <si>
    <r>
      <t xml:space="preserve">2(2g), </t>
    </r>
    <r>
      <rPr>
        <sz val="10"/>
        <color theme="3" tint="0.39997558519241921"/>
        <rFont val="Symbol"/>
        <family val="1"/>
        <charset val="2"/>
      </rPr>
      <t>2(2g)</t>
    </r>
    <r>
      <rPr>
        <sz val="10"/>
        <color indexed="8"/>
        <rFont val="Symbol"/>
        <family val="1"/>
        <charset val="2"/>
      </rPr>
      <t xml:space="preserve">, 2(3g), </t>
    </r>
    <r>
      <rPr>
        <sz val="10"/>
        <color theme="3" tint="0.39997558519241921"/>
        <rFont val="Symbol"/>
        <family val="1"/>
        <charset val="2"/>
      </rPr>
      <t>2(3g)</t>
    </r>
    <r>
      <rPr>
        <sz val="10"/>
        <color indexed="8"/>
        <rFont val="Symbol"/>
        <family val="1"/>
        <charset val="2"/>
      </rPr>
      <t>, 2(4g), 2</t>
    </r>
    <r>
      <rPr>
        <sz val="10"/>
        <color theme="3" tint="0.39997558519241921"/>
        <rFont val="Symbol"/>
        <family val="1"/>
        <charset val="2"/>
      </rPr>
      <t>(4g)</t>
    </r>
  </si>
  <si>
    <t>Note: Diagram above  is conceptual and not up to date</t>
  </si>
  <si>
    <t>*S is DataFlex-Short, except for on stave-0 is DataFlex-Long</t>
  </si>
  <si>
    <t>BLACK is DataFlex-S, except on Stave 0 where it is DataFlex-L</t>
  </si>
  <si>
    <t>08 - 6</t>
  </si>
  <si>
    <t>09 - 5</t>
  </si>
  <si>
    <t>09 - 6</t>
  </si>
  <si>
    <t>08 - 5</t>
  </si>
  <si>
    <t>F1</t>
  </si>
  <si>
    <t>F2</t>
  </si>
  <si>
    <t>B1</t>
  </si>
  <si>
    <t>B2</t>
  </si>
  <si>
    <t>H41</t>
  </si>
  <si>
    <t>H42</t>
  </si>
  <si>
    <t>G47</t>
  </si>
  <si>
    <t>G48</t>
  </si>
  <si>
    <t>G43</t>
  </si>
  <si>
    <t>G44</t>
  </si>
  <si>
    <t>B9</t>
  </si>
  <si>
    <t>C3</t>
  </si>
  <si>
    <t>C4</t>
  </si>
  <si>
    <t>C7</t>
  </si>
  <si>
    <t>C8</t>
  </si>
  <si>
    <t>D5</t>
  </si>
  <si>
    <t>D6</t>
  </si>
  <si>
    <t>E3</t>
  </si>
  <si>
    <t>E4</t>
  </si>
  <si>
    <t>E7</t>
  </si>
  <si>
    <t>E8</t>
  </si>
  <si>
    <t>F5</t>
  </si>
  <si>
    <t>F6</t>
  </si>
  <si>
    <t>F9</t>
  </si>
  <si>
    <t>B49</t>
  </si>
  <si>
    <t>B50</t>
  </si>
  <si>
    <t>C43</t>
  </si>
  <si>
    <t>C44</t>
  </si>
  <si>
    <t>C47</t>
  </si>
  <si>
    <t>C48</t>
  </si>
  <si>
    <t>D45</t>
  </si>
  <si>
    <t>D46</t>
  </si>
  <si>
    <t>F49</t>
  </si>
  <si>
    <t>F50</t>
  </si>
  <si>
    <t>F45</t>
  </si>
  <si>
    <t>F46</t>
  </si>
  <si>
    <t>E43</t>
  </si>
  <si>
    <t>E44</t>
  </si>
  <si>
    <t>E47</t>
  </si>
  <si>
    <t>E48</t>
  </si>
  <si>
    <t>B41</t>
  </si>
  <si>
    <t>B42</t>
  </si>
  <si>
    <t>D41</t>
  </si>
  <si>
    <t>D42</t>
  </si>
  <si>
    <t>F41</t>
  </si>
  <si>
    <t>F42</t>
  </si>
  <si>
    <t>A3</t>
  </si>
  <si>
    <t>A4</t>
  </si>
  <si>
    <t>A7</t>
  </si>
  <si>
    <t>A8</t>
  </si>
  <si>
    <t>B5</t>
  </si>
  <si>
    <t>B6</t>
  </si>
  <si>
    <t>D9</t>
  </si>
  <si>
    <t>A43</t>
  </si>
  <si>
    <t>A44</t>
  </si>
  <si>
    <t>A47</t>
  </si>
  <si>
    <t>A48</t>
  </si>
  <si>
    <t>B45</t>
  </si>
  <si>
    <t>B46</t>
  </si>
  <si>
    <t>D49</t>
  </si>
  <si>
    <t>D50</t>
  </si>
  <si>
    <t>H5</t>
  </si>
  <si>
    <t>H6</t>
  </si>
  <si>
    <t>H46</t>
  </si>
  <si>
    <t>H49</t>
  </si>
  <si>
    <t>H50</t>
  </si>
  <si>
    <t>H45</t>
  </si>
  <si>
    <t>H1</t>
  </si>
  <si>
    <t>H2</t>
  </si>
  <si>
    <t>C1</t>
  </si>
  <si>
    <t>H9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</si>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</sst>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95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4"/>
      <color theme="7" tint="-0.499984740745262"/>
      <name val="Calibri"/>
      <family val="2"/>
      <scheme val="minor"/>
    </font>
    <font>
      <b/>
      <sz val="14"/>
      <color rgb="FFEA0202"/>
      <name val="Calibri"/>
      <family val="2"/>
      <scheme val="minor"/>
    </font>
    <font>
      <sz val="12"/>
      <color theme="5"/>
      <name val="Calibri"/>
      <family val="2"/>
      <scheme val="minor"/>
    </font>
    <font>
      <b/>
      <sz val="12"/>
      <color rgb="FFEA0202"/>
      <name val="Calibri"/>
      <family val="2"/>
      <scheme val="minor"/>
    </font>
    <font>
      <sz val="12"/>
      <color theme="1"/>
      <name val="Calibri"/>
      <family val="2"/>
    </font>
    <font>
      <sz val="14"/>
      <color rgb="FF3366FF"/>
      <name val="STIXGeneral-Regular"/>
    </font>
    <font>
      <sz val="14"/>
      <color theme="0"/>
      <name val="Courier"/>
    </font>
    <font>
      <sz val="12"/>
      <color theme="0"/>
      <name val="Courier"/>
    </font>
    <font>
      <sz val="11"/>
      <color indexed="8"/>
      <name val="Calibri"/>
      <family val="2"/>
    </font>
    <font>
      <b/>
      <u/>
      <sz val="18"/>
      <color indexed="10"/>
      <name val="Calibri"/>
      <family val="2"/>
    </font>
    <font>
      <b/>
      <u/>
      <sz val="18"/>
      <name val="Calibri"/>
      <family val="2"/>
    </font>
    <font>
      <sz val="12"/>
      <color indexed="8"/>
      <name val="Symbol"/>
      <family val="1"/>
      <charset val="2"/>
    </font>
    <font>
      <b/>
      <sz val="12"/>
      <color indexed="54"/>
      <name val="Symbol"/>
      <family val="1"/>
      <charset val="2"/>
    </font>
    <font>
      <b/>
      <u/>
      <sz val="18"/>
      <color indexed="8"/>
      <name val="Calibri"/>
      <family val="2"/>
    </font>
    <font>
      <b/>
      <sz val="16"/>
      <color indexed="8"/>
      <name val="Symbol"/>
      <family val="1"/>
      <charset val="2"/>
    </font>
    <font>
      <b/>
      <sz val="11"/>
      <color indexed="8"/>
      <name val="Calibri"/>
      <family val="2"/>
    </font>
    <font>
      <b/>
      <sz val="12"/>
      <name val="Arial Black"/>
      <family val="2"/>
    </font>
    <font>
      <b/>
      <sz val="12"/>
      <name val="Symbol"/>
      <family val="1"/>
      <charset val="2"/>
    </font>
    <font>
      <b/>
      <sz val="11"/>
      <name val="Calibri"/>
      <family val="2"/>
    </font>
    <font>
      <sz val="10"/>
      <name val="Arial"/>
      <family val="2"/>
    </font>
    <font>
      <b/>
      <sz val="12"/>
      <color rgb="FF000000"/>
      <name val="Calibri"/>
      <family val="2"/>
    </font>
    <font>
      <b/>
      <sz val="12"/>
      <color indexed="8"/>
      <name val="Calibri"/>
      <family val="2"/>
    </font>
    <font>
      <b/>
      <sz val="12"/>
      <color rgb="FF538DD5"/>
      <name val="Calibri"/>
      <family val="2"/>
    </font>
    <font>
      <b/>
      <sz val="12"/>
      <color rgb="FFFF0000"/>
      <name val="Calibri"/>
      <family val="2"/>
    </font>
    <font>
      <b/>
      <sz val="12"/>
      <name val="Calibri"/>
      <family val="2"/>
    </font>
    <font>
      <b/>
      <sz val="12"/>
      <color theme="9" tint="-0.249977111117893"/>
      <name val="Calibri"/>
      <family val="2"/>
    </font>
    <font>
      <b/>
      <u/>
      <sz val="16"/>
      <color indexed="8"/>
      <name val="Calibri"/>
      <family val="2"/>
    </font>
    <font>
      <b/>
      <u/>
      <sz val="11"/>
      <color indexed="8"/>
      <name val="Calibri"/>
      <family val="2"/>
    </font>
    <font>
      <u/>
      <sz val="12"/>
      <color indexed="8"/>
      <name val="Calibri"/>
      <family val="2"/>
    </font>
    <font>
      <sz val="12"/>
      <color indexed="8"/>
      <name val="Calibri"/>
      <family val="2"/>
    </font>
    <font>
      <sz val="8"/>
      <color indexed="8"/>
      <name val="Symbol"/>
      <family val="1"/>
      <charset val="2"/>
    </font>
    <font>
      <sz val="8"/>
      <name val="Symbol"/>
      <family val="1"/>
      <charset val="2"/>
    </font>
    <font>
      <sz val="8"/>
      <color theme="3" tint="0.39997558519241921"/>
      <name val="Symbol"/>
      <family val="1"/>
      <charset val="2"/>
    </font>
    <font>
      <sz val="8"/>
      <color theme="9" tint="-0.499984740745262"/>
      <name val="Arial"/>
      <family val="2"/>
    </font>
    <font>
      <sz val="8"/>
      <color indexed="8"/>
      <name val="Calibri"/>
      <family val="2"/>
    </font>
    <font>
      <sz val="8"/>
      <color rgb="FFFF0000"/>
      <name val="Symbol"/>
      <family val="1"/>
      <charset val="2"/>
    </font>
    <font>
      <sz val="8"/>
      <color theme="9" tint="-0.499984740745262"/>
      <name val="Symbol"/>
      <family val="1"/>
      <charset val="2"/>
    </font>
    <font>
      <sz val="8"/>
      <color theme="9" tint="-0.499984740745262"/>
      <name val="Times New Roman"/>
      <family val="1"/>
    </font>
    <font>
      <b/>
      <sz val="11"/>
      <color theme="9" tint="-0.499984740745262"/>
      <name val="Calibri"/>
      <family val="2"/>
    </font>
    <font>
      <sz val="10"/>
      <color indexed="8"/>
      <name val="Calibri"/>
      <family val="2"/>
    </font>
    <font>
      <sz val="10"/>
      <color theme="3" tint="0.39997558519241921"/>
      <name val="Calibri"/>
      <family val="2"/>
    </font>
    <font>
      <i/>
      <sz val="10"/>
      <color indexed="8"/>
      <name val="Symbol"/>
      <family val="1"/>
      <charset val="2"/>
    </font>
    <font>
      <sz val="10"/>
      <color indexed="8"/>
      <name val="Symbol"/>
      <family val="1"/>
      <charset val="2"/>
    </font>
    <font>
      <sz val="10"/>
      <color theme="3" tint="0.39997558519241921"/>
      <name val="Symbol"/>
      <family val="1"/>
      <charset val="2"/>
    </font>
    <font>
      <b/>
      <sz val="11"/>
      <color theme="3" tint="0.39997558519241921"/>
      <name val="Calibri"/>
      <family val="2"/>
    </font>
    <font>
      <sz val="10"/>
      <color rgb="FFFF0000"/>
      <name val="Symbol"/>
      <family val="1"/>
      <charset val="2"/>
    </font>
    <font>
      <b/>
      <sz val="11"/>
      <color theme="5" tint="-0.249977111117893"/>
      <name val="Calibri"/>
      <family val="2"/>
    </font>
    <font>
      <sz val="11"/>
      <color theme="7"/>
      <name val="Calibri"/>
      <family val="2"/>
    </font>
    <font>
      <b/>
      <sz val="11"/>
      <color theme="6" tint="-0.499984740745262"/>
      <name val="Calibri"/>
      <family val="2"/>
    </font>
    <font>
      <b/>
      <sz val="14"/>
      <color indexed="8"/>
      <name val="Calibri"/>
      <family val="2"/>
    </font>
    <font>
      <b/>
      <sz val="11"/>
      <color theme="9" tint="-0.249977111117893"/>
      <name val="Calibri"/>
      <family val="2"/>
    </font>
    <font>
      <b/>
      <sz val="11"/>
      <color theme="4" tint="-0.249977111117893"/>
      <name val="Calibri"/>
      <family val="2"/>
    </font>
    <font>
      <sz val="10"/>
      <name val="Symbol"/>
      <family val="1"/>
      <charset val="2"/>
    </font>
    <font>
      <b/>
      <u/>
      <sz val="12"/>
      <color indexed="8"/>
      <name val="Calibri"/>
      <family val="2"/>
    </font>
    <font>
      <sz val="1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403151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b/>
      <sz val="12"/>
      <color rgb="FF3366FF"/>
      <name val="Calibri"/>
      <family val="2"/>
      <scheme val="minor"/>
    </font>
    <font>
      <sz val="10"/>
      <color rgb="FFFF0000"/>
      <name val="Calibri"/>
      <family val="2"/>
    </font>
    <font>
      <b/>
      <sz val="12"/>
      <color rgb="FFFF0000"/>
      <name val="Calibri"/>
      <family val="2"/>
      <scheme val="minor"/>
    </font>
    <font>
      <sz val="12"/>
      <color rgb="FF3366FF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u/>
      <sz val="12"/>
      <color theme="5"/>
      <name val="Calibri"/>
      <family val="2"/>
      <scheme val="minor"/>
    </font>
    <font>
      <b/>
      <sz val="14"/>
      <color theme="7" tint="-0.499984740745262"/>
      <name val="Calibri"/>
      <family val="2"/>
      <scheme val="minor"/>
    </font>
    <font>
      <b/>
      <sz val="12"/>
      <color rgb="FF403151"/>
      <name val="Calibri"/>
      <family val="2"/>
      <scheme val="minor"/>
    </font>
    <font>
      <u/>
      <sz val="12"/>
      <color rgb="FFFF0000"/>
      <name val="Calibri"/>
      <family val="2"/>
      <scheme val="minor"/>
    </font>
    <font>
      <b/>
      <sz val="12"/>
      <name val="Calibri"/>
      <family val="2"/>
      <scheme val="minor"/>
    </font>
    <font>
      <b/>
      <u/>
      <sz val="12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u/>
      <sz val="12"/>
      <name val="Calibri"/>
      <family val="2"/>
      <scheme val="minor"/>
    </font>
    <font>
      <u/>
      <sz val="12"/>
      <color rgb="FF3366FF"/>
      <name val="Calibri"/>
      <family val="2"/>
      <scheme val="minor"/>
    </font>
    <font>
      <b/>
      <u/>
      <sz val="12"/>
      <color rgb="FF3366FF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  <font>
      <b/>
      <u/>
      <sz val="12"/>
      <color theme="0" tint="-0.249977111117893"/>
      <name val="Calibri"/>
      <family val="2"/>
      <scheme val="minor"/>
    </font>
    <font>
      <u/>
      <sz val="12"/>
      <color rgb="FF0070C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0" tint="-0.249977111117893"/>
      <name val="Calibri"/>
      <family val="2"/>
      <scheme val="minor"/>
    </font>
    <font>
      <sz val="11"/>
      <color theme="5" tint="-0.249977111117893"/>
      <name val="Calibri"/>
      <family val="2"/>
    </font>
    <font>
      <sz val="11"/>
      <color theme="6" tint="-0.499984740745262"/>
      <name val="Calibri"/>
      <family val="2"/>
    </font>
    <font>
      <sz val="11"/>
      <color theme="9" tint="-0.249977111117893"/>
      <name val="Calibri"/>
      <family val="2"/>
    </font>
    <font>
      <sz val="11"/>
      <color theme="4" tint="-0.249977111117893"/>
      <name val="Calibri"/>
      <family val="2"/>
    </font>
    <font>
      <sz val="12"/>
      <color theme="0" tint="-0.34998626667073579"/>
      <name val="Calibri"/>
      <family val="2"/>
      <scheme val="minor"/>
    </font>
    <font>
      <sz val="12"/>
      <color theme="3" tint="0.79998168889431442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8ED58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D607B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3"/>
        <bgColor indexed="34"/>
      </patternFill>
    </fill>
    <fill>
      <patternFill patternType="solid">
        <fgColor indexed="50"/>
        <bgColor indexed="22"/>
      </patternFill>
    </fill>
    <fill>
      <patternFill patternType="solid">
        <fgColor rgb="FF92D050"/>
        <bgColor indexed="22"/>
      </patternFill>
    </fill>
    <fill>
      <patternFill patternType="solid">
        <fgColor rgb="FF92D050"/>
        <bgColor theme="0" tint="-0.24994659260841701"/>
      </patternFill>
    </fill>
    <fill>
      <patternFill patternType="solid">
        <fgColor rgb="FFFFFF00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8ED580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rgb="FF000000"/>
      </patternFill>
    </fill>
  </fills>
  <borders count="123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medium">
        <color indexed="8"/>
      </top>
      <bottom/>
      <diagonal/>
    </border>
    <border>
      <left style="medium">
        <color auto="1"/>
      </left>
      <right style="medium">
        <color indexed="8"/>
      </right>
      <top style="medium">
        <color auto="1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auto="1"/>
      </top>
      <bottom style="medium">
        <color indexed="8"/>
      </bottom>
      <diagonal/>
    </border>
    <border>
      <left style="medium">
        <color rgb="FF000000"/>
      </left>
      <right style="medium">
        <color rgb="FF000000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rgb="FF000000"/>
      </bottom>
      <diagonal/>
    </border>
    <border>
      <left/>
      <right style="medium">
        <color auto="1"/>
      </right>
      <top/>
      <bottom style="medium">
        <color rgb="FF000000"/>
      </bottom>
      <diagonal/>
    </border>
    <border>
      <left style="medium">
        <color auto="1"/>
      </left>
      <right style="medium">
        <color indexed="8"/>
      </right>
      <top style="medium">
        <color indexed="8"/>
      </top>
      <bottom style="medium">
        <color auto="1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auto="1"/>
      </bottom>
      <diagonal/>
    </border>
    <border>
      <left style="medium">
        <color rgb="FF000000"/>
      </left>
      <right style="medium">
        <color rgb="FF000000"/>
      </right>
      <top/>
      <bottom style="medium">
        <color auto="1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 style="medium">
        <color auto="1"/>
      </top>
      <bottom style="thick">
        <color theme="1"/>
      </bottom>
      <diagonal/>
    </border>
    <border>
      <left/>
      <right/>
      <top style="medium">
        <color auto="1"/>
      </top>
      <bottom style="thick">
        <color theme="1"/>
      </bottom>
      <diagonal/>
    </border>
    <border>
      <left/>
      <right style="thick">
        <color auto="1"/>
      </right>
      <top style="medium">
        <color auto="1"/>
      </top>
      <bottom style="thick">
        <color theme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ck">
        <color theme="1"/>
      </top>
      <bottom/>
      <diagonal/>
    </border>
    <border>
      <left/>
      <right/>
      <top style="thick">
        <color theme="1"/>
      </top>
      <bottom style="thick">
        <color theme="1"/>
      </bottom>
      <diagonal/>
    </border>
    <border>
      <left/>
      <right style="thick">
        <color auto="1"/>
      </right>
      <top style="thick">
        <color theme="1"/>
      </top>
      <bottom/>
      <diagonal/>
    </border>
    <border>
      <left style="thick">
        <color auto="1"/>
      </left>
      <right/>
      <top style="thick">
        <color theme="1"/>
      </top>
      <bottom style="thick">
        <color theme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/>
      <right style="thick">
        <color theme="1"/>
      </right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8"/>
      </left>
      <right/>
      <top/>
      <bottom/>
      <diagonal/>
    </border>
    <border>
      <left style="thick">
        <color theme="1"/>
      </left>
      <right style="thick">
        <color theme="1"/>
      </right>
      <top style="thick">
        <color theme="1"/>
      </top>
      <bottom/>
      <diagonal/>
    </border>
    <border>
      <left style="thick">
        <color theme="1"/>
      </left>
      <right style="thick">
        <color theme="1"/>
      </right>
      <top/>
      <bottom/>
      <diagonal/>
    </border>
    <border>
      <left style="thick">
        <color theme="1"/>
      </left>
      <right style="thick">
        <color theme="1"/>
      </right>
      <top/>
      <bottom style="thick">
        <color theme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8"/>
      </left>
      <right style="medium">
        <color rgb="FF000000"/>
      </right>
      <top style="medium">
        <color auto="1"/>
      </top>
      <bottom/>
      <diagonal/>
    </border>
    <border>
      <left style="medium">
        <color indexed="8"/>
      </left>
      <right style="medium">
        <color rgb="FF000000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n">
        <color auto="1"/>
      </top>
      <bottom/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ck">
        <color theme="1"/>
      </left>
      <right style="thin">
        <color theme="1"/>
      </right>
      <top style="thick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ck">
        <color theme="1"/>
      </top>
      <bottom style="thin">
        <color theme="1"/>
      </bottom>
      <diagonal/>
    </border>
    <border>
      <left style="thin">
        <color theme="1"/>
      </left>
      <right style="thick">
        <color theme="1"/>
      </right>
      <top style="thick">
        <color theme="1"/>
      </top>
      <bottom style="thin">
        <color theme="1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ck">
        <color theme="1"/>
      </right>
      <top style="thin">
        <color theme="1"/>
      </top>
      <bottom style="thin">
        <color theme="1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ck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theme="1"/>
      </bottom>
      <diagonal/>
    </border>
    <border>
      <left style="thin">
        <color theme="1"/>
      </left>
      <right style="thick">
        <color theme="1"/>
      </right>
      <top style="thin">
        <color theme="1"/>
      </top>
      <bottom style="thick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ck">
        <color theme="1"/>
      </left>
      <right style="thin">
        <color theme="1"/>
      </right>
      <top style="thick">
        <color theme="1"/>
      </top>
      <bottom/>
      <diagonal/>
    </border>
    <border>
      <left style="thin">
        <color theme="1"/>
      </left>
      <right style="thin">
        <color theme="1"/>
      </right>
      <top style="thick">
        <color theme="1"/>
      </top>
      <bottom/>
      <diagonal/>
    </border>
    <border>
      <left style="thin">
        <color theme="1"/>
      </left>
      <right style="thick">
        <color theme="1"/>
      </right>
      <top style="thick">
        <color theme="1"/>
      </top>
      <bottom/>
      <diagonal/>
    </border>
    <border>
      <left style="thick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ck">
        <color theme="1"/>
      </right>
      <top style="thin">
        <color theme="1"/>
      </top>
      <bottom/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ck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ck">
        <color theme="1"/>
      </right>
      <top style="thick">
        <color theme="1"/>
      </top>
      <bottom style="thin">
        <color theme="1"/>
      </bottom>
      <diagonal/>
    </border>
    <border>
      <left style="thick">
        <color theme="1"/>
      </left>
      <right style="thick">
        <color theme="1"/>
      </right>
      <top style="thin">
        <color theme="1"/>
      </top>
      <bottom style="thick">
        <color theme="1"/>
      </bottom>
      <diagonal/>
    </border>
    <border>
      <left style="thick">
        <color theme="1"/>
      </left>
      <right style="thick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ck">
        <color theme="1"/>
      </right>
      <top/>
      <bottom style="thick">
        <color theme="1"/>
      </bottom>
      <diagonal/>
    </border>
    <border>
      <left style="thin">
        <color theme="1"/>
      </left>
      <right/>
      <top style="thin">
        <color theme="1"/>
      </top>
      <bottom style="thick">
        <color theme="1"/>
      </bottom>
      <diagonal/>
    </border>
    <border>
      <left style="thick">
        <color theme="1"/>
      </left>
      <right/>
      <top style="thick">
        <color theme="1"/>
      </top>
      <bottom style="thick">
        <color theme="1"/>
      </bottom>
      <diagonal/>
    </border>
    <border>
      <left/>
      <right style="thick">
        <color auto="1"/>
      </right>
      <top style="thick">
        <color theme="1"/>
      </top>
      <bottom style="thick">
        <color theme="1"/>
      </bottom>
      <diagonal/>
    </border>
    <border>
      <left/>
      <right style="thin">
        <color theme="1"/>
      </right>
      <top style="thick">
        <color theme="1"/>
      </top>
      <bottom/>
      <diagonal/>
    </border>
    <border>
      <left/>
      <right style="thin">
        <color theme="1"/>
      </right>
      <top style="thick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ck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ck">
        <color theme="1"/>
      </right>
      <top style="thick">
        <color theme="1"/>
      </top>
      <bottom style="thick">
        <color theme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ck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</borders>
  <cellStyleXfs count="116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3" fillId="0" borderId="0"/>
    <xf numFmtId="0" fontId="2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87" fillId="0" borderId="0"/>
  </cellStyleXfs>
  <cellXfs count="566">
    <xf numFmtId="0" fontId="0" fillId="0" borderId="0" xfId="0"/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2" fillId="5" borderId="11" xfId="0" applyFont="1" applyFill="1" applyBorder="1" applyAlignment="1" applyProtection="1">
      <alignment horizontal="center" vertical="center" wrapText="1"/>
      <protection locked="0"/>
    </xf>
    <xf numFmtId="0" fontId="2" fillId="5" borderId="12" xfId="0" applyFont="1" applyFill="1" applyBorder="1" applyAlignment="1" applyProtection="1">
      <alignment horizontal="center" vertical="center"/>
      <protection locked="0"/>
    </xf>
    <xf numFmtId="0" fontId="2" fillId="5" borderId="12" xfId="0" applyFont="1" applyFill="1" applyBorder="1" applyAlignment="1" applyProtection="1">
      <alignment horizontal="center" vertical="center" wrapText="1"/>
      <protection locked="0"/>
    </xf>
    <xf numFmtId="0" fontId="2" fillId="5" borderId="17" xfId="0" applyFont="1" applyFill="1" applyBorder="1" applyAlignment="1" applyProtection="1">
      <alignment horizontal="center" vertical="center" wrapText="1"/>
      <protection locked="0"/>
    </xf>
    <xf numFmtId="0" fontId="2" fillId="5" borderId="1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2" borderId="0" xfId="0" applyFill="1" applyBorder="1" applyProtection="1">
      <protection locked="0"/>
    </xf>
    <xf numFmtId="0" fontId="0" fillId="2" borderId="0" xfId="0" applyFill="1" applyBorder="1" applyAlignment="1" applyProtection="1">
      <alignment horizontal="center"/>
      <protection locked="0"/>
    </xf>
    <xf numFmtId="0" fontId="0" fillId="4" borderId="3" xfId="0" applyFill="1" applyBorder="1" applyAlignment="1" applyProtection="1">
      <alignment horizontal="center"/>
      <protection locked="0"/>
    </xf>
    <xf numFmtId="0" fontId="0" fillId="4" borderId="4" xfId="0" applyFill="1" applyBorder="1" applyAlignment="1" applyProtection="1">
      <alignment horizontal="center"/>
      <protection locked="0"/>
    </xf>
    <xf numFmtId="0" fontId="0" fillId="4" borderId="5" xfId="0" applyFill="1" applyBorder="1" applyAlignment="1" applyProtection="1">
      <alignment horizontal="center"/>
      <protection locked="0"/>
    </xf>
    <xf numFmtId="0" fontId="1" fillId="0" borderId="10" xfId="0" applyFont="1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</xf>
    <xf numFmtId="0" fontId="0" fillId="0" borderId="0" xfId="0" applyBorder="1" applyAlignment="1" applyProtection="1">
      <alignment horizontal="left"/>
    </xf>
    <xf numFmtId="0" fontId="0" fillId="0" borderId="0" xfId="0" applyAlignment="1" applyProtection="1">
      <protection locked="0"/>
    </xf>
    <xf numFmtId="0" fontId="2" fillId="0" borderId="0" xfId="0" applyFont="1" applyAlignment="1" applyProtection="1">
      <protection locked="0"/>
    </xf>
    <xf numFmtId="0" fontId="0" fillId="2" borderId="14" xfId="0" applyFill="1" applyBorder="1" applyAlignment="1" applyProtection="1">
      <alignment horizontal="center"/>
      <protection locked="0"/>
    </xf>
    <xf numFmtId="0" fontId="0" fillId="2" borderId="15" xfId="0" applyFill="1" applyBorder="1" applyProtection="1">
      <protection locked="0"/>
    </xf>
    <xf numFmtId="0" fontId="0" fillId="2" borderId="16" xfId="0" applyFill="1" applyBorder="1" applyProtection="1">
      <protection locked="0"/>
    </xf>
    <xf numFmtId="0" fontId="0" fillId="2" borderId="9" xfId="0" applyFill="1" applyBorder="1" applyAlignment="1" applyProtection="1">
      <alignment horizontal="center"/>
      <protection locked="0"/>
    </xf>
    <xf numFmtId="0" fontId="0" fillId="2" borderId="10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10" xfId="0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center"/>
      <protection locked="0"/>
    </xf>
    <xf numFmtId="0" fontId="0" fillId="2" borderId="7" xfId="0" applyFill="1" applyBorder="1" applyAlignment="1" applyProtection="1">
      <alignment horizontal="center"/>
      <protection locked="0"/>
    </xf>
    <xf numFmtId="0" fontId="0" fillId="2" borderId="8" xfId="0" applyFill="1" applyBorder="1" applyAlignment="1" applyProtection="1">
      <alignment horizontal="center"/>
      <protection locked="0"/>
    </xf>
    <xf numFmtId="0" fontId="7" fillId="2" borderId="0" xfId="0" applyFont="1" applyFill="1" applyBorder="1" applyAlignment="1" applyProtection="1">
      <alignment horizontal="center"/>
      <protection locked="0"/>
    </xf>
    <xf numFmtId="0" fontId="9" fillId="0" borderId="0" xfId="0" applyFont="1" applyAlignment="1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2" fillId="5" borderId="2" xfId="0" applyFont="1" applyFill="1" applyBorder="1" applyAlignment="1" applyProtection="1">
      <alignment horizontal="center" vertical="center"/>
      <protection locked="0"/>
    </xf>
    <xf numFmtId="0" fontId="1" fillId="0" borderId="2" xfId="0" applyFont="1" applyBorder="1" applyAlignment="1" applyProtection="1">
      <alignment horizontal="center"/>
    </xf>
    <xf numFmtId="0" fontId="12" fillId="8" borderId="18" xfId="0" applyFont="1" applyFill="1" applyBorder="1" applyAlignment="1" applyProtection="1">
      <alignment horizontal="center"/>
      <protection locked="0"/>
    </xf>
    <xf numFmtId="0" fontId="13" fillId="0" borderId="0" xfId="15" applyBorder="1" applyAlignment="1">
      <alignment horizontal="left" vertical="center"/>
    </xf>
    <xf numFmtId="0" fontId="13" fillId="0" borderId="0" xfId="15" applyAlignment="1">
      <alignment horizontal="left" vertical="center"/>
    </xf>
    <xf numFmtId="0" fontId="14" fillId="0" borderId="0" xfId="15" applyFont="1" applyBorder="1" applyAlignment="1">
      <alignment horizontal="left" vertical="center"/>
    </xf>
    <xf numFmtId="0" fontId="13" fillId="0" borderId="24" xfId="15" applyBorder="1" applyAlignment="1">
      <alignment horizontal="left" vertical="center"/>
    </xf>
    <xf numFmtId="0" fontId="16" fillId="0" borderId="0" xfId="15" applyFont="1" applyBorder="1" applyAlignment="1">
      <alignment horizontal="left" vertical="center"/>
    </xf>
    <xf numFmtId="0" fontId="17" fillId="0" borderId="0" xfId="15" applyFont="1" applyBorder="1" applyAlignment="1">
      <alignment horizontal="left" vertical="center"/>
    </xf>
    <xf numFmtId="0" fontId="18" fillId="0" borderId="0" xfId="15" applyFont="1" applyBorder="1" applyAlignment="1">
      <alignment horizontal="left" vertical="center"/>
    </xf>
    <xf numFmtId="0" fontId="19" fillId="0" borderId="0" xfId="15" applyFont="1" applyAlignment="1">
      <alignment horizontal="left" vertical="center"/>
    </xf>
    <xf numFmtId="0" fontId="13" fillId="0" borderId="0" xfId="15" applyBorder="1"/>
    <xf numFmtId="0" fontId="20" fillId="0" borderId="14" xfId="15" applyFont="1" applyBorder="1" applyAlignment="1">
      <alignment horizontal="center"/>
    </xf>
    <xf numFmtId="0" fontId="13" fillId="4" borderId="14" xfId="15" applyFill="1" applyBorder="1" applyAlignment="1">
      <alignment horizontal="left" vertical="center"/>
    </xf>
    <xf numFmtId="0" fontId="21" fillId="4" borderId="15" xfId="15" applyFont="1" applyFill="1" applyBorder="1" applyAlignment="1">
      <alignment horizontal="right" vertical="center"/>
    </xf>
    <xf numFmtId="0" fontId="21" fillId="4" borderId="15" xfId="15" applyFont="1" applyFill="1" applyBorder="1" applyAlignment="1">
      <alignment horizontal="center" vertical="center"/>
    </xf>
    <xf numFmtId="0" fontId="21" fillId="4" borderId="15" xfId="15" applyFont="1" applyFill="1" applyBorder="1" applyAlignment="1">
      <alignment horizontal="left" vertical="center"/>
    </xf>
    <xf numFmtId="0" fontId="23" fillId="4" borderId="15" xfId="15" applyFont="1" applyFill="1" applyBorder="1" applyAlignment="1">
      <alignment horizontal="left" vertical="center"/>
    </xf>
    <xf numFmtId="0" fontId="18" fillId="4" borderId="16" xfId="15" applyFont="1" applyFill="1" applyBorder="1" applyAlignment="1">
      <alignment horizontal="left" vertical="center"/>
    </xf>
    <xf numFmtId="0" fontId="27" fillId="0" borderId="27" xfId="16" applyFont="1" applyFill="1" applyBorder="1" applyAlignment="1">
      <alignment horizontal="center" vertical="center" wrapText="1"/>
    </xf>
    <xf numFmtId="0" fontId="13" fillId="0" borderId="15" xfId="15" applyBorder="1" applyAlignment="1">
      <alignment horizontal="center" vertical="center"/>
    </xf>
    <xf numFmtId="0" fontId="13" fillId="0" borderId="16" xfId="15" applyBorder="1" applyAlignment="1">
      <alignment horizontal="center" vertical="center"/>
    </xf>
    <xf numFmtId="0" fontId="13" fillId="0" borderId="0" xfId="15"/>
    <xf numFmtId="0" fontId="31" fillId="0" borderId="9" xfId="15" applyFont="1" applyBorder="1" applyAlignment="1">
      <alignment vertical="center"/>
    </xf>
    <xf numFmtId="0" fontId="32" fillId="0" borderId="7" xfId="15" applyFont="1" applyBorder="1" applyAlignment="1">
      <alignment horizontal="right" vertical="center"/>
    </xf>
    <xf numFmtId="0" fontId="13" fillId="0" borderId="7" xfId="15" applyBorder="1"/>
    <xf numFmtId="0" fontId="13" fillId="0" borderId="8" xfId="15" applyBorder="1"/>
    <xf numFmtId="0" fontId="29" fillId="0" borderId="32" xfId="16" applyFont="1" applyFill="1" applyBorder="1" applyAlignment="1">
      <alignment horizontal="center" vertical="center" wrapText="1"/>
    </xf>
    <xf numFmtId="0" fontId="13" fillId="0" borderId="10" xfId="15" applyBorder="1"/>
    <xf numFmtId="0" fontId="31" fillId="0" borderId="0" xfId="15" applyFont="1" applyBorder="1" applyAlignment="1">
      <alignment vertical="center"/>
    </xf>
    <xf numFmtId="0" fontId="20" fillId="0" borderId="0" xfId="15" applyFont="1" applyBorder="1" applyAlignment="1">
      <alignment horizontal="right"/>
    </xf>
    <xf numFmtId="0" fontId="34" fillId="0" borderId="0" xfId="15" applyFont="1" applyBorder="1"/>
    <xf numFmtId="0" fontId="13" fillId="0" borderId="0" xfId="15" applyBorder="1" applyAlignment="1">
      <alignment horizontal="center" vertical="center"/>
    </xf>
    <xf numFmtId="0" fontId="13" fillId="0" borderId="0" xfId="15" applyFill="1" applyBorder="1" applyAlignment="1">
      <alignment horizontal="center" vertical="center"/>
    </xf>
    <xf numFmtId="0" fontId="13" fillId="0" borderId="9" xfId="15" applyBorder="1"/>
    <xf numFmtId="0" fontId="20" fillId="0" borderId="0" xfId="15" applyFont="1" applyFill="1" applyBorder="1" applyAlignment="1">
      <alignment horizontal="right"/>
    </xf>
    <xf numFmtId="0" fontId="39" fillId="0" borderId="0" xfId="15" applyFont="1" applyBorder="1"/>
    <xf numFmtId="0" fontId="43" fillId="0" borderId="0" xfId="15" applyFont="1" applyBorder="1" applyAlignment="1">
      <alignment horizontal="left" vertical="center"/>
    </xf>
    <xf numFmtId="0" fontId="20" fillId="0" borderId="0" xfId="15" applyFont="1" applyAlignment="1">
      <alignment horizontal="right"/>
    </xf>
    <xf numFmtId="0" fontId="44" fillId="0" borderId="0" xfId="15" applyFont="1" applyBorder="1"/>
    <xf numFmtId="0" fontId="44" fillId="0" borderId="37" xfId="15" applyFont="1" applyBorder="1"/>
    <xf numFmtId="0" fontId="20" fillId="0" borderId="0" xfId="15" applyFont="1" applyBorder="1"/>
    <xf numFmtId="0" fontId="44" fillId="0" borderId="41" xfId="15" applyFont="1" applyBorder="1"/>
    <xf numFmtId="0" fontId="47" fillId="0" borderId="42" xfId="15" applyFont="1" applyBorder="1" applyAlignment="1">
      <alignment horizontal="left"/>
    </xf>
    <xf numFmtId="0" fontId="47" fillId="0" borderId="43" xfId="15" applyFont="1" applyBorder="1" applyAlignment="1"/>
    <xf numFmtId="0" fontId="47" fillId="0" borderId="44" xfId="15" applyFont="1" applyBorder="1" applyAlignment="1">
      <alignment horizontal="right" vertical="center"/>
    </xf>
    <xf numFmtId="0" fontId="47" fillId="0" borderId="45" xfId="15" applyFont="1" applyBorder="1" applyAlignment="1">
      <alignment horizontal="left"/>
    </xf>
    <xf numFmtId="0" fontId="49" fillId="0" borderId="0" xfId="15" applyFont="1" applyBorder="1" applyAlignment="1">
      <alignment horizontal="left" vertical="top"/>
    </xf>
    <xf numFmtId="0" fontId="13" fillId="0" borderId="0" xfId="15" applyBorder="1" applyAlignment="1">
      <alignment wrapText="1"/>
    </xf>
    <xf numFmtId="0" fontId="13" fillId="0" borderId="41" xfId="15" applyBorder="1"/>
    <xf numFmtId="0" fontId="13" fillId="0" borderId="37" xfId="15" applyBorder="1"/>
    <xf numFmtId="0" fontId="52" fillId="0" borderId="0" xfId="15" applyFont="1" applyBorder="1" applyAlignment="1">
      <alignment vertical="center" wrapText="1"/>
    </xf>
    <xf numFmtId="0" fontId="52" fillId="0" borderId="0" xfId="15" quotePrefix="1" applyFont="1" applyBorder="1" applyAlignment="1">
      <alignment horizontal="center" vertical="center"/>
    </xf>
    <xf numFmtId="0" fontId="52" fillId="0" borderId="0" xfId="15" applyFont="1" applyFill="1" applyBorder="1" applyAlignment="1">
      <alignment horizontal="center" vertical="center"/>
    </xf>
    <xf numFmtId="0" fontId="52" fillId="0" borderId="0" xfId="15" applyFont="1" applyBorder="1"/>
    <xf numFmtId="0" fontId="52" fillId="0" borderId="0" xfId="15" applyFont="1" applyBorder="1" applyAlignment="1">
      <alignment vertical="center"/>
    </xf>
    <xf numFmtId="0" fontId="20" fillId="0" borderId="9" xfId="15" applyFont="1" applyBorder="1" applyAlignment="1">
      <alignment horizontal="left"/>
    </xf>
    <xf numFmtId="0" fontId="54" fillId="0" borderId="0" xfId="15" applyFont="1" applyBorder="1"/>
    <xf numFmtId="0" fontId="26" fillId="0" borderId="0" xfId="15" applyFont="1" applyBorder="1" applyAlignment="1">
      <alignment horizontal="right"/>
    </xf>
    <xf numFmtId="0" fontId="26" fillId="0" borderId="0" xfId="15" applyFont="1" applyBorder="1" applyAlignment="1">
      <alignment horizontal="center" vertical="center"/>
    </xf>
    <xf numFmtId="0" fontId="13" fillId="0" borderId="0" xfId="15" applyAlignment="1">
      <alignment horizontal="center" vertical="center"/>
    </xf>
    <xf numFmtId="0" fontId="13" fillId="15" borderId="59" xfId="15" applyFill="1" applyBorder="1" applyAlignment="1">
      <alignment horizontal="center" vertical="center"/>
    </xf>
    <xf numFmtId="0" fontId="13" fillId="15" borderId="60" xfId="15" applyFill="1" applyBorder="1" applyAlignment="1">
      <alignment horizontal="right" vertical="center"/>
    </xf>
    <xf numFmtId="0" fontId="13" fillId="15" borderId="0" xfId="15" applyFill="1" applyBorder="1" applyAlignment="1">
      <alignment horizontal="center" vertical="center"/>
    </xf>
    <xf numFmtId="0" fontId="13" fillId="15" borderId="0" xfId="15" applyFont="1" applyFill="1" applyBorder="1" applyAlignment="1">
      <alignment horizontal="center" vertical="center"/>
    </xf>
    <xf numFmtId="0" fontId="13" fillId="15" borderId="0" xfId="15" applyFont="1" applyFill="1" applyBorder="1" applyAlignment="1">
      <alignment horizontal="right" vertical="center"/>
    </xf>
    <xf numFmtId="0" fontId="13" fillId="0" borderId="10" xfId="15" applyBorder="1" applyAlignment="1">
      <alignment horizontal="center" vertical="center"/>
    </xf>
    <xf numFmtId="0" fontId="13" fillId="0" borderId="9" xfId="15" applyBorder="1" applyAlignment="1">
      <alignment horizontal="center" vertical="center"/>
    </xf>
    <xf numFmtId="0" fontId="32" fillId="0" borderId="0" xfId="15" applyFont="1" applyBorder="1" applyAlignment="1">
      <alignment horizontal="center" vertical="center"/>
    </xf>
    <xf numFmtId="0" fontId="32" fillId="0" borderId="0" xfId="15" applyFont="1" applyBorder="1" applyAlignment="1">
      <alignment horizontal="center" vertical="center" wrapText="1"/>
    </xf>
    <xf numFmtId="0" fontId="13" fillId="0" borderId="10" xfId="15" applyFont="1" applyBorder="1" applyAlignment="1">
      <alignment horizontal="center" vertical="center"/>
    </xf>
    <xf numFmtId="0" fontId="20" fillId="0" borderId="14" xfId="15" applyFont="1" applyFill="1" applyBorder="1" applyAlignment="1">
      <alignment horizontal="right"/>
    </xf>
    <xf numFmtId="0" fontId="13" fillId="0" borderId="15" xfId="15" applyBorder="1"/>
    <xf numFmtId="0" fontId="13" fillId="0" borderId="16" xfId="15" applyFill="1" applyBorder="1" applyAlignment="1">
      <alignment horizontal="right"/>
    </xf>
    <xf numFmtId="0" fontId="13" fillId="0" borderId="36" xfId="15" applyFont="1" applyBorder="1" applyAlignment="1">
      <alignment horizontal="center" vertical="center"/>
    </xf>
    <xf numFmtId="0" fontId="13" fillId="0" borderId="62" xfId="15" applyFont="1" applyBorder="1" applyAlignment="1">
      <alignment horizontal="center" vertical="center"/>
    </xf>
    <xf numFmtId="0" fontId="13" fillId="0" borderId="34" xfId="15" applyFont="1" applyBorder="1" applyAlignment="1">
      <alignment horizontal="center" vertical="center"/>
    </xf>
    <xf numFmtId="0" fontId="13" fillId="0" borderId="22" xfId="15" applyBorder="1" applyAlignment="1">
      <alignment horizontal="center"/>
    </xf>
    <xf numFmtId="0" fontId="13" fillId="0" borderId="22" xfId="15" applyBorder="1" applyAlignment="1">
      <alignment horizontal="center" vertical="center"/>
    </xf>
    <xf numFmtId="0" fontId="13" fillId="0" borderId="10" xfId="15" applyFont="1" applyBorder="1" applyAlignment="1">
      <alignment horizontal="left"/>
    </xf>
    <xf numFmtId="0" fontId="13" fillId="15" borderId="9" xfId="15" applyFill="1" applyBorder="1"/>
    <xf numFmtId="0" fontId="13" fillId="15" borderId="0" xfId="15" applyFill="1" applyBorder="1" applyAlignment="1">
      <alignment horizontal="right"/>
    </xf>
    <xf numFmtId="0" fontId="13" fillId="15" borderId="10" xfId="15" applyFill="1" applyBorder="1" applyAlignment="1">
      <alignment horizontal="right"/>
    </xf>
    <xf numFmtId="0" fontId="13" fillId="15" borderId="36" xfId="15" applyFont="1" applyFill="1" applyBorder="1" applyAlignment="1">
      <alignment horizontal="center" vertical="center"/>
    </xf>
    <xf numFmtId="0" fontId="13" fillId="15" borderId="62" xfId="15" applyFont="1" applyFill="1" applyBorder="1" applyAlignment="1">
      <alignment horizontal="center" vertical="center"/>
    </xf>
    <xf numFmtId="0" fontId="13" fillId="15" borderId="34" xfId="15" applyFont="1" applyFill="1" applyBorder="1" applyAlignment="1">
      <alignment horizontal="center" vertical="center"/>
    </xf>
    <xf numFmtId="0" fontId="13" fillId="15" borderId="23" xfId="15" applyFill="1" applyBorder="1" applyAlignment="1">
      <alignment horizontal="center"/>
    </xf>
    <xf numFmtId="0" fontId="13" fillId="15" borderId="23" xfId="15" applyFill="1" applyBorder="1" applyAlignment="1">
      <alignment horizontal="center" vertical="center"/>
    </xf>
    <xf numFmtId="0" fontId="13" fillId="0" borderId="0" xfId="15" applyFill="1" applyBorder="1" applyAlignment="1">
      <alignment horizontal="right"/>
    </xf>
    <xf numFmtId="0" fontId="13" fillId="0" borderId="10" xfId="15" applyFill="1" applyBorder="1" applyAlignment="1">
      <alignment horizontal="right"/>
    </xf>
    <xf numFmtId="0" fontId="13" fillId="0" borderId="36" xfId="15" applyBorder="1" applyAlignment="1">
      <alignment horizontal="center" vertical="center"/>
    </xf>
    <xf numFmtId="0" fontId="13" fillId="0" borderId="62" xfId="15" applyBorder="1" applyAlignment="1">
      <alignment horizontal="center" vertical="center"/>
    </xf>
    <xf numFmtId="0" fontId="13" fillId="0" borderId="34" xfId="15" applyBorder="1" applyAlignment="1">
      <alignment horizontal="center" vertical="center"/>
    </xf>
    <xf numFmtId="0" fontId="13" fillId="0" borderId="23" xfId="15" applyBorder="1" applyAlignment="1">
      <alignment horizontal="center"/>
    </xf>
    <xf numFmtId="0" fontId="13" fillId="0" borderId="23" xfId="15" applyBorder="1" applyAlignment="1">
      <alignment horizontal="center" vertical="center"/>
    </xf>
    <xf numFmtId="0" fontId="13" fillId="15" borderId="36" xfId="15" applyFill="1" applyBorder="1" applyAlignment="1">
      <alignment horizontal="center"/>
    </xf>
    <xf numFmtId="0" fontId="13" fillId="15" borderId="62" xfId="15" applyFill="1" applyBorder="1" applyAlignment="1">
      <alignment horizontal="center"/>
    </xf>
    <xf numFmtId="0" fontId="13" fillId="0" borderId="36" xfId="15" applyBorder="1" applyAlignment="1">
      <alignment horizontal="center"/>
    </xf>
    <xf numFmtId="0" fontId="13" fillId="0" borderId="62" xfId="15" applyBorder="1" applyAlignment="1">
      <alignment horizontal="center"/>
    </xf>
    <xf numFmtId="0" fontId="13" fillId="0" borderId="34" xfId="15" applyBorder="1" applyAlignment="1">
      <alignment horizontal="center"/>
    </xf>
    <xf numFmtId="164" fontId="13" fillId="0" borderId="23" xfId="15" applyNumberFormat="1" applyBorder="1" applyAlignment="1">
      <alignment horizontal="center"/>
    </xf>
    <xf numFmtId="164" fontId="13" fillId="0" borderId="0" xfId="15" applyNumberFormat="1" applyBorder="1" applyAlignment="1">
      <alignment horizontal="center" vertical="center"/>
    </xf>
    <xf numFmtId="0" fontId="13" fillId="0" borderId="35" xfId="15" applyBorder="1" applyAlignment="1">
      <alignment horizontal="center"/>
    </xf>
    <xf numFmtId="0" fontId="13" fillId="0" borderId="7" xfId="15" applyFill="1" applyBorder="1" applyAlignment="1">
      <alignment horizontal="right"/>
    </xf>
    <xf numFmtId="0" fontId="13" fillId="0" borderId="8" xfId="15" applyFill="1" applyBorder="1" applyAlignment="1">
      <alignment horizontal="right"/>
    </xf>
    <xf numFmtId="0" fontId="13" fillId="15" borderId="7" xfId="15" applyFill="1" applyBorder="1" applyAlignment="1">
      <alignment horizontal="right"/>
    </xf>
    <xf numFmtId="0" fontId="13" fillId="15" borderId="8" xfId="15" applyFill="1" applyBorder="1" applyAlignment="1">
      <alignment horizontal="right"/>
    </xf>
    <xf numFmtId="0" fontId="13" fillId="0" borderId="9" xfId="15" applyFill="1" applyBorder="1"/>
    <xf numFmtId="0" fontId="13" fillId="0" borderId="0" xfId="15" applyFill="1" applyBorder="1" applyAlignment="1">
      <alignment horizontal="center"/>
    </xf>
    <xf numFmtId="0" fontId="20" fillId="0" borderId="0" xfId="15" applyFont="1" applyFill="1" applyBorder="1" applyAlignment="1">
      <alignment horizontal="center"/>
    </xf>
    <xf numFmtId="0" fontId="20" fillId="0" borderId="0" xfId="15" applyFont="1" applyBorder="1" applyAlignment="1">
      <alignment horizontal="left" vertical="center"/>
    </xf>
    <xf numFmtId="0" fontId="13" fillId="0" borderId="0" xfId="15" applyBorder="1" applyAlignment="1">
      <alignment vertical="center"/>
    </xf>
    <xf numFmtId="0" fontId="20" fillId="0" borderId="0" xfId="15" applyFont="1" applyBorder="1" applyAlignment="1">
      <alignment horizontal="left"/>
    </xf>
    <xf numFmtId="0" fontId="20" fillId="0" borderId="0" xfId="15" applyFont="1" applyBorder="1" applyAlignment="1">
      <alignment horizontal="right" vertical="center"/>
    </xf>
    <xf numFmtId="0" fontId="13" fillId="0" borderId="9" xfId="15" applyBorder="1" applyAlignment="1">
      <alignment horizontal="right"/>
    </xf>
    <xf numFmtId="0" fontId="13" fillId="0" borderId="0" xfId="15" applyFill="1" applyBorder="1" applyAlignment="1">
      <alignment horizontal="left"/>
    </xf>
    <xf numFmtId="0" fontId="13" fillId="0" borderId="0" xfId="15" applyBorder="1" applyAlignment="1">
      <alignment horizontal="left"/>
    </xf>
    <xf numFmtId="0" fontId="13" fillId="0" borderId="0" xfId="15" quotePrefix="1" applyBorder="1"/>
    <xf numFmtId="0" fontId="13" fillId="0" borderId="0" xfId="15" applyFont="1" applyBorder="1" applyAlignment="1">
      <alignment horizontal="right"/>
    </xf>
    <xf numFmtId="0" fontId="32" fillId="0" borderId="0" xfId="15" applyFont="1" applyBorder="1" applyAlignment="1">
      <alignment horizontal="right"/>
    </xf>
    <xf numFmtId="0" fontId="13" fillId="0" borderId="63" xfId="15" applyBorder="1" applyAlignment="1">
      <alignment horizontal="right"/>
    </xf>
    <xf numFmtId="2" fontId="13" fillId="0" borderId="0" xfId="15" applyNumberFormat="1" applyBorder="1"/>
    <xf numFmtId="0" fontId="13" fillId="0" borderId="7" xfId="15" applyBorder="1" applyAlignment="1">
      <alignment horizontal="right"/>
    </xf>
    <xf numFmtId="0" fontId="13" fillId="0" borderId="7" xfId="15" applyBorder="1" applyAlignment="1">
      <alignment horizontal="center"/>
    </xf>
    <xf numFmtId="0" fontId="13" fillId="0" borderId="7" xfId="15" applyFont="1" applyBorder="1" applyAlignment="1">
      <alignment horizontal="right"/>
    </xf>
    <xf numFmtId="0" fontId="13" fillId="0" borderId="8" xfId="15" applyFont="1" applyBorder="1" applyAlignment="1">
      <alignment horizontal="left"/>
    </xf>
    <xf numFmtId="0" fontId="31" fillId="0" borderId="14" xfId="15" applyFont="1" applyBorder="1" applyAlignment="1">
      <alignment vertical="center"/>
    </xf>
    <xf numFmtId="0" fontId="20" fillId="0" borderId="15" xfId="15" applyFont="1" applyBorder="1" applyAlignment="1">
      <alignment horizontal="right"/>
    </xf>
    <xf numFmtId="0" fontId="32" fillId="0" borderId="0" xfId="15" applyFont="1" applyBorder="1" applyAlignment="1">
      <alignment horizontal="right" vertical="center"/>
    </xf>
    <xf numFmtId="0" fontId="20" fillId="0" borderId="0" xfId="15" applyFont="1"/>
    <xf numFmtId="0" fontId="24" fillId="0" borderId="0" xfId="16"/>
    <xf numFmtId="0" fontId="13" fillId="15" borderId="62" xfId="15" applyFill="1" applyBorder="1" applyAlignment="1"/>
    <xf numFmtId="2" fontId="13" fillId="0" borderId="36" xfId="15" applyNumberFormat="1" applyBorder="1" applyAlignment="1"/>
    <xf numFmtId="0" fontId="13" fillId="0" borderId="0" xfId="15" quotePrefix="1" applyFill="1" applyBorder="1" applyAlignment="1">
      <alignment horizontal="left"/>
    </xf>
    <xf numFmtId="0" fontId="0" fillId="2" borderId="0" xfId="0" applyFill="1" applyBorder="1" applyAlignment="1" applyProtection="1">
      <alignment horizontal="center" vertical="top"/>
      <protection locked="0"/>
    </xf>
    <xf numFmtId="0" fontId="2" fillId="0" borderId="0" xfId="0" applyFont="1"/>
    <xf numFmtId="0" fontId="62" fillId="0" borderId="0" xfId="0" applyFont="1" applyProtection="1">
      <protection locked="0"/>
    </xf>
    <xf numFmtId="0" fontId="62" fillId="16" borderId="14" xfId="0" applyFont="1" applyFill="1" applyBorder="1" applyAlignment="1" applyProtection="1">
      <alignment horizontal="center"/>
      <protection locked="0"/>
    </xf>
    <xf numFmtId="0" fontId="62" fillId="16" borderId="15" xfId="0" applyFont="1" applyFill="1" applyBorder="1" applyProtection="1">
      <protection locked="0"/>
    </xf>
    <xf numFmtId="0" fontId="62" fillId="16" borderId="15" xfId="0" applyFont="1" applyFill="1" applyBorder="1" applyAlignment="1" applyProtection="1">
      <alignment horizontal="center"/>
      <protection locked="0"/>
    </xf>
    <xf numFmtId="0" fontId="62" fillId="16" borderId="16" xfId="0" applyFont="1" applyFill="1" applyBorder="1" applyProtection="1">
      <protection locked="0"/>
    </xf>
    <xf numFmtId="0" fontId="63" fillId="0" borderId="0" xfId="0" applyFont="1" applyProtection="1">
      <protection locked="0"/>
    </xf>
    <xf numFmtId="0" fontId="62" fillId="16" borderId="9" xfId="0" applyFont="1" applyFill="1" applyBorder="1" applyProtection="1">
      <protection locked="0"/>
    </xf>
    <xf numFmtId="0" fontId="62" fillId="16" borderId="0" xfId="0" applyFont="1" applyFill="1" applyAlignment="1" applyProtection="1">
      <alignment horizontal="center"/>
      <protection locked="0"/>
    </xf>
    <xf numFmtId="0" fontId="62" fillId="16" borderId="10" xfId="0" applyFont="1" applyFill="1" applyBorder="1" applyProtection="1">
      <protection locked="0"/>
    </xf>
    <xf numFmtId="0" fontId="64" fillId="0" borderId="0" xfId="0" applyFont="1" applyProtection="1">
      <protection locked="0"/>
    </xf>
    <xf numFmtId="0" fontId="62" fillId="16" borderId="9" xfId="0" applyFont="1" applyFill="1" applyBorder="1" applyAlignment="1" applyProtection="1">
      <alignment horizontal="center"/>
      <protection locked="0"/>
    </xf>
    <xf numFmtId="0" fontId="62" fillId="16" borderId="0" xfId="0" applyFont="1" applyFill="1" applyAlignment="1" applyProtection="1">
      <alignment horizontal="center" vertical="top"/>
      <protection locked="0"/>
    </xf>
    <xf numFmtId="0" fontId="62" fillId="17" borderId="3" xfId="0" applyFont="1" applyFill="1" applyBorder="1" applyAlignment="1" applyProtection="1">
      <alignment horizontal="center"/>
      <protection locked="0"/>
    </xf>
    <xf numFmtId="0" fontId="62" fillId="17" borderId="4" xfId="0" applyFont="1" applyFill="1" applyBorder="1" applyAlignment="1" applyProtection="1">
      <alignment horizontal="center"/>
      <protection locked="0"/>
    </xf>
    <xf numFmtId="0" fontId="62" fillId="17" borderId="5" xfId="0" applyFont="1" applyFill="1" applyBorder="1" applyAlignment="1" applyProtection="1">
      <alignment horizontal="center"/>
      <protection locked="0"/>
    </xf>
    <xf numFmtId="0" fontId="62" fillId="16" borderId="10" xfId="0" applyFont="1" applyFill="1" applyBorder="1" applyAlignment="1" applyProtection="1">
      <alignment horizontal="center"/>
      <protection locked="0"/>
    </xf>
    <xf numFmtId="0" fontId="62" fillId="0" borderId="0" xfId="0" applyFont="1" applyAlignment="1" applyProtection="1">
      <alignment horizontal="center"/>
      <protection locked="0"/>
    </xf>
    <xf numFmtId="0" fontId="62" fillId="16" borderId="6" xfId="0" applyFont="1" applyFill="1" applyBorder="1" applyAlignment="1" applyProtection="1">
      <alignment horizontal="center"/>
      <protection locked="0"/>
    </xf>
    <xf numFmtId="0" fontId="62" fillId="16" borderId="7" xfId="0" applyFont="1" applyFill="1" applyBorder="1" applyAlignment="1" applyProtection="1">
      <alignment horizontal="center"/>
      <protection locked="0"/>
    </xf>
    <xf numFmtId="0" fontId="62" fillId="16" borderId="8" xfId="0" applyFont="1" applyFill="1" applyBorder="1" applyAlignment="1" applyProtection="1">
      <alignment horizontal="center"/>
      <protection locked="0"/>
    </xf>
    <xf numFmtId="0" fontId="66" fillId="0" borderId="2" xfId="0" applyFont="1" applyBorder="1" applyAlignment="1" applyProtection="1">
      <alignment horizontal="center"/>
    </xf>
    <xf numFmtId="0" fontId="66" fillId="0" borderId="9" xfId="0" applyFont="1" applyBorder="1" applyAlignment="1" applyProtection="1">
      <alignment horizontal="center"/>
    </xf>
    <xf numFmtId="0" fontId="66" fillId="0" borderId="0" xfId="0" applyFont="1" applyBorder="1" applyAlignment="1" applyProtection="1">
      <alignment horizontal="center"/>
      <protection locked="0"/>
    </xf>
    <xf numFmtId="0" fontId="66" fillId="0" borderId="10" xfId="0" applyFont="1" applyBorder="1" applyAlignment="1" applyProtection="1">
      <alignment horizontal="center"/>
      <protection locked="0"/>
    </xf>
    <xf numFmtId="0" fontId="66" fillId="0" borderId="0" xfId="0" applyFont="1" applyBorder="1" applyAlignment="1" applyProtection="1">
      <alignment horizontal="right"/>
    </xf>
    <xf numFmtId="0" fontId="1" fillId="0" borderId="15" xfId="0" applyFont="1" applyBorder="1" applyAlignment="1" applyProtection="1">
      <alignment horizontal="left"/>
    </xf>
    <xf numFmtId="0" fontId="1" fillId="0" borderId="15" xfId="0" applyFont="1" applyBorder="1" applyAlignment="1" applyProtection="1">
      <alignment horizontal="center"/>
      <protection locked="0"/>
    </xf>
    <xf numFmtId="0" fontId="1" fillId="0" borderId="16" xfId="0" applyFont="1" applyBorder="1" applyAlignment="1" applyProtection="1">
      <alignment horizontal="center"/>
      <protection locked="0"/>
    </xf>
    <xf numFmtId="0" fontId="68" fillId="11" borderId="58" xfId="15" applyFont="1" applyFill="1" applyBorder="1" applyAlignment="1">
      <alignment horizontal="center" vertical="center"/>
    </xf>
    <xf numFmtId="0" fontId="29" fillId="0" borderId="0" xfId="16" applyFont="1" applyFill="1" applyBorder="1" applyAlignment="1">
      <alignment horizontal="center" vertical="center" wrapText="1"/>
    </xf>
    <xf numFmtId="0" fontId="28" fillId="0" borderId="0" xfId="16" applyFont="1" applyBorder="1" applyAlignment="1">
      <alignment horizontal="center" vertical="center"/>
    </xf>
    <xf numFmtId="0" fontId="29" fillId="0" borderId="0" xfId="16" applyFont="1" applyFill="1" applyBorder="1" applyAlignment="1">
      <alignment horizontal="center" vertical="center"/>
    </xf>
    <xf numFmtId="0" fontId="69" fillId="0" borderId="0" xfId="0" applyFont="1"/>
    <xf numFmtId="15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70" fillId="0" borderId="0" xfId="0" applyFont="1" applyBorder="1" applyAlignment="1" applyProtection="1">
      <alignment horizontal="center"/>
      <protection locked="0"/>
    </xf>
    <xf numFmtId="0" fontId="71" fillId="0" borderId="2" xfId="0" applyFont="1" applyBorder="1" applyAlignment="1" applyProtection="1">
      <alignment horizontal="center"/>
    </xf>
    <xf numFmtId="0" fontId="71" fillId="0" borderId="9" xfId="0" applyFont="1" applyBorder="1" applyAlignment="1" applyProtection="1">
      <alignment horizontal="center"/>
    </xf>
    <xf numFmtId="0" fontId="71" fillId="0" borderId="0" xfId="0" applyFont="1" applyBorder="1" applyAlignment="1" applyProtection="1">
      <alignment horizontal="left"/>
    </xf>
    <xf numFmtId="0" fontId="71" fillId="0" borderId="0" xfId="0" applyFont="1" applyBorder="1" applyAlignment="1" applyProtection="1">
      <alignment horizontal="center"/>
      <protection locked="0"/>
    </xf>
    <xf numFmtId="0" fontId="71" fillId="0" borderId="10" xfId="0" applyFont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left"/>
      <protection locked="0"/>
    </xf>
    <xf numFmtId="0" fontId="68" fillId="14" borderId="74" xfId="15" applyFont="1" applyFill="1" applyBorder="1" applyAlignment="1">
      <alignment horizontal="center" vertical="center"/>
    </xf>
    <xf numFmtId="0" fontId="44" fillId="14" borderId="77" xfId="15" applyFont="1" applyFill="1" applyBorder="1" applyAlignment="1">
      <alignment horizontal="center" vertical="center"/>
    </xf>
    <xf numFmtId="0" fontId="20" fillId="0" borderId="46" xfId="15" applyFont="1" applyBorder="1" applyAlignment="1">
      <alignment horizontal="center" vertical="center"/>
    </xf>
    <xf numFmtId="0" fontId="20" fillId="0" borderId="47" xfId="15" applyFont="1" applyBorder="1" applyAlignment="1">
      <alignment horizontal="center" vertical="center"/>
    </xf>
    <xf numFmtId="0" fontId="20" fillId="0" borderId="48" xfId="15" applyFont="1" applyBorder="1" applyAlignment="1">
      <alignment horizontal="center" vertical="center"/>
    </xf>
    <xf numFmtId="0" fontId="59" fillId="12" borderId="53" xfId="15" applyFont="1" applyFill="1" applyBorder="1" applyAlignment="1">
      <alignment horizontal="center" vertical="center"/>
    </xf>
    <xf numFmtId="0" fontId="50" fillId="14" borderId="90" xfId="15" applyFont="1" applyFill="1" applyBorder="1" applyAlignment="1">
      <alignment horizontal="center" vertical="center"/>
    </xf>
    <xf numFmtId="0" fontId="47" fillId="14" borderId="93" xfId="15" applyFont="1" applyFill="1" applyBorder="1" applyAlignment="1">
      <alignment horizontal="center" vertical="center"/>
    </xf>
    <xf numFmtId="0" fontId="20" fillId="0" borderId="95" xfId="15" applyFont="1" applyBorder="1" applyAlignment="1">
      <alignment horizontal="center" vertical="center"/>
    </xf>
    <xf numFmtId="0" fontId="20" fillId="0" borderId="96" xfId="15" applyFont="1" applyBorder="1" applyAlignment="1">
      <alignment horizontal="center" vertical="center"/>
    </xf>
    <xf numFmtId="0" fontId="20" fillId="0" borderId="97" xfId="15" applyFont="1" applyBorder="1" applyAlignment="1">
      <alignment horizontal="center" vertical="center"/>
    </xf>
    <xf numFmtId="0" fontId="51" fillId="0" borderId="0" xfId="15" applyFont="1" applyBorder="1" applyAlignment="1">
      <alignment vertical="center"/>
    </xf>
    <xf numFmtId="0" fontId="53" fillId="0" borderId="0" xfId="15" applyFont="1" applyBorder="1" applyAlignment="1">
      <alignment vertical="center"/>
    </xf>
    <xf numFmtId="0" fontId="55" fillId="0" borderId="0" xfId="15" applyFont="1" applyBorder="1" applyAlignment="1">
      <alignment vertical="center"/>
    </xf>
    <xf numFmtId="0" fontId="56" fillId="0" borderId="0" xfId="15" applyFont="1" applyBorder="1" applyAlignment="1">
      <alignment vertical="center"/>
    </xf>
    <xf numFmtId="0" fontId="57" fillId="12" borderId="108" xfId="15" applyFont="1" applyFill="1" applyBorder="1" applyAlignment="1">
      <alignment horizontal="center" vertical="center"/>
    </xf>
    <xf numFmtId="0" fontId="50" fillId="11" borderId="104" xfId="15" applyFont="1" applyFill="1" applyBorder="1" applyAlignment="1">
      <alignment horizontal="center" vertical="center"/>
    </xf>
    <xf numFmtId="0" fontId="46" fillId="0" borderId="110" xfId="15" applyFont="1" applyBorder="1" applyAlignment="1"/>
    <xf numFmtId="0" fontId="47" fillId="0" borderId="111" xfId="15" applyFont="1" applyBorder="1" applyAlignment="1">
      <alignment horizontal="right" vertical="center"/>
    </xf>
    <xf numFmtId="0" fontId="44" fillId="0" borderId="38" xfId="15" applyFont="1" applyBorder="1" applyAlignment="1">
      <alignment horizontal="center" vertical="center"/>
    </xf>
    <xf numFmtId="0" fontId="44" fillId="0" borderId="39" xfId="15" applyFont="1" applyBorder="1" applyAlignment="1">
      <alignment horizontal="center" vertical="center"/>
    </xf>
    <xf numFmtId="0" fontId="44" fillId="0" borderId="40" xfId="15" applyFont="1" applyBorder="1" applyAlignment="1">
      <alignment horizontal="center" vertical="center"/>
    </xf>
    <xf numFmtId="0" fontId="20" fillId="0" borderId="112" xfId="15" applyFont="1" applyBorder="1" applyAlignment="1">
      <alignment horizontal="center" vertical="center"/>
    </xf>
    <xf numFmtId="0" fontId="47" fillId="0" borderId="116" xfId="15" applyFont="1" applyBorder="1" applyAlignment="1">
      <alignment horizontal="right" vertical="center"/>
    </xf>
    <xf numFmtId="0" fontId="0" fillId="2" borderId="0" xfId="0" applyFill="1" applyBorder="1" applyAlignment="1" applyProtection="1">
      <protection locked="0"/>
    </xf>
    <xf numFmtId="0" fontId="72" fillId="3" borderId="3" xfId="96" applyFont="1" applyFill="1" applyBorder="1"/>
    <xf numFmtId="0" fontId="72" fillId="3" borderId="4" xfId="96" applyFont="1" applyFill="1" applyBorder="1"/>
    <xf numFmtId="0" fontId="72" fillId="3" borderId="117" xfId="96" applyFont="1" applyFill="1" applyBorder="1"/>
    <xf numFmtId="0" fontId="2" fillId="0" borderId="0" xfId="0" applyFont="1" applyAlignment="1" applyProtection="1">
      <alignment horizontal="left" vertical="center"/>
      <protection locked="0"/>
    </xf>
    <xf numFmtId="0" fontId="2" fillId="0" borderId="0" xfId="0" applyFont="1" applyAlignment="1" applyProtection="1">
      <alignment horizontal="right"/>
      <protection locked="0"/>
    </xf>
    <xf numFmtId="0" fontId="62" fillId="16" borderId="0" xfId="0" applyFont="1" applyFill="1" applyAlignment="1" applyProtection="1">
      <protection locked="0"/>
    </xf>
    <xf numFmtId="0" fontId="62" fillId="16" borderId="0" xfId="0" applyFont="1" applyFill="1" applyBorder="1" applyAlignment="1" applyProtection="1">
      <protection locked="0"/>
    </xf>
    <xf numFmtId="0" fontId="62" fillId="16" borderId="118" xfId="0" applyFont="1" applyFill="1" applyBorder="1" applyAlignment="1" applyProtection="1">
      <protection locked="0"/>
    </xf>
    <xf numFmtId="0" fontId="62" fillId="17" borderId="117" xfId="0" applyFont="1" applyFill="1" applyBorder="1" applyAlignment="1" applyProtection="1">
      <alignment horizontal="center"/>
      <protection locked="0"/>
    </xf>
    <xf numFmtId="0" fontId="62" fillId="16" borderId="7" xfId="0" applyFont="1" applyFill="1" applyBorder="1" applyAlignment="1" applyProtection="1">
      <protection locked="0"/>
    </xf>
    <xf numFmtId="0" fontId="63" fillId="0" borderId="0" xfId="0" applyFont="1" applyAlignment="1" applyProtection="1">
      <alignment vertical="top"/>
      <protection locked="0"/>
    </xf>
    <xf numFmtId="0" fontId="75" fillId="6" borderId="22" xfId="96" applyFont="1" applyFill="1" applyBorder="1"/>
    <xf numFmtId="0" fontId="75" fillId="6" borderId="119" xfId="96" applyFont="1" applyFill="1" applyBorder="1"/>
    <xf numFmtId="0" fontId="1" fillId="0" borderId="0" xfId="0" applyFont="1" applyBorder="1" applyAlignment="1" applyProtection="1">
      <alignment horizontal="left"/>
    </xf>
    <xf numFmtId="0" fontId="1" fillId="0" borderId="9" xfId="0" applyFont="1" applyBorder="1" applyAlignment="1" applyProtection="1">
      <alignment horizontal="center"/>
    </xf>
    <xf numFmtId="0" fontId="71" fillId="0" borderId="0" xfId="0" applyFont="1" applyBorder="1" applyProtection="1"/>
    <xf numFmtId="0" fontId="70" fillId="0" borderId="2" xfId="0" applyFont="1" applyBorder="1" applyAlignment="1" applyProtection="1">
      <alignment horizontal="center"/>
    </xf>
    <xf numFmtId="0" fontId="70" fillId="0" borderId="9" xfId="0" applyFont="1" applyBorder="1" applyAlignment="1" applyProtection="1">
      <alignment horizontal="center"/>
    </xf>
    <xf numFmtId="0" fontId="70" fillId="0" borderId="0" xfId="0" applyFont="1" applyBorder="1" applyAlignment="1" applyProtection="1">
      <alignment horizontal="left"/>
    </xf>
    <xf numFmtId="0" fontId="70" fillId="0" borderId="10" xfId="0" applyFont="1" applyBorder="1" applyAlignment="1" applyProtection="1">
      <alignment horizontal="center"/>
      <protection locked="0"/>
    </xf>
    <xf numFmtId="0" fontId="70" fillId="0" borderId="0" xfId="0" applyFont="1" applyBorder="1" applyProtection="1"/>
    <xf numFmtId="0" fontId="62" fillId="0" borderId="22" xfId="0" applyFont="1" applyFill="1" applyBorder="1" applyAlignment="1" applyProtection="1">
      <alignment horizontal="center"/>
      <protection locked="0"/>
    </xf>
    <xf numFmtId="0" fontId="62" fillId="0" borderId="119" xfId="0" applyFont="1" applyFill="1" applyBorder="1" applyAlignment="1" applyProtection="1">
      <alignment horizontal="center"/>
      <protection locked="0"/>
    </xf>
    <xf numFmtId="0" fontId="71" fillId="0" borderId="0" xfId="0" applyFont="1" applyBorder="1" applyAlignment="1" applyProtection="1">
      <alignment horizontal="right"/>
    </xf>
    <xf numFmtId="0" fontId="0" fillId="0" borderId="0" xfId="0" applyFill="1" applyBorder="1" applyProtection="1">
      <protection locked="0"/>
    </xf>
    <xf numFmtId="0" fontId="0" fillId="0" borderId="21" xfId="0" applyFill="1" applyBorder="1" applyAlignment="1">
      <alignment horizontal="center"/>
    </xf>
    <xf numFmtId="0" fontId="1" fillId="0" borderId="14" xfId="0" applyFont="1" applyBorder="1" applyAlignment="1" applyProtection="1">
      <alignment horizontal="center"/>
    </xf>
    <xf numFmtId="0" fontId="1" fillId="0" borderId="0" xfId="0" applyFont="1" applyBorder="1" applyProtection="1"/>
    <xf numFmtId="0" fontId="2" fillId="0" borderId="0" xfId="0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Border="1" applyAlignment="1" applyProtection="1">
      <alignment horizontal="center"/>
      <protection locked="0"/>
    </xf>
    <xf numFmtId="0" fontId="0" fillId="0" borderId="0" xfId="0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/>
    </xf>
    <xf numFmtId="0" fontId="1" fillId="0" borderId="6" xfId="0" applyFont="1" applyBorder="1" applyAlignment="1" applyProtection="1">
      <alignment horizontal="center"/>
    </xf>
    <xf numFmtId="0" fontId="1" fillId="0" borderId="7" xfId="0" applyFont="1" applyBorder="1" applyAlignment="1" applyProtection="1">
      <alignment horizontal="center"/>
      <protection locked="0"/>
    </xf>
    <xf numFmtId="0" fontId="1" fillId="0" borderId="8" xfId="0" applyFont="1" applyBorder="1" applyAlignment="1" applyProtection="1">
      <alignment horizontal="center"/>
      <protection locked="0"/>
    </xf>
    <xf numFmtId="0" fontId="0" fillId="0" borderId="0" xfId="0" applyBorder="1" applyProtection="1"/>
    <xf numFmtId="0" fontId="0" fillId="0" borderId="7" xfId="0" applyBorder="1" applyAlignment="1" applyProtection="1">
      <alignment horizontal="left"/>
    </xf>
    <xf numFmtId="0" fontId="1" fillId="0" borderId="7" xfId="0" applyFont="1" applyBorder="1" applyAlignment="1" applyProtection="1">
      <alignment horizontal="left"/>
    </xf>
    <xf numFmtId="0" fontId="66" fillId="0" borderId="1" xfId="0" applyFont="1" applyBorder="1" applyAlignment="1" applyProtection="1">
      <alignment horizontal="center"/>
    </xf>
    <xf numFmtId="0" fontId="66" fillId="0" borderId="6" xfId="0" applyFont="1" applyBorder="1" applyAlignment="1" applyProtection="1">
      <alignment horizontal="center"/>
    </xf>
    <xf numFmtId="0" fontId="66" fillId="0" borderId="7" xfId="0" applyFont="1" applyBorder="1" applyAlignment="1" applyProtection="1">
      <alignment horizontal="center"/>
      <protection locked="0"/>
    </xf>
    <xf numFmtId="0" fontId="66" fillId="0" borderId="8" xfId="0" applyFont="1" applyBorder="1" applyAlignment="1" applyProtection="1">
      <alignment horizontal="center"/>
      <protection locked="0"/>
    </xf>
    <xf numFmtId="0" fontId="66" fillId="0" borderId="0" xfId="0" applyFont="1" applyBorder="1" applyAlignment="1" applyProtection="1">
      <alignment horizontal="left"/>
    </xf>
    <xf numFmtId="0" fontId="0" fillId="0" borderId="14" xfId="0" applyBorder="1" applyAlignment="1" applyProtection="1">
      <alignment horizontal="center"/>
    </xf>
    <xf numFmtId="0" fontId="0" fillId="0" borderId="15" xfId="0" applyBorder="1" applyAlignment="1" applyProtection="1">
      <alignment horizontal="left"/>
    </xf>
    <xf numFmtId="0" fontId="66" fillId="0" borderId="7" xfId="0" applyFont="1" applyBorder="1" applyAlignment="1" applyProtection="1">
      <alignment horizontal="right"/>
    </xf>
    <xf numFmtId="0" fontId="0" fillId="0" borderId="15" xfId="0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/>
      <protection locked="0"/>
    </xf>
    <xf numFmtId="0" fontId="71" fillId="0" borderId="1" xfId="0" applyFont="1" applyBorder="1" applyAlignment="1" applyProtection="1">
      <alignment horizontal="center"/>
    </xf>
    <xf numFmtId="0" fontId="71" fillId="0" borderId="70" xfId="0" applyFont="1" applyBorder="1" applyAlignment="1" applyProtection="1">
      <alignment horizontal="center"/>
    </xf>
    <xf numFmtId="0" fontId="71" fillId="0" borderId="7" xfId="0" applyFont="1" applyBorder="1" applyAlignment="1" applyProtection="1">
      <alignment horizontal="right"/>
    </xf>
    <xf numFmtId="0" fontId="71" fillId="0" borderId="7" xfId="0" applyFont="1" applyBorder="1" applyAlignment="1" applyProtection="1">
      <alignment horizontal="center"/>
      <protection locked="0"/>
    </xf>
    <xf numFmtId="0" fontId="71" fillId="0" borderId="8" xfId="0" applyFont="1" applyBorder="1" applyAlignment="1" applyProtection="1">
      <alignment horizontal="center"/>
      <protection locked="0"/>
    </xf>
    <xf numFmtId="16" fontId="1" fillId="0" borderId="0" xfId="0" quotePrefix="1" applyNumberFormat="1" applyFont="1" applyBorder="1" applyAlignment="1" applyProtection="1">
      <alignment horizontal="center"/>
      <protection locked="0"/>
    </xf>
    <xf numFmtId="49" fontId="0" fillId="0" borderId="15" xfId="0" applyNumberFormat="1" applyBorder="1" applyAlignment="1" applyProtection="1">
      <alignment horizontal="center"/>
      <protection locked="0"/>
    </xf>
    <xf numFmtId="49" fontId="0" fillId="0" borderId="0" xfId="0" applyNumberFormat="1" applyBorder="1" applyAlignment="1" applyProtection="1">
      <alignment horizontal="center"/>
      <protection locked="0"/>
    </xf>
    <xf numFmtId="49" fontId="71" fillId="0" borderId="0" xfId="0" applyNumberFormat="1" applyFont="1" applyBorder="1" applyAlignment="1" applyProtection="1">
      <alignment horizontal="center"/>
      <protection locked="0"/>
    </xf>
    <xf numFmtId="49" fontId="1" fillId="0" borderId="0" xfId="0" quotePrefix="1" applyNumberFormat="1" applyFont="1" applyBorder="1" applyAlignment="1" applyProtection="1">
      <alignment horizontal="center"/>
      <protection locked="0"/>
    </xf>
    <xf numFmtId="49" fontId="70" fillId="0" borderId="0" xfId="0" applyNumberFormat="1" applyFont="1" applyBorder="1" applyAlignment="1" applyProtection="1">
      <alignment horizontal="center"/>
      <protection locked="0"/>
    </xf>
    <xf numFmtId="49" fontId="66" fillId="0" borderId="0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Border="1" applyAlignment="1" applyProtection="1">
      <alignment horizontal="center"/>
      <protection locked="0"/>
    </xf>
    <xf numFmtId="49" fontId="66" fillId="0" borderId="7" xfId="0" applyNumberFormat="1" applyFont="1" applyBorder="1" applyAlignment="1" applyProtection="1">
      <alignment horizontal="center"/>
      <protection locked="0"/>
    </xf>
    <xf numFmtId="0" fontId="1" fillId="0" borderId="0" xfId="0" quotePrefix="1" applyFont="1" applyBorder="1" applyAlignment="1" applyProtection="1">
      <alignment horizontal="center"/>
      <protection locked="0"/>
    </xf>
    <xf numFmtId="16" fontId="0" fillId="0" borderId="0" xfId="0" applyNumberFormat="1" applyBorder="1" applyAlignment="1" applyProtection="1">
      <alignment horizontal="center"/>
      <protection locked="0"/>
    </xf>
    <xf numFmtId="0" fontId="70" fillId="0" borderId="0" xfId="0" quotePrefix="1" applyFont="1" applyBorder="1" applyAlignment="1" applyProtection="1">
      <alignment horizontal="center"/>
      <protection locked="0"/>
    </xf>
    <xf numFmtId="0" fontId="71" fillId="0" borderId="6" xfId="0" applyFont="1" applyBorder="1" applyAlignment="1" applyProtection="1">
      <alignment horizontal="center"/>
    </xf>
    <xf numFmtId="0" fontId="0" fillId="0" borderId="0" xfId="0" quotePrefix="1" applyBorder="1" applyAlignment="1" applyProtection="1">
      <alignment horizontal="center"/>
      <protection locked="0"/>
    </xf>
    <xf numFmtId="0" fontId="0" fillId="0" borderId="15" xfId="0" quotePrefix="1" applyBorder="1" applyAlignment="1" applyProtection="1">
      <alignment horizontal="center"/>
      <protection locked="0"/>
    </xf>
    <xf numFmtId="49" fontId="71" fillId="0" borderId="15" xfId="0" applyNumberFormat="1" applyFont="1" applyBorder="1" applyAlignment="1" applyProtection="1">
      <alignment horizontal="center"/>
      <protection locked="0"/>
    </xf>
    <xf numFmtId="0" fontId="76" fillId="0" borderId="9" xfId="0" applyFont="1" applyBorder="1" applyAlignment="1" applyProtection="1">
      <alignment horizontal="center"/>
    </xf>
    <xf numFmtId="0" fontId="77" fillId="0" borderId="9" xfId="0" applyFont="1" applyBorder="1" applyAlignment="1" applyProtection="1">
      <alignment horizontal="center"/>
    </xf>
    <xf numFmtId="0" fontId="77" fillId="0" borderId="0" xfId="0" applyFont="1" applyBorder="1" applyAlignment="1" applyProtection="1">
      <alignment horizontal="center"/>
    </xf>
    <xf numFmtId="0" fontId="79" fillId="0" borderId="15" xfId="0" applyFont="1" applyBorder="1" applyAlignment="1" applyProtection="1">
      <alignment horizontal="center"/>
      <protection locked="0"/>
    </xf>
    <xf numFmtId="0" fontId="79" fillId="0" borderId="0" xfId="0" applyFont="1" applyBorder="1" applyAlignment="1" applyProtection="1">
      <alignment horizontal="center"/>
      <protection locked="0"/>
    </xf>
    <xf numFmtId="0" fontId="80" fillId="0" borderId="0" xfId="0" applyFont="1" applyBorder="1" applyAlignment="1" applyProtection="1">
      <alignment horizontal="center"/>
      <protection locked="0"/>
    </xf>
    <xf numFmtId="0" fontId="81" fillId="0" borderId="0" xfId="0" applyFont="1" applyBorder="1" applyAlignment="1" applyProtection="1">
      <alignment horizontal="center"/>
      <protection locked="0"/>
    </xf>
    <xf numFmtId="0" fontId="81" fillId="0" borderId="0" xfId="0" applyFont="1" applyBorder="1" applyAlignment="1" applyProtection="1">
      <alignment horizontal="left"/>
    </xf>
    <xf numFmtId="0" fontId="79" fillId="0" borderId="0" xfId="0" applyFont="1" applyBorder="1" applyAlignment="1" applyProtection="1">
      <alignment horizontal="left"/>
    </xf>
    <xf numFmtId="0" fontId="80" fillId="0" borderId="0" xfId="0" applyFont="1" applyBorder="1" applyAlignment="1" applyProtection="1">
      <alignment horizontal="left"/>
    </xf>
    <xf numFmtId="0" fontId="82" fillId="0" borderId="9" xfId="0" applyFont="1" applyBorder="1" applyAlignment="1" applyProtection="1">
      <alignment horizontal="center"/>
    </xf>
    <xf numFmtId="0" fontId="80" fillId="0" borderId="0" xfId="0" applyFont="1" applyBorder="1" applyProtection="1"/>
    <xf numFmtId="0" fontId="81" fillId="0" borderId="9" xfId="0" applyFont="1" applyBorder="1" applyAlignment="1" applyProtection="1">
      <alignment horizontal="center"/>
    </xf>
    <xf numFmtId="0" fontId="78" fillId="0" borderId="9" xfId="0" applyFont="1" applyBorder="1" applyAlignment="1" applyProtection="1">
      <alignment horizontal="center"/>
      <protection locked="0"/>
    </xf>
    <xf numFmtId="0" fontId="82" fillId="0" borderId="9" xfId="0" applyFont="1" applyBorder="1" applyAlignment="1" applyProtection="1">
      <alignment horizontal="center"/>
      <protection locked="0"/>
    </xf>
    <xf numFmtId="49" fontId="83" fillId="14" borderId="15" xfId="0" applyNumberFormat="1" applyFont="1" applyFill="1" applyBorder="1" applyAlignment="1" applyProtection="1">
      <alignment horizontal="center"/>
      <protection locked="0"/>
    </xf>
    <xf numFmtId="49" fontId="83" fillId="0" borderId="0" xfId="0" applyNumberFormat="1" applyFont="1" applyBorder="1" applyAlignment="1" applyProtection="1">
      <alignment horizontal="center"/>
      <protection locked="0"/>
    </xf>
    <xf numFmtId="49" fontId="83" fillId="0" borderId="0" xfId="0" quotePrefix="1" applyNumberFormat="1" applyFont="1" applyBorder="1" applyAlignment="1" applyProtection="1">
      <alignment horizontal="center"/>
      <protection locked="0"/>
    </xf>
    <xf numFmtId="0" fontId="83" fillId="0" borderId="15" xfId="0" applyFont="1" applyBorder="1" applyAlignment="1" applyProtection="1">
      <alignment horizontal="center"/>
      <protection locked="0"/>
    </xf>
    <xf numFmtId="16" fontId="83" fillId="0" borderId="0" xfId="0" quotePrefix="1" applyNumberFormat="1" applyFont="1" applyBorder="1" applyAlignment="1" applyProtection="1">
      <alignment horizontal="center"/>
      <protection locked="0"/>
    </xf>
    <xf numFmtId="0" fontId="83" fillId="18" borderId="0" xfId="0" applyFont="1" applyFill="1" applyBorder="1" applyAlignment="1" applyProtection="1">
      <alignment horizontal="center"/>
      <protection locked="0"/>
    </xf>
    <xf numFmtId="0" fontId="83" fillId="0" borderId="0" xfId="0" quotePrefix="1" applyFont="1" applyBorder="1" applyAlignment="1" applyProtection="1">
      <alignment horizontal="center"/>
      <protection locked="0"/>
    </xf>
    <xf numFmtId="0" fontId="69" fillId="0" borderId="0" xfId="0" quotePrefix="1" applyFont="1" applyBorder="1" applyAlignment="1" applyProtection="1">
      <alignment horizontal="center"/>
      <protection locked="0"/>
    </xf>
    <xf numFmtId="0" fontId="69" fillId="0" borderId="15" xfId="0" quotePrefix="1" applyFont="1" applyBorder="1" applyAlignment="1" applyProtection="1">
      <alignment horizontal="center"/>
      <protection locked="0"/>
    </xf>
    <xf numFmtId="0" fontId="81" fillId="0" borderId="0" xfId="0" quotePrefix="1" applyFont="1" applyBorder="1" applyAlignment="1" applyProtection="1">
      <alignment horizontal="center"/>
      <protection locked="0"/>
    </xf>
    <xf numFmtId="0" fontId="67" fillId="0" borderId="0" xfId="0" applyFont="1" applyBorder="1" applyAlignment="1" applyProtection="1">
      <alignment horizontal="center"/>
      <protection locked="0"/>
    </xf>
    <xf numFmtId="0" fontId="82" fillId="0" borderId="0" xfId="0" applyFont="1" applyBorder="1" applyAlignment="1" applyProtection="1">
      <alignment horizontal="center"/>
      <protection locked="0"/>
    </xf>
    <xf numFmtId="49" fontId="81" fillId="0" borderId="0" xfId="0" quotePrefix="1" applyNumberFormat="1" applyFont="1" applyBorder="1" applyAlignment="1" applyProtection="1">
      <alignment horizontal="center"/>
      <protection locked="0"/>
    </xf>
    <xf numFmtId="0" fontId="84" fillId="0" borderId="0" xfId="0" applyFont="1" applyBorder="1" applyAlignment="1" applyProtection="1">
      <alignment horizontal="center"/>
      <protection locked="0"/>
    </xf>
    <xf numFmtId="0" fontId="85" fillId="0" borderId="0" xfId="0" applyFont="1" applyBorder="1" applyAlignment="1" applyProtection="1">
      <alignment horizontal="center"/>
      <protection locked="0"/>
    </xf>
    <xf numFmtId="0" fontId="81" fillId="0" borderId="15" xfId="0" applyFont="1" applyBorder="1" applyAlignment="1" applyProtection="1">
      <alignment horizontal="center"/>
      <protection locked="0"/>
    </xf>
    <xf numFmtId="0" fontId="81" fillId="0" borderId="0" xfId="0" applyFont="1" applyBorder="1" applyProtection="1"/>
    <xf numFmtId="0" fontId="86" fillId="0" borderId="9" xfId="0" applyFont="1" applyBorder="1" applyAlignment="1" applyProtection="1">
      <alignment horizontal="center"/>
    </xf>
    <xf numFmtId="0" fontId="13" fillId="15" borderId="35" xfId="15" applyFill="1" applyBorder="1" applyAlignment="1">
      <alignment horizontal="center"/>
    </xf>
    <xf numFmtId="0" fontId="13" fillId="15" borderId="34" xfId="15" applyFill="1" applyBorder="1" applyAlignment="1">
      <alignment horizontal="center"/>
    </xf>
    <xf numFmtId="0" fontId="13" fillId="15" borderId="60" xfId="15" applyFill="1" applyBorder="1" applyAlignment="1">
      <alignment horizontal="center" vertical="center"/>
    </xf>
    <xf numFmtId="0" fontId="13" fillId="0" borderId="0" xfId="15" applyBorder="1" applyAlignment="1">
      <alignment horizontal="right"/>
    </xf>
    <xf numFmtId="0" fontId="13" fillId="0" borderId="0" xfId="15" quotePrefix="1" applyBorder="1" applyAlignment="1">
      <alignment horizontal="center"/>
    </xf>
    <xf numFmtId="0" fontId="13" fillId="0" borderId="0" xfId="15" applyBorder="1" applyAlignment="1">
      <alignment horizontal="center"/>
    </xf>
    <xf numFmtId="2" fontId="20" fillId="0" borderId="0" xfId="15" applyNumberFormat="1" applyFont="1" applyBorder="1" applyAlignment="1">
      <alignment horizontal="right" vertical="center"/>
    </xf>
    <xf numFmtId="0" fontId="88" fillId="0" borderId="0" xfId="0" applyFont="1" applyBorder="1" applyAlignment="1" applyProtection="1">
      <alignment horizontal="center"/>
      <protection locked="0"/>
    </xf>
    <xf numFmtId="0" fontId="31" fillId="0" borderId="70" xfId="15" applyFont="1" applyBorder="1" applyAlignment="1">
      <alignment vertical="center"/>
    </xf>
    <xf numFmtId="0" fontId="87" fillId="0" borderId="0" xfId="115"/>
    <xf numFmtId="0" fontId="13" fillId="0" borderId="0" xfId="15" applyFont="1"/>
    <xf numFmtId="0" fontId="13" fillId="0" borderId="0" xfId="15" applyFont="1" applyBorder="1"/>
    <xf numFmtId="0" fontId="87" fillId="0" borderId="0" xfId="115" applyFont="1"/>
    <xf numFmtId="0" fontId="13" fillId="0" borderId="70" xfId="15" applyBorder="1"/>
    <xf numFmtId="2" fontId="13" fillId="0" borderId="119" xfId="15" applyNumberFormat="1" applyBorder="1" applyAlignment="1">
      <alignment horizontal="center"/>
    </xf>
    <xf numFmtId="0" fontId="13" fillId="0" borderId="119" xfId="15" applyBorder="1" applyAlignment="1">
      <alignment horizontal="center"/>
    </xf>
    <xf numFmtId="2" fontId="13" fillId="0" borderId="119" xfId="15" applyNumberFormat="1" applyBorder="1" applyAlignment="1">
      <alignment horizontal="center" vertical="center"/>
    </xf>
    <xf numFmtId="0" fontId="13" fillId="15" borderId="70" xfId="15" applyFill="1" applyBorder="1"/>
    <xf numFmtId="0" fontId="87" fillId="0" borderId="64" xfId="115" applyBorder="1"/>
    <xf numFmtId="0" fontId="87" fillId="0" borderId="65" xfId="115" applyFont="1" applyBorder="1"/>
    <xf numFmtId="0" fontId="89" fillId="0" borderId="41" xfId="15" applyFont="1" applyBorder="1" applyAlignment="1">
      <alignment vertical="center"/>
    </xf>
    <xf numFmtId="0" fontId="90" fillId="0" borderId="41" xfId="15" applyFont="1" applyBorder="1" applyAlignment="1">
      <alignment vertical="center"/>
    </xf>
    <xf numFmtId="0" fontId="91" fillId="0" borderId="41" xfId="15" applyFont="1" applyBorder="1" applyAlignment="1">
      <alignment vertical="center"/>
    </xf>
    <xf numFmtId="0" fontId="92" fillId="0" borderId="41" xfId="15" applyFont="1" applyBorder="1" applyAlignment="1">
      <alignment vertical="center"/>
    </xf>
    <xf numFmtId="0" fontId="87" fillId="0" borderId="66" xfId="115" applyFont="1" applyBorder="1"/>
    <xf numFmtId="0" fontId="13" fillId="0" borderId="119" xfId="15" applyBorder="1" applyAlignment="1">
      <alignment horizontal="center" vertical="center"/>
    </xf>
    <xf numFmtId="0" fontId="93" fillId="0" borderId="0" xfId="0" applyFont="1" applyBorder="1" applyAlignment="1" applyProtection="1">
      <alignment horizontal="left"/>
    </xf>
    <xf numFmtId="0" fontId="0" fillId="0" borderId="0" xfId="0" applyFill="1"/>
    <xf numFmtId="0" fontId="0" fillId="0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83" fillId="0" borderId="0" xfId="0" applyFont="1" applyBorder="1" applyAlignment="1" applyProtection="1">
      <alignment horizontal="center"/>
      <protection locked="0"/>
    </xf>
    <xf numFmtId="0" fontId="83" fillId="14" borderId="0" xfId="0" quotePrefix="1" applyFont="1" applyFill="1" applyBorder="1" applyAlignment="1" applyProtection="1">
      <alignment horizontal="center"/>
      <protection locked="0"/>
    </xf>
    <xf numFmtId="0" fontId="83" fillId="0" borderId="15" xfId="0" quotePrefix="1" applyFont="1" applyBorder="1" applyAlignment="1" applyProtection="1">
      <alignment horizontal="center"/>
      <protection locked="0"/>
    </xf>
    <xf numFmtId="0" fontId="83" fillId="18" borderId="0" xfId="0" quotePrefix="1" applyFont="1" applyFill="1" applyBorder="1" applyAlignment="1" applyProtection="1">
      <alignment horizontal="center"/>
      <protection locked="0"/>
    </xf>
    <xf numFmtId="0" fontId="81" fillId="0" borderId="0" xfId="0" applyFont="1" applyBorder="1" applyAlignment="1" applyProtection="1">
      <alignment horizontal="center"/>
    </xf>
    <xf numFmtId="0" fontId="80" fillId="0" borderId="9" xfId="0" applyFont="1" applyBorder="1" applyAlignment="1" applyProtection="1">
      <alignment horizontal="center"/>
    </xf>
    <xf numFmtId="0" fontId="79" fillId="0" borderId="9" xfId="0" applyFont="1" applyBorder="1" applyAlignment="1" applyProtection="1">
      <alignment horizontal="center"/>
      <protection locked="0"/>
    </xf>
    <xf numFmtId="0" fontId="80" fillId="0" borderId="0" xfId="0" applyFont="1" applyBorder="1" applyAlignment="1" applyProtection="1">
      <alignment horizontal="center"/>
    </xf>
    <xf numFmtId="0" fontId="0" fillId="0" borderId="0" xfId="0" applyFont="1" applyBorder="1" applyAlignment="1" applyProtection="1">
      <alignment horizontal="left"/>
    </xf>
    <xf numFmtId="0" fontId="67" fillId="0" borderId="9" xfId="0" applyFont="1" applyBorder="1" applyAlignment="1" applyProtection="1">
      <alignment horizontal="center"/>
    </xf>
    <xf numFmtId="0" fontId="80" fillId="0" borderId="7" xfId="0" applyFont="1" applyBorder="1" applyAlignment="1" applyProtection="1">
      <alignment horizontal="center"/>
    </xf>
    <xf numFmtId="0" fontId="94" fillId="19" borderId="3" xfId="0" applyFont="1" applyFill="1" applyBorder="1" applyAlignment="1" applyProtection="1">
      <alignment horizontal="center"/>
      <protection locked="0"/>
    </xf>
    <xf numFmtId="0" fontId="94" fillId="19" borderId="5" xfId="0" applyFont="1" applyFill="1" applyBorder="1" applyAlignment="1" applyProtection="1">
      <alignment horizontal="center"/>
      <protection locked="0"/>
    </xf>
    <xf numFmtId="0" fontId="94" fillId="19" borderId="117" xfId="0" applyFont="1" applyFill="1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2" borderId="0" xfId="0" applyFill="1" applyBorder="1" applyAlignment="1" applyProtection="1">
      <alignment horizontal="left"/>
      <protection locked="0"/>
    </xf>
    <xf numFmtId="0" fontId="73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3" fillId="15" borderId="35" xfId="15" applyFill="1" applyBorder="1" applyAlignment="1">
      <alignment horizontal="center"/>
    </xf>
    <xf numFmtId="0" fontId="13" fillId="15" borderId="34" xfId="15" applyFill="1" applyBorder="1" applyAlignment="1">
      <alignment horizontal="center"/>
    </xf>
    <xf numFmtId="0" fontId="47" fillId="13" borderId="102" xfId="15" applyFont="1" applyFill="1" applyBorder="1" applyAlignment="1">
      <alignment horizontal="center" vertical="center"/>
    </xf>
    <xf numFmtId="0" fontId="47" fillId="13" borderId="94" xfId="15" applyFont="1" applyFill="1" applyBorder="1" applyAlignment="1">
      <alignment horizontal="center" vertical="center"/>
    </xf>
    <xf numFmtId="0" fontId="47" fillId="13" borderId="101" xfId="15" applyFont="1" applyFill="1" applyBorder="1" applyAlignment="1">
      <alignment horizontal="center" wrapText="1"/>
    </xf>
    <xf numFmtId="0" fontId="47" fillId="13" borderId="90" xfId="15" applyFont="1" applyFill="1" applyBorder="1" applyAlignment="1">
      <alignment horizontal="center" wrapText="1"/>
    </xf>
    <xf numFmtId="0" fontId="13" fillId="15" borderId="61" xfId="15" applyFill="1" applyBorder="1" applyAlignment="1">
      <alignment horizontal="center" vertical="center"/>
    </xf>
    <xf numFmtId="0" fontId="13" fillId="15" borderId="60" xfId="15" applyFill="1" applyBorder="1" applyAlignment="1">
      <alignment horizontal="center" vertical="center"/>
    </xf>
    <xf numFmtId="0" fontId="13" fillId="15" borderId="55" xfId="15" applyFill="1" applyBorder="1" applyAlignment="1">
      <alignment horizontal="center" vertical="center"/>
    </xf>
    <xf numFmtId="0" fontId="13" fillId="0" borderId="0" xfId="15" quotePrefix="1" applyBorder="1" applyAlignment="1">
      <alignment horizontal="right"/>
    </xf>
    <xf numFmtId="0" fontId="13" fillId="0" borderId="0" xfId="15" applyBorder="1" applyAlignment="1">
      <alignment horizontal="right"/>
    </xf>
    <xf numFmtId="0" fontId="13" fillId="0" borderId="0" xfId="15" quotePrefix="1" applyBorder="1" applyAlignment="1">
      <alignment horizontal="center"/>
    </xf>
    <xf numFmtId="0" fontId="13" fillId="0" borderId="0" xfId="15" applyBorder="1" applyAlignment="1">
      <alignment horizontal="center"/>
    </xf>
    <xf numFmtId="2" fontId="13" fillId="0" borderId="34" xfId="15" applyNumberFormat="1" applyBorder="1" applyAlignment="1">
      <alignment horizontal="center"/>
    </xf>
    <xf numFmtId="2" fontId="13" fillId="0" borderId="35" xfId="15" applyNumberFormat="1" applyBorder="1" applyAlignment="1">
      <alignment horizontal="center"/>
    </xf>
    <xf numFmtId="2" fontId="13" fillId="0" borderId="36" xfId="15" applyNumberFormat="1" applyBorder="1" applyAlignment="1">
      <alignment horizontal="center"/>
    </xf>
    <xf numFmtId="0" fontId="20" fillId="0" borderId="9" xfId="15" applyFont="1" applyFill="1" applyBorder="1" applyAlignment="1">
      <alignment horizontal="right" wrapText="1"/>
    </xf>
    <xf numFmtId="0" fontId="20" fillId="0" borderId="0" xfId="15" applyFont="1" applyFill="1" applyBorder="1" applyAlignment="1">
      <alignment horizontal="right" wrapText="1"/>
    </xf>
    <xf numFmtId="2" fontId="20" fillId="0" borderId="0" xfId="15" applyNumberFormat="1" applyFont="1" applyBorder="1" applyAlignment="1">
      <alignment horizontal="right" vertical="center"/>
    </xf>
    <xf numFmtId="0" fontId="20" fillId="0" borderId="0" xfId="15" applyFont="1" applyBorder="1" applyAlignment="1">
      <alignment horizontal="center" vertical="center"/>
    </xf>
    <xf numFmtId="0" fontId="50" fillId="11" borderId="115" xfId="15" applyFont="1" applyFill="1" applyBorder="1" applyAlignment="1">
      <alignment horizontal="center" vertical="center"/>
    </xf>
    <xf numFmtId="0" fontId="50" fillId="11" borderId="114" xfId="15" applyFont="1" applyFill="1" applyBorder="1" applyAlignment="1">
      <alignment horizontal="center" vertical="center"/>
    </xf>
    <xf numFmtId="0" fontId="50" fillId="11" borderId="107" xfId="15" applyFont="1" applyFill="1" applyBorder="1" applyAlignment="1">
      <alignment horizontal="center" vertical="center"/>
    </xf>
    <xf numFmtId="0" fontId="50" fillId="11" borderId="92" xfId="15" applyFont="1" applyFill="1" applyBorder="1" applyAlignment="1">
      <alignment horizontal="center" vertical="center"/>
    </xf>
    <xf numFmtId="0" fontId="50" fillId="13" borderId="85" xfId="15" applyFont="1" applyFill="1" applyBorder="1" applyAlignment="1">
      <alignment horizontal="center" vertical="center" wrapText="1"/>
    </xf>
    <xf numFmtId="0" fontId="50" fillId="13" borderId="92" xfId="15" applyFont="1" applyFill="1" applyBorder="1" applyAlignment="1">
      <alignment horizontal="center" vertical="center" wrapText="1"/>
    </xf>
    <xf numFmtId="0" fontId="47" fillId="12" borderId="94" xfId="15" applyFont="1" applyFill="1" applyBorder="1" applyAlignment="1">
      <alignment horizontal="center" vertical="center"/>
    </xf>
    <xf numFmtId="0" fontId="47" fillId="12" borderId="114" xfId="15" applyFont="1" applyFill="1" applyBorder="1" applyAlignment="1">
      <alignment horizontal="center" vertical="center"/>
    </xf>
    <xf numFmtId="0" fontId="47" fillId="11" borderId="90" xfId="15" applyFont="1" applyFill="1" applyBorder="1" applyAlignment="1">
      <alignment horizontal="center" vertical="center"/>
    </xf>
    <xf numFmtId="0" fontId="47" fillId="11" borderId="99" xfId="15" applyFont="1" applyFill="1" applyBorder="1" applyAlignment="1">
      <alignment horizontal="center" vertical="center"/>
    </xf>
    <xf numFmtId="0" fontId="47" fillId="12" borderId="89" xfId="15" applyFont="1" applyFill="1" applyBorder="1" applyAlignment="1">
      <alignment horizontal="center" vertical="center"/>
    </xf>
    <xf numFmtId="0" fontId="47" fillId="12" borderId="91" xfId="15" applyFont="1" applyFill="1" applyBorder="1" applyAlignment="1">
      <alignment horizontal="center" vertical="center"/>
    </xf>
    <xf numFmtId="0" fontId="47" fillId="12" borderId="85" xfId="15" applyFont="1" applyFill="1" applyBorder="1" applyAlignment="1">
      <alignment horizontal="center" vertical="center"/>
    </xf>
    <xf numFmtId="0" fontId="47" fillId="12" borderId="92" xfId="15" applyFont="1" applyFill="1" applyBorder="1" applyAlignment="1">
      <alignment horizontal="center" vertical="center"/>
    </xf>
    <xf numFmtId="0" fontId="47" fillId="11" borderId="105" xfId="15" applyFont="1" applyFill="1" applyBorder="1" applyAlignment="1">
      <alignment horizontal="center" vertical="center"/>
    </xf>
    <xf numFmtId="0" fontId="47" fillId="11" borderId="104" xfId="15" applyFont="1" applyFill="1" applyBorder="1" applyAlignment="1">
      <alignment horizontal="center" vertical="center"/>
    </xf>
    <xf numFmtId="0" fontId="50" fillId="11" borderId="100" xfId="15" applyFont="1" applyFill="1" applyBorder="1" applyAlignment="1">
      <alignment horizontal="center" vertical="center"/>
    </xf>
    <xf numFmtId="0" fontId="50" fillId="11" borderId="91" xfId="15" applyFont="1" applyFill="1" applyBorder="1" applyAlignment="1">
      <alignment horizontal="center" vertical="center"/>
    </xf>
    <xf numFmtId="0" fontId="47" fillId="11" borderId="93" xfId="15" applyFont="1" applyFill="1" applyBorder="1" applyAlignment="1">
      <alignment horizontal="center" vertical="center"/>
    </xf>
    <xf numFmtId="0" fontId="50" fillId="12" borderId="113" xfId="15" applyFont="1" applyFill="1" applyBorder="1" applyAlignment="1">
      <alignment horizontal="center" vertical="center"/>
    </xf>
    <xf numFmtId="0" fontId="50" fillId="12" borderId="94" xfId="15" applyFont="1" applyFill="1" applyBorder="1" applyAlignment="1">
      <alignment horizontal="center" vertical="center"/>
    </xf>
    <xf numFmtId="0" fontId="50" fillId="12" borderId="88" xfId="15" applyFont="1" applyFill="1" applyBorder="1" applyAlignment="1">
      <alignment horizontal="center" vertical="center"/>
    </xf>
    <xf numFmtId="0" fontId="50" fillId="12" borderId="90" xfId="15" applyFont="1" applyFill="1" applyBorder="1" applyAlignment="1">
      <alignment horizontal="center" vertical="center"/>
    </xf>
    <xf numFmtId="0" fontId="50" fillId="12" borderId="86" xfId="15" applyFont="1" applyFill="1" applyBorder="1" applyAlignment="1">
      <alignment horizontal="center" vertical="center"/>
    </xf>
    <xf numFmtId="0" fontId="50" fillId="12" borderId="89" xfId="15" applyFont="1" applyFill="1" applyBorder="1" applyAlignment="1">
      <alignment horizontal="center" vertical="center"/>
    </xf>
    <xf numFmtId="0" fontId="50" fillId="12" borderId="87" xfId="15" applyFont="1" applyFill="1" applyBorder="1" applyAlignment="1">
      <alignment horizontal="center" vertical="center"/>
    </xf>
    <xf numFmtId="0" fontId="50" fillId="12" borderId="85" xfId="15" applyFont="1" applyFill="1" applyBorder="1" applyAlignment="1">
      <alignment horizontal="center" vertical="center"/>
    </xf>
    <xf numFmtId="0" fontId="50" fillId="11" borderId="86" xfId="15" applyFont="1" applyFill="1" applyBorder="1" applyAlignment="1">
      <alignment horizontal="center" vertical="center"/>
    </xf>
    <xf numFmtId="0" fontId="50" fillId="11" borderId="98" xfId="15" applyFont="1" applyFill="1" applyBorder="1" applyAlignment="1">
      <alignment horizontal="center" vertical="center"/>
    </xf>
    <xf numFmtId="0" fontId="50" fillId="11" borderId="87" xfId="15" applyFont="1" applyFill="1" applyBorder="1" applyAlignment="1">
      <alignment horizontal="center" vertical="center"/>
    </xf>
    <xf numFmtId="0" fontId="50" fillId="11" borderId="88" xfId="15" applyFont="1" applyFill="1" applyBorder="1" applyAlignment="1">
      <alignment horizontal="center" vertical="center"/>
    </xf>
    <xf numFmtId="0" fontId="50" fillId="11" borderId="93" xfId="15" applyFont="1" applyFill="1" applyBorder="1" applyAlignment="1">
      <alignment horizontal="center" vertical="center"/>
    </xf>
    <xf numFmtId="0" fontId="47" fillId="11" borderId="85" xfId="15" applyFont="1" applyFill="1" applyBorder="1" applyAlignment="1">
      <alignment horizontal="center" vertical="center"/>
    </xf>
    <xf numFmtId="0" fontId="47" fillId="11" borderId="92" xfId="15" applyFont="1" applyFill="1" applyBorder="1" applyAlignment="1">
      <alignment horizontal="center" vertical="center"/>
    </xf>
    <xf numFmtId="0" fontId="47" fillId="11" borderId="89" xfId="15" applyFont="1" applyFill="1" applyBorder="1" applyAlignment="1">
      <alignment horizontal="center" vertical="center"/>
    </xf>
    <xf numFmtId="0" fontId="47" fillId="11" borderId="91" xfId="15" applyFont="1" applyFill="1" applyBorder="1" applyAlignment="1">
      <alignment horizontal="center" vertical="center"/>
    </xf>
    <xf numFmtId="0" fontId="47" fillId="11" borderId="120" xfId="15" applyFont="1" applyFill="1" applyBorder="1" applyAlignment="1">
      <alignment horizontal="center" vertical="center"/>
    </xf>
    <xf numFmtId="0" fontId="47" fillId="11" borderId="121" xfId="15" applyFont="1" applyFill="1" applyBorder="1" applyAlignment="1">
      <alignment horizontal="center" vertical="center"/>
    </xf>
    <xf numFmtId="0" fontId="50" fillId="11" borderId="113" xfId="15" applyFont="1" applyFill="1" applyBorder="1" applyAlignment="1">
      <alignment horizontal="center" vertical="center"/>
    </xf>
    <xf numFmtId="0" fontId="50" fillId="11" borderId="94" xfId="15" applyFont="1" applyFill="1" applyBorder="1" applyAlignment="1">
      <alignment horizontal="center" vertical="center"/>
    </xf>
    <xf numFmtId="0" fontId="50" fillId="11" borderId="90" xfId="15" applyFont="1" applyFill="1" applyBorder="1" applyAlignment="1">
      <alignment horizontal="center" vertical="center"/>
    </xf>
    <xf numFmtId="0" fontId="50" fillId="11" borderId="89" xfId="15" applyFont="1" applyFill="1" applyBorder="1" applyAlignment="1">
      <alignment horizontal="center" vertical="center"/>
    </xf>
    <xf numFmtId="0" fontId="50" fillId="11" borderId="85" xfId="15" applyFont="1" applyFill="1" applyBorder="1" applyAlignment="1">
      <alignment horizontal="center" vertical="center"/>
    </xf>
    <xf numFmtId="0" fontId="47" fillId="11" borderId="94" xfId="15" applyFont="1" applyFill="1" applyBorder="1" applyAlignment="1">
      <alignment horizontal="center" vertical="center"/>
    </xf>
    <xf numFmtId="0" fontId="47" fillId="11" borderId="114" xfId="15" applyFont="1" applyFill="1" applyBorder="1" applyAlignment="1">
      <alignment horizontal="center" vertical="center"/>
    </xf>
    <xf numFmtId="0" fontId="47" fillId="0" borderId="103" xfId="15" applyFont="1" applyFill="1" applyBorder="1" applyAlignment="1">
      <alignment horizontal="center" vertical="center"/>
    </xf>
    <xf numFmtId="0" fontId="47" fillId="0" borderId="104" xfId="15" applyFont="1" applyFill="1" applyBorder="1" applyAlignment="1">
      <alignment horizontal="center" vertical="center"/>
    </xf>
    <xf numFmtId="0" fontId="47" fillId="11" borderId="106" xfId="15" applyFont="1" applyFill="1" applyBorder="1" applyAlignment="1">
      <alignment horizontal="center" vertical="center"/>
    </xf>
    <xf numFmtId="0" fontId="47" fillId="11" borderId="109" xfId="15" applyFont="1" applyFill="1" applyBorder="1" applyAlignment="1">
      <alignment horizontal="center" vertical="center"/>
    </xf>
    <xf numFmtId="0" fontId="29" fillId="0" borderId="27" xfId="16" applyFont="1" applyFill="1" applyBorder="1" applyAlignment="1">
      <alignment horizontal="center" vertical="center"/>
    </xf>
    <xf numFmtId="0" fontId="29" fillId="0" borderId="33" xfId="16" applyFont="1" applyFill="1" applyBorder="1" applyAlignment="1">
      <alignment horizontal="center" vertical="center"/>
    </xf>
    <xf numFmtId="0" fontId="30" fillId="0" borderId="27" xfId="16" applyFont="1" applyBorder="1" applyAlignment="1">
      <alignment horizontal="center" vertical="center"/>
    </xf>
    <xf numFmtId="0" fontId="30" fillId="0" borderId="33" xfId="16" applyFont="1" applyBorder="1" applyAlignment="1">
      <alignment horizontal="center" vertical="center"/>
    </xf>
    <xf numFmtId="0" fontId="50" fillId="11" borderId="99" xfId="15" applyFont="1" applyFill="1" applyBorder="1" applyAlignment="1">
      <alignment horizontal="center" vertical="center"/>
    </xf>
    <xf numFmtId="0" fontId="44" fillId="0" borderId="38" xfId="15" applyFont="1" applyBorder="1" applyAlignment="1">
      <alignment horizontal="right" vertical="center"/>
    </xf>
    <xf numFmtId="0" fontId="44" fillId="0" borderId="39" xfId="15" applyFont="1" applyBorder="1" applyAlignment="1">
      <alignment horizontal="right" vertical="center"/>
    </xf>
    <xf numFmtId="0" fontId="44" fillId="0" borderId="40" xfId="15" applyFont="1" applyBorder="1" applyAlignment="1">
      <alignment horizontal="right" vertical="center"/>
    </xf>
    <xf numFmtId="0" fontId="33" fillId="0" borderId="0" xfId="15" applyFont="1" applyBorder="1" applyAlignment="1">
      <alignment horizontal="center" vertical="center"/>
    </xf>
    <xf numFmtId="0" fontId="58" fillId="0" borderId="15" xfId="15" applyFont="1" applyFill="1" applyBorder="1" applyAlignment="1">
      <alignment horizontal="center" vertical="center"/>
    </xf>
    <xf numFmtId="0" fontId="35" fillId="0" borderId="34" xfId="15" applyFont="1" applyBorder="1" applyAlignment="1">
      <alignment horizontal="center" vertical="center"/>
    </xf>
    <xf numFmtId="0" fontId="35" fillId="0" borderId="35" xfId="15" applyFont="1" applyBorder="1" applyAlignment="1">
      <alignment horizontal="center" vertical="center"/>
    </xf>
    <xf numFmtId="0" fontId="35" fillId="0" borderId="36" xfId="15" applyFont="1" applyBorder="1" applyAlignment="1">
      <alignment horizontal="center" vertical="center"/>
    </xf>
    <xf numFmtId="0" fontId="25" fillId="0" borderId="14" xfId="16" applyFont="1" applyBorder="1" applyAlignment="1">
      <alignment horizontal="center" vertical="center"/>
    </xf>
    <xf numFmtId="0" fontId="25" fillId="0" borderId="16" xfId="16" applyFont="1" applyBorder="1" applyAlignment="1">
      <alignment horizontal="center" vertical="center"/>
    </xf>
    <xf numFmtId="0" fontId="25" fillId="0" borderId="28" xfId="16" applyFont="1" applyBorder="1" applyAlignment="1">
      <alignment horizontal="center" vertical="center"/>
    </xf>
    <xf numFmtId="0" fontId="25" fillId="0" borderId="29" xfId="16" applyFont="1" applyBorder="1" applyAlignment="1">
      <alignment horizontal="center" vertical="center"/>
    </xf>
    <xf numFmtId="0" fontId="26" fillId="9" borderId="25" xfId="15" applyFont="1" applyFill="1" applyBorder="1" applyAlignment="1">
      <alignment horizontal="center" vertical="center" wrapText="1"/>
    </xf>
    <xf numFmtId="0" fontId="26" fillId="9" borderId="30" xfId="15" applyFont="1" applyFill="1" applyBorder="1" applyAlignment="1">
      <alignment horizontal="center" vertical="center" wrapText="1"/>
    </xf>
    <xf numFmtId="0" fontId="26" fillId="10" borderId="26" xfId="15" applyFont="1" applyFill="1" applyBorder="1" applyAlignment="1">
      <alignment horizontal="center" vertical="center" wrapText="1"/>
    </xf>
    <xf numFmtId="0" fontId="26" fillId="10" borderId="31" xfId="15" applyFont="1" applyFill="1" applyBorder="1" applyAlignment="1">
      <alignment horizontal="center" vertical="center" wrapText="1"/>
    </xf>
    <xf numFmtId="0" fontId="28" fillId="0" borderId="27" xfId="16" applyFont="1" applyBorder="1" applyAlignment="1">
      <alignment horizontal="center" vertical="center"/>
    </xf>
    <xf numFmtId="0" fontId="28" fillId="0" borderId="32" xfId="16" applyFont="1" applyBorder="1" applyAlignment="1">
      <alignment horizontal="center" vertical="center"/>
    </xf>
    <xf numFmtId="0" fontId="50" fillId="12" borderId="96" xfId="15" applyFont="1" applyFill="1" applyBorder="1" applyAlignment="1">
      <alignment horizontal="center" vertical="center"/>
    </xf>
    <xf numFmtId="0" fontId="50" fillId="12" borderId="122" xfId="15" applyFont="1" applyFill="1" applyBorder="1" applyAlignment="1">
      <alignment horizontal="center" vertical="center"/>
    </xf>
    <xf numFmtId="0" fontId="33" fillId="0" borderId="15" xfId="15" applyFont="1" applyFill="1" applyBorder="1" applyAlignment="1">
      <alignment horizontal="center" vertical="center"/>
    </xf>
    <xf numFmtId="0" fontId="68" fillId="11" borderId="1" xfId="15" applyFont="1" applyFill="1" applyBorder="1" applyAlignment="1">
      <alignment horizontal="center" vertical="center"/>
    </xf>
    <xf numFmtId="0" fontId="68" fillId="11" borderId="76" xfId="15" applyFont="1" applyFill="1" applyBorder="1" applyAlignment="1">
      <alignment horizontal="center" vertical="center"/>
    </xf>
    <xf numFmtId="0" fontId="68" fillId="11" borderId="71" xfId="15" applyFont="1" applyFill="1" applyBorder="1" applyAlignment="1">
      <alignment horizontal="center" vertical="center"/>
    </xf>
    <xf numFmtId="0" fontId="68" fillId="11" borderId="51" xfId="15" applyFont="1" applyFill="1" applyBorder="1" applyAlignment="1">
      <alignment horizontal="center" vertical="center"/>
    </xf>
    <xf numFmtId="0" fontId="44" fillId="11" borderId="57" xfId="15" applyFont="1" applyFill="1" applyBorder="1" applyAlignment="1">
      <alignment horizontal="center" vertical="center"/>
    </xf>
    <xf numFmtId="0" fontId="44" fillId="11" borderId="51" xfId="15" applyFont="1" applyFill="1" applyBorder="1" applyAlignment="1">
      <alignment horizontal="center" vertical="center"/>
    </xf>
    <xf numFmtId="0" fontId="68" fillId="11" borderId="57" xfId="15" applyFont="1" applyFill="1" applyBorder="1" applyAlignment="1">
      <alignment horizontal="center" vertical="center"/>
    </xf>
    <xf numFmtId="0" fontId="68" fillId="12" borderId="71" xfId="15" applyFont="1" applyFill="1" applyBorder="1" applyAlignment="1">
      <alignment horizontal="center" vertical="center"/>
    </xf>
    <xf numFmtId="0" fontId="68" fillId="12" borderId="57" xfId="15" applyFont="1" applyFill="1" applyBorder="1" applyAlignment="1">
      <alignment horizontal="center" vertical="center"/>
    </xf>
    <xf numFmtId="0" fontId="44" fillId="12" borderId="57" xfId="15" applyFont="1" applyFill="1" applyBorder="1" applyAlignment="1">
      <alignment horizontal="center" vertical="center"/>
    </xf>
    <xf numFmtId="0" fontId="44" fillId="12" borderId="75" xfId="15" applyFont="1" applyFill="1" applyBorder="1" applyAlignment="1">
      <alignment horizontal="center" vertical="center"/>
    </xf>
    <xf numFmtId="0" fontId="68" fillId="11" borderId="54" xfId="15" applyFont="1" applyFill="1" applyBorder="1" applyAlignment="1">
      <alignment horizontal="center" vertical="center"/>
    </xf>
    <xf numFmtId="0" fontId="68" fillId="11" borderId="75" xfId="15" applyFont="1" applyFill="1" applyBorder="1" applyAlignment="1">
      <alignment horizontal="center" vertical="center"/>
    </xf>
    <xf numFmtId="0" fontId="68" fillId="12" borderId="72" xfId="15" applyFont="1" applyFill="1" applyBorder="1" applyAlignment="1">
      <alignment horizontal="center" vertical="center"/>
    </xf>
    <xf numFmtId="0" fontId="68" fillId="12" borderId="18" xfId="15" applyFont="1" applyFill="1" applyBorder="1" applyAlignment="1">
      <alignment horizontal="center" vertical="center"/>
    </xf>
    <xf numFmtId="0" fontId="44" fillId="12" borderId="18" xfId="15" applyFont="1" applyFill="1" applyBorder="1" applyAlignment="1">
      <alignment horizontal="center" vertical="center"/>
    </xf>
    <xf numFmtId="0" fontId="44" fillId="12" borderId="76" xfId="15" applyFont="1" applyFill="1" applyBorder="1" applyAlignment="1">
      <alignment horizontal="center" vertical="center"/>
    </xf>
    <xf numFmtId="0" fontId="68" fillId="11" borderId="80" xfId="15" applyFont="1" applyFill="1" applyBorder="1" applyAlignment="1">
      <alignment horizontal="center" vertical="center"/>
    </xf>
    <xf numFmtId="0" fontId="68" fillId="11" borderId="81" xfId="15" applyFont="1" applyFill="1" applyBorder="1" applyAlignment="1">
      <alignment horizontal="center" vertical="center"/>
    </xf>
    <xf numFmtId="0" fontId="44" fillId="0" borderId="82" xfId="15" applyFont="1" applyFill="1" applyBorder="1" applyAlignment="1">
      <alignment horizontal="center" vertical="center"/>
    </xf>
    <xf numFmtId="0" fontId="44" fillId="0" borderId="83" xfId="15" applyFont="1" applyFill="1" applyBorder="1" applyAlignment="1">
      <alignment horizontal="center" vertical="center"/>
    </xf>
    <xf numFmtId="0" fontId="68" fillId="11" borderId="19" xfId="15" applyFont="1" applyFill="1" applyBorder="1" applyAlignment="1">
      <alignment horizontal="center" vertical="center"/>
    </xf>
    <xf numFmtId="0" fontId="44" fillId="11" borderId="19" xfId="15" applyFont="1" applyFill="1" applyBorder="1" applyAlignment="1">
      <alignment horizontal="center" vertical="center"/>
    </xf>
    <xf numFmtId="0" fontId="44" fillId="11" borderId="84" xfId="15" applyFont="1" applyFill="1" applyBorder="1" applyAlignment="1">
      <alignment horizontal="center" vertical="center"/>
    </xf>
    <xf numFmtId="0" fontId="68" fillId="12" borderId="80" xfId="15" applyFont="1" applyFill="1" applyBorder="1" applyAlignment="1">
      <alignment horizontal="center" vertical="center"/>
    </xf>
    <xf numFmtId="0" fontId="68" fillId="12" borderId="19" xfId="15" applyFont="1" applyFill="1" applyBorder="1" applyAlignment="1">
      <alignment horizontal="center" vertical="center"/>
    </xf>
    <xf numFmtId="0" fontId="44" fillId="11" borderId="75" xfId="15" applyFont="1" applyFill="1" applyBorder="1" applyAlignment="1">
      <alignment horizontal="center" vertical="center"/>
    </xf>
    <xf numFmtId="0" fontId="44" fillId="11" borderId="74" xfId="15" applyFont="1" applyFill="1" applyBorder="1" applyAlignment="1">
      <alignment horizontal="center" vertical="center"/>
    </xf>
    <xf numFmtId="0" fontId="44" fillId="11" borderId="52" xfId="15" applyFont="1" applyFill="1" applyBorder="1" applyAlignment="1">
      <alignment horizontal="center" vertical="center"/>
    </xf>
    <xf numFmtId="0" fontId="68" fillId="11" borderId="72" xfId="15" applyFont="1" applyFill="1" applyBorder="1" applyAlignment="1">
      <alignment horizontal="center" vertical="center"/>
    </xf>
    <xf numFmtId="0" fontId="68" fillId="11" borderId="18" xfId="15" applyFont="1" applyFill="1" applyBorder="1" applyAlignment="1">
      <alignment horizontal="center" vertical="center"/>
    </xf>
    <xf numFmtId="0" fontId="44" fillId="11" borderId="18" xfId="15" applyFont="1" applyFill="1" applyBorder="1" applyAlignment="1">
      <alignment horizontal="center" vertical="center"/>
    </xf>
    <xf numFmtId="0" fontId="44" fillId="11" borderId="76" xfId="15" applyFont="1" applyFill="1" applyBorder="1" applyAlignment="1">
      <alignment horizontal="center" vertical="center"/>
    </xf>
    <xf numFmtId="0" fontId="68" fillId="13" borderId="18" xfId="15" applyFont="1" applyFill="1" applyBorder="1" applyAlignment="1">
      <alignment horizontal="center" vertical="center" wrapText="1"/>
    </xf>
    <xf numFmtId="0" fontId="68" fillId="13" borderId="76" xfId="15" applyFont="1" applyFill="1" applyBorder="1" applyAlignment="1">
      <alignment horizontal="center" vertical="center" wrapText="1"/>
    </xf>
    <xf numFmtId="0" fontId="68" fillId="11" borderId="73" xfId="15" applyFont="1" applyFill="1" applyBorder="1" applyAlignment="1">
      <alignment horizontal="center" vertical="center"/>
    </xf>
    <xf numFmtId="0" fontId="68" fillId="11" borderId="77" xfId="15" applyFont="1" applyFill="1" applyBorder="1" applyAlignment="1">
      <alignment horizontal="center" vertical="center"/>
    </xf>
    <xf numFmtId="0" fontId="44" fillId="0" borderId="78" xfId="15" applyFont="1" applyFill="1" applyBorder="1" applyAlignment="1">
      <alignment horizontal="center" vertical="center"/>
    </xf>
    <xf numFmtId="0" fontId="44" fillId="0" borderId="79" xfId="15" applyFont="1" applyFill="1" applyBorder="1" applyAlignment="1">
      <alignment horizontal="center" vertical="center"/>
    </xf>
    <xf numFmtId="0" fontId="68" fillId="11" borderId="74" xfId="15" applyFont="1" applyFill="1" applyBorder="1" applyAlignment="1">
      <alignment horizontal="center" vertical="center"/>
    </xf>
    <xf numFmtId="0" fontId="44" fillId="11" borderId="77" xfId="15" applyFont="1" applyFill="1" applyBorder="1" applyAlignment="1">
      <alignment horizontal="center" vertical="center"/>
    </xf>
    <xf numFmtId="0" fontId="68" fillId="12" borderId="73" xfId="15" applyFont="1" applyFill="1" applyBorder="1" applyAlignment="1">
      <alignment horizontal="center" vertical="center"/>
    </xf>
    <xf numFmtId="0" fontId="68" fillId="12" borderId="74" xfId="15" applyFont="1" applyFill="1" applyBorder="1" applyAlignment="1">
      <alignment horizontal="center" vertical="center"/>
    </xf>
    <xf numFmtId="0" fontId="44" fillId="13" borderId="49" xfId="15" applyFont="1" applyFill="1" applyBorder="1" applyAlignment="1">
      <alignment horizontal="center" vertical="center" wrapText="1"/>
    </xf>
    <xf numFmtId="0" fontId="44" fillId="13" borderId="74" xfId="15" applyFont="1" applyFill="1" applyBorder="1" applyAlignment="1">
      <alignment horizontal="center" vertical="center"/>
    </xf>
    <xf numFmtId="0" fontId="44" fillId="13" borderId="67" xfId="15" applyFont="1" applyFill="1" applyBorder="1" applyAlignment="1">
      <alignment horizontal="center" vertical="center"/>
    </xf>
    <xf numFmtId="0" fontId="44" fillId="13" borderId="20" xfId="15" applyFont="1" applyFill="1" applyBorder="1" applyAlignment="1">
      <alignment horizontal="center" vertical="center"/>
    </xf>
    <xf numFmtId="0" fontId="44" fillId="11" borderId="56" xfId="15" applyFont="1" applyFill="1" applyBorder="1" applyAlignment="1">
      <alignment horizontal="center" vertical="center"/>
    </xf>
    <xf numFmtId="0" fontId="44" fillId="11" borderId="58" xfId="15" applyFont="1" applyFill="1" applyBorder="1" applyAlignment="1">
      <alignment horizontal="center" vertical="center"/>
    </xf>
    <xf numFmtId="0" fontId="45" fillId="11" borderId="74" xfId="15" applyFont="1" applyFill="1" applyBorder="1" applyAlignment="1">
      <alignment horizontal="center" vertical="center"/>
    </xf>
    <xf numFmtId="0" fontId="28" fillId="0" borderId="68" xfId="16" applyFont="1" applyBorder="1" applyAlignment="1">
      <alignment horizontal="center" vertical="center"/>
    </xf>
    <xf numFmtId="0" fontId="28" fillId="0" borderId="69" xfId="16" applyFont="1" applyBorder="1" applyAlignment="1">
      <alignment horizontal="center" vertical="center"/>
    </xf>
    <xf numFmtId="0" fontId="20" fillId="0" borderId="50" xfId="15" applyFont="1" applyBorder="1" applyAlignment="1">
      <alignment horizontal="center" vertical="center"/>
    </xf>
    <xf numFmtId="0" fontId="68" fillId="11" borderId="3" xfId="15" applyFont="1" applyFill="1" applyBorder="1" applyAlignment="1">
      <alignment horizontal="center" vertical="center"/>
    </xf>
    <xf numFmtId="0" fontId="44" fillId="11" borderId="3" xfId="15" applyFont="1" applyFill="1" applyBorder="1" applyAlignment="1">
      <alignment horizontal="center" vertical="center"/>
    </xf>
    <xf numFmtId="0" fontId="12" fillId="8" borderId="18" xfId="0" applyFont="1" applyFill="1" applyBorder="1" applyAlignment="1" applyProtection="1">
      <alignment horizontal="center" wrapText="1"/>
      <protection locked="0"/>
    </xf>
    <xf numFmtId="0" fontId="12" fillId="8" borderId="18" xfId="0" applyFont="1" applyFill="1" applyBorder="1" applyAlignment="1">
      <alignment horizontal="center"/>
    </xf>
    <xf numFmtId="0" fontId="11" fillId="7" borderId="19" xfId="0" applyFont="1" applyFill="1" applyBorder="1" applyAlignment="1" applyProtection="1">
      <alignment horizontal="center"/>
      <protection locked="0"/>
    </xf>
    <xf numFmtId="0" fontId="11" fillId="7" borderId="21" xfId="0" applyFont="1" applyFill="1" applyBorder="1" applyAlignment="1" applyProtection="1">
      <alignment horizontal="center"/>
      <protection locked="0"/>
    </xf>
    <xf numFmtId="0" fontId="11" fillId="7" borderId="20" xfId="0" applyFont="1" applyFill="1" applyBorder="1" applyAlignment="1" applyProtection="1">
      <alignment horizontal="center"/>
      <protection locked="0"/>
    </xf>
    <xf numFmtId="0" fontId="62" fillId="16" borderId="0" xfId="0" applyFont="1" applyFill="1" applyAlignment="1" applyProtection="1">
      <alignment horizontal="left"/>
      <protection locked="0"/>
    </xf>
    <xf numFmtId="0" fontId="67" fillId="0" borderId="0" xfId="0" applyFont="1" applyAlignment="1" applyProtection="1">
      <alignment horizontal="left"/>
      <protection locked="0"/>
    </xf>
    <xf numFmtId="0" fontId="74" fillId="0" borderId="9" xfId="0" applyFont="1" applyBorder="1" applyAlignment="1" applyProtection="1">
      <alignment horizontal="center" vertical="center"/>
      <protection locked="0"/>
    </xf>
    <xf numFmtId="0" fontId="65" fillId="0" borderId="0" xfId="0" applyFont="1" applyBorder="1" applyAlignment="1" applyProtection="1">
      <alignment horizontal="center" vertical="center"/>
      <protection locked="0"/>
    </xf>
    <xf numFmtId="0" fontId="8" fillId="0" borderId="9" xfId="0" applyFont="1" applyBorder="1" applyAlignment="1" applyProtection="1">
      <alignment horizontal="center" vertical="center"/>
      <protection locked="0"/>
    </xf>
    <xf numFmtId="0" fontId="8" fillId="0" borderId="0" xfId="0" applyFont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/>
      <protection locked="0"/>
    </xf>
    <xf numFmtId="0" fontId="62" fillId="16" borderId="7" xfId="0" applyFont="1" applyFill="1" applyBorder="1" applyAlignment="1" applyProtection="1">
      <alignment horizontal="left"/>
      <protection locked="0"/>
    </xf>
    <xf numFmtId="0" fontId="12" fillId="8" borderId="3" xfId="0" applyFont="1" applyFill="1" applyBorder="1" applyAlignment="1">
      <alignment horizontal="center"/>
    </xf>
    <xf numFmtId="0" fontId="11" fillId="7" borderId="82" xfId="0" applyFont="1" applyFill="1" applyBorder="1" applyAlignment="1" applyProtection="1">
      <alignment horizontal="center"/>
      <protection locked="0"/>
    </xf>
  </cellXfs>
  <cellStyles count="116">
    <cellStyle name="Excel Built-in Normal" xfId="15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96" builtinId="8"/>
    <cellStyle name="Normal" xfId="0" builtinId="0"/>
    <cellStyle name="Normal 2" xfId="16"/>
    <cellStyle name="Normal 3" xfId="115"/>
  </cellStyles>
  <dxfs count="1287"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 patternType="solid">
          <fgColor indexed="64"/>
          <bgColor rgb="FFDDD6E8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</dxfs>
  <tableStyles count="0" defaultTableStyle="TableStyleMedium9" defaultPivotStyle="PivotStyleMedium4"/>
  <colors>
    <mruColors>
      <color rgb="FF33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308134</xdr:colOff>
      <xdr:row>23</xdr:row>
      <xdr:rowOff>131497</xdr:rowOff>
    </xdr:from>
    <xdr:to>
      <xdr:col>42</xdr:col>
      <xdr:colOff>701833</xdr:colOff>
      <xdr:row>38</xdr:row>
      <xdr:rowOff>166954</xdr:rowOff>
    </xdr:to>
    <xdr:pic>
      <xdr:nvPicPr>
        <xdr:cNvPr id="2" name="Picture 1" descr="staveFaceConvention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81134" y="4643966"/>
          <a:ext cx="2894012" cy="29405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406718</xdr:colOff>
      <xdr:row>19</xdr:row>
      <xdr:rowOff>180976</xdr:rowOff>
    </xdr:from>
    <xdr:to>
      <xdr:col>43</xdr:col>
      <xdr:colOff>80963</xdr:colOff>
      <xdr:row>78</xdr:row>
      <xdr:rowOff>142875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41718" y="4848226"/>
          <a:ext cx="7103745" cy="4414837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=""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3</xdr:col>
      <xdr:colOff>380999</xdr:colOff>
      <xdr:row>8</xdr:row>
      <xdr:rowOff>400793</xdr:rowOff>
    </xdr:from>
    <xdr:to>
      <xdr:col>3</xdr:col>
      <xdr:colOff>576942</xdr:colOff>
      <xdr:row>22</xdr:row>
      <xdr:rowOff>171204</xdr:rowOff>
    </xdr:to>
    <xdr:sp macro="" textlink="">
      <xdr:nvSpPr>
        <xdr:cNvPr id="3" name="Left Brace 2"/>
        <xdr:cNvSpPr/>
      </xdr:nvSpPr>
      <xdr:spPr bwMode="auto">
        <a:xfrm>
          <a:off x="1904999" y="2791568"/>
          <a:ext cx="195943" cy="2570761"/>
        </a:xfrm>
        <a:prstGeom prst="leftBrac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54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896594</xdr:colOff>
      <xdr:row>15</xdr:row>
      <xdr:rowOff>108857</xdr:rowOff>
    </xdr:from>
    <xdr:to>
      <xdr:col>2</xdr:col>
      <xdr:colOff>1212280</xdr:colOff>
      <xdr:row>16</xdr:row>
      <xdr:rowOff>32658</xdr:rowOff>
    </xdr:to>
    <xdr:cxnSp macro="">
      <xdr:nvCxnSpPr>
        <xdr:cNvPr id="4" name="Straight Arrow Connector 3"/>
        <xdr:cNvCxnSpPr/>
      </xdr:nvCxnSpPr>
      <xdr:spPr bwMode="auto">
        <a:xfrm>
          <a:off x="1163294" y="3966482"/>
          <a:ext cx="315686" cy="114301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853051</xdr:colOff>
      <xdr:row>16</xdr:row>
      <xdr:rowOff>163286</xdr:rowOff>
    </xdr:from>
    <xdr:to>
      <xdr:col>2</xdr:col>
      <xdr:colOff>1190508</xdr:colOff>
      <xdr:row>17</xdr:row>
      <xdr:rowOff>119743</xdr:rowOff>
    </xdr:to>
    <xdr:cxnSp macro="">
      <xdr:nvCxnSpPr>
        <xdr:cNvPr id="5" name="Straight Arrow Connector 4"/>
        <xdr:cNvCxnSpPr/>
      </xdr:nvCxnSpPr>
      <xdr:spPr bwMode="auto">
        <a:xfrm flipV="1">
          <a:off x="1119751" y="4211411"/>
          <a:ext cx="337457" cy="146957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14</xdr:col>
      <xdr:colOff>702733</xdr:colOff>
      <xdr:row>0</xdr:row>
      <xdr:rowOff>19050</xdr:rowOff>
    </xdr:from>
    <xdr:ext cx="7041957" cy="990601"/>
    <xdr:sp macro="" textlink="">
      <xdr:nvSpPr>
        <xdr:cNvPr id="6" name="Rectangle 5"/>
        <xdr:cNvSpPr/>
      </xdr:nvSpPr>
      <xdr:spPr>
        <a:xfrm>
          <a:off x="12532783" y="19050"/>
          <a:ext cx="7041957" cy="99060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WIP-14-Feb-17:0</a:t>
          </a:r>
        </a:p>
      </xdr:txBody>
    </xdr:sp>
    <xdr:clientData/>
  </xdr:oneCellAnchor>
  <xdr:twoCellAnchor>
    <xdr:from>
      <xdr:col>3</xdr:col>
      <xdr:colOff>380999</xdr:colOff>
      <xdr:row>74</xdr:row>
      <xdr:rowOff>400793</xdr:rowOff>
    </xdr:from>
    <xdr:to>
      <xdr:col>3</xdr:col>
      <xdr:colOff>576942</xdr:colOff>
      <xdr:row>88</xdr:row>
      <xdr:rowOff>171204</xdr:rowOff>
    </xdr:to>
    <xdr:sp macro="" textlink="">
      <xdr:nvSpPr>
        <xdr:cNvPr id="7" name="Left Brace 6"/>
        <xdr:cNvSpPr/>
      </xdr:nvSpPr>
      <xdr:spPr bwMode="auto">
        <a:xfrm>
          <a:off x="1904999" y="17831543"/>
          <a:ext cx="195943" cy="2570761"/>
        </a:xfrm>
        <a:prstGeom prst="leftBrac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54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896594</xdr:colOff>
      <xdr:row>81</xdr:row>
      <xdr:rowOff>108857</xdr:rowOff>
    </xdr:from>
    <xdr:to>
      <xdr:col>2</xdr:col>
      <xdr:colOff>1212280</xdr:colOff>
      <xdr:row>82</xdr:row>
      <xdr:rowOff>32658</xdr:rowOff>
    </xdr:to>
    <xdr:cxnSp macro="">
      <xdr:nvCxnSpPr>
        <xdr:cNvPr id="8" name="Straight Arrow Connector 7"/>
        <xdr:cNvCxnSpPr/>
      </xdr:nvCxnSpPr>
      <xdr:spPr bwMode="auto">
        <a:xfrm>
          <a:off x="1163294" y="19006457"/>
          <a:ext cx="315686" cy="114301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853051</xdr:colOff>
      <xdr:row>82</xdr:row>
      <xdr:rowOff>163286</xdr:rowOff>
    </xdr:from>
    <xdr:to>
      <xdr:col>2</xdr:col>
      <xdr:colOff>1190508</xdr:colOff>
      <xdr:row>83</xdr:row>
      <xdr:rowOff>119743</xdr:rowOff>
    </xdr:to>
    <xdr:cxnSp macro="">
      <xdr:nvCxnSpPr>
        <xdr:cNvPr id="9" name="Straight Arrow Connector 8"/>
        <xdr:cNvCxnSpPr/>
      </xdr:nvCxnSpPr>
      <xdr:spPr bwMode="auto">
        <a:xfrm flipV="1">
          <a:off x="1119751" y="19251386"/>
          <a:ext cx="337457" cy="146957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14</xdr:col>
      <xdr:colOff>702733</xdr:colOff>
      <xdr:row>67</xdr:row>
      <xdr:rowOff>19050</xdr:rowOff>
    </xdr:from>
    <xdr:ext cx="7041957" cy="990601"/>
    <xdr:sp macro="" textlink="">
      <xdr:nvSpPr>
        <xdr:cNvPr id="10" name="Rectangle 9"/>
        <xdr:cNvSpPr/>
      </xdr:nvSpPr>
      <xdr:spPr>
        <a:xfrm>
          <a:off x="12532783" y="15154275"/>
          <a:ext cx="7041957" cy="99060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WIP-14-Feb-17:0</a:t>
          </a:r>
        </a:p>
      </xdr:txBody>
    </xdr:sp>
    <xdr:clientData/>
  </xdr:oneCellAnchor>
  <xdr:twoCellAnchor>
    <xdr:from>
      <xdr:col>13</xdr:col>
      <xdr:colOff>512618</xdr:colOff>
      <xdr:row>54</xdr:row>
      <xdr:rowOff>41563</xdr:rowOff>
    </xdr:from>
    <xdr:to>
      <xdr:col>14</xdr:col>
      <xdr:colOff>526472</xdr:colOff>
      <xdr:row>58</xdr:row>
      <xdr:rowOff>110836</xdr:rowOff>
    </xdr:to>
    <xdr:cxnSp macro="">
      <xdr:nvCxnSpPr>
        <xdr:cNvPr id="11" name="Straight Arrow Connector 10"/>
        <xdr:cNvCxnSpPr/>
      </xdr:nvCxnSpPr>
      <xdr:spPr bwMode="auto">
        <a:xfrm flipH="1" flipV="1">
          <a:off x="11380643" y="12719338"/>
          <a:ext cx="975879" cy="831273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512619</xdr:colOff>
      <xdr:row>54</xdr:row>
      <xdr:rowOff>13854</xdr:rowOff>
    </xdr:from>
    <xdr:to>
      <xdr:col>19</xdr:col>
      <xdr:colOff>928255</xdr:colOff>
      <xdr:row>54</xdr:row>
      <xdr:rowOff>27709</xdr:rowOff>
    </xdr:to>
    <xdr:cxnSp macro="">
      <xdr:nvCxnSpPr>
        <xdr:cNvPr id="12" name="Straight Arrow Connector 11"/>
        <xdr:cNvCxnSpPr/>
      </xdr:nvCxnSpPr>
      <xdr:spPr bwMode="auto">
        <a:xfrm flipH="1" flipV="1">
          <a:off x="7437294" y="12691629"/>
          <a:ext cx="10274011" cy="13855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540339</xdr:colOff>
      <xdr:row>54</xdr:row>
      <xdr:rowOff>69272</xdr:rowOff>
    </xdr:from>
    <xdr:to>
      <xdr:col>20</xdr:col>
      <xdr:colOff>554193</xdr:colOff>
      <xdr:row>58</xdr:row>
      <xdr:rowOff>138545</xdr:rowOff>
    </xdr:to>
    <xdr:cxnSp macro="">
      <xdr:nvCxnSpPr>
        <xdr:cNvPr id="13" name="Straight Arrow Connector 12"/>
        <xdr:cNvCxnSpPr/>
      </xdr:nvCxnSpPr>
      <xdr:spPr bwMode="auto">
        <a:xfrm flipH="1" flipV="1">
          <a:off x="17323389" y="12747047"/>
          <a:ext cx="975879" cy="831273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609617</xdr:colOff>
      <xdr:row>120</xdr:row>
      <xdr:rowOff>69419</xdr:rowOff>
    </xdr:from>
    <xdr:to>
      <xdr:col>14</xdr:col>
      <xdr:colOff>623471</xdr:colOff>
      <xdr:row>124</xdr:row>
      <xdr:rowOff>138692</xdr:rowOff>
    </xdr:to>
    <xdr:cxnSp macro="">
      <xdr:nvCxnSpPr>
        <xdr:cNvPr id="14" name="Straight Arrow Connector 13"/>
        <xdr:cNvCxnSpPr/>
      </xdr:nvCxnSpPr>
      <xdr:spPr bwMode="auto">
        <a:xfrm flipH="1" flipV="1">
          <a:off x="11477642" y="27787169"/>
          <a:ext cx="975879" cy="831273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609618</xdr:colOff>
      <xdr:row>120</xdr:row>
      <xdr:rowOff>41710</xdr:rowOff>
    </xdr:from>
    <xdr:to>
      <xdr:col>19</xdr:col>
      <xdr:colOff>1025254</xdr:colOff>
      <xdr:row>120</xdr:row>
      <xdr:rowOff>55565</xdr:rowOff>
    </xdr:to>
    <xdr:cxnSp macro="">
      <xdr:nvCxnSpPr>
        <xdr:cNvPr id="15" name="Straight Arrow Connector 14"/>
        <xdr:cNvCxnSpPr/>
      </xdr:nvCxnSpPr>
      <xdr:spPr bwMode="auto">
        <a:xfrm flipH="1" flipV="1">
          <a:off x="7534293" y="27759460"/>
          <a:ext cx="10207336" cy="13855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637338</xdr:colOff>
      <xdr:row>120</xdr:row>
      <xdr:rowOff>97128</xdr:rowOff>
    </xdr:from>
    <xdr:to>
      <xdr:col>20</xdr:col>
      <xdr:colOff>651192</xdr:colOff>
      <xdr:row>124</xdr:row>
      <xdr:rowOff>166401</xdr:rowOff>
    </xdr:to>
    <xdr:cxnSp macro="">
      <xdr:nvCxnSpPr>
        <xdr:cNvPr id="16" name="Straight Arrow Connector 15"/>
        <xdr:cNvCxnSpPr/>
      </xdr:nvCxnSpPr>
      <xdr:spPr bwMode="auto">
        <a:xfrm flipH="1" flipV="1">
          <a:off x="17420388" y="27814878"/>
          <a:ext cx="975879" cy="831273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27</xdr:col>
      <xdr:colOff>309563</xdr:colOff>
      <xdr:row>19</xdr:row>
      <xdr:rowOff>142875</xdr:rowOff>
    </xdr:from>
    <xdr:to>
      <xdr:col>30</xdr:col>
      <xdr:colOff>244568</xdr:colOff>
      <xdr:row>140</xdr:row>
      <xdr:rowOff>57151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59376" y="4810125"/>
          <a:ext cx="1590674" cy="8275864"/>
        </a:xfrm>
        <a:prstGeom prst="rect">
          <a:avLst/>
        </a:prstGeom>
      </xdr:spPr>
    </xdr:pic>
    <xdr:clientData/>
  </xdr:twoCellAnchor>
  <xdr:twoCellAnchor editAs="oneCell">
    <xdr:from>
      <xdr:col>27</xdr:col>
      <xdr:colOff>223836</xdr:colOff>
      <xdr:row>0</xdr:row>
      <xdr:rowOff>859972</xdr:rowOff>
    </xdr:from>
    <xdr:to>
      <xdr:col>39</xdr:col>
      <xdr:colOff>446633</xdr:colOff>
      <xdr:row>18</xdr:row>
      <xdr:rowOff>98368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4443300" y="859972"/>
          <a:ext cx="7178449" cy="3674325"/>
        </a:xfrm>
        <a:prstGeom prst="rect">
          <a:avLst/>
        </a:prstGeom>
      </xdr:spPr>
    </xdr:pic>
    <xdr:clientData/>
  </xdr:twoCellAnchor>
  <xdr:twoCellAnchor>
    <xdr:from>
      <xdr:col>30</xdr:col>
      <xdr:colOff>406718</xdr:colOff>
      <xdr:row>19</xdr:row>
      <xdr:rowOff>180976</xdr:rowOff>
    </xdr:from>
    <xdr:to>
      <xdr:col>43</xdr:col>
      <xdr:colOff>80963</xdr:colOff>
      <xdr:row>78</xdr:row>
      <xdr:rowOff>142875</xdr:rowOff>
    </xdr:to>
    <xdr:pic>
      <xdr:nvPicPr>
        <xdr:cNvPr id="20" name="Picture 19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32343" y="4810126"/>
          <a:ext cx="6979920" cy="4419599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=""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808080"/>
              </a:solidFill>
              <a:round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3</xdr:col>
      <xdr:colOff>380999</xdr:colOff>
      <xdr:row>8</xdr:row>
      <xdr:rowOff>400793</xdr:rowOff>
    </xdr:from>
    <xdr:to>
      <xdr:col>3</xdr:col>
      <xdr:colOff>576942</xdr:colOff>
      <xdr:row>22</xdr:row>
      <xdr:rowOff>171204</xdr:rowOff>
    </xdr:to>
    <xdr:sp macro="" textlink="">
      <xdr:nvSpPr>
        <xdr:cNvPr id="21" name="Left Brace 20"/>
        <xdr:cNvSpPr/>
      </xdr:nvSpPr>
      <xdr:spPr bwMode="auto">
        <a:xfrm>
          <a:off x="2133599" y="2801093"/>
          <a:ext cx="195943" cy="2570761"/>
        </a:xfrm>
        <a:prstGeom prst="leftBrac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54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896594</xdr:colOff>
      <xdr:row>15</xdr:row>
      <xdr:rowOff>108857</xdr:rowOff>
    </xdr:from>
    <xdr:to>
      <xdr:col>2</xdr:col>
      <xdr:colOff>1212280</xdr:colOff>
      <xdr:row>16</xdr:row>
      <xdr:rowOff>32658</xdr:rowOff>
    </xdr:to>
    <xdr:cxnSp macro="">
      <xdr:nvCxnSpPr>
        <xdr:cNvPr id="22" name="Straight Arrow Connector 21"/>
        <xdr:cNvCxnSpPr/>
      </xdr:nvCxnSpPr>
      <xdr:spPr bwMode="auto">
        <a:xfrm>
          <a:off x="1753844" y="3976007"/>
          <a:ext cx="1361" cy="114301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853051</xdr:colOff>
      <xdr:row>16</xdr:row>
      <xdr:rowOff>163286</xdr:rowOff>
    </xdr:from>
    <xdr:to>
      <xdr:col>2</xdr:col>
      <xdr:colOff>1190508</xdr:colOff>
      <xdr:row>17</xdr:row>
      <xdr:rowOff>119743</xdr:rowOff>
    </xdr:to>
    <xdr:cxnSp macro="">
      <xdr:nvCxnSpPr>
        <xdr:cNvPr id="23" name="Straight Arrow Connector 22"/>
        <xdr:cNvCxnSpPr/>
      </xdr:nvCxnSpPr>
      <xdr:spPr bwMode="auto">
        <a:xfrm flipV="1">
          <a:off x="1729351" y="4220936"/>
          <a:ext cx="23132" cy="146957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14</xdr:col>
      <xdr:colOff>702733</xdr:colOff>
      <xdr:row>0</xdr:row>
      <xdr:rowOff>19050</xdr:rowOff>
    </xdr:from>
    <xdr:ext cx="7041957" cy="990601"/>
    <xdr:sp macro="" textlink="">
      <xdr:nvSpPr>
        <xdr:cNvPr id="24" name="Rectangle 23"/>
        <xdr:cNvSpPr/>
      </xdr:nvSpPr>
      <xdr:spPr>
        <a:xfrm>
          <a:off x="9115425" y="19050"/>
          <a:ext cx="7041957" cy="99060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WIP-14-Feb-17:0</a:t>
          </a:r>
        </a:p>
      </xdr:txBody>
    </xdr:sp>
    <xdr:clientData/>
  </xdr:oneCellAnchor>
  <xdr:twoCellAnchor>
    <xdr:from>
      <xdr:col>3</xdr:col>
      <xdr:colOff>380999</xdr:colOff>
      <xdr:row>74</xdr:row>
      <xdr:rowOff>400793</xdr:rowOff>
    </xdr:from>
    <xdr:to>
      <xdr:col>3</xdr:col>
      <xdr:colOff>576942</xdr:colOff>
      <xdr:row>88</xdr:row>
      <xdr:rowOff>171204</xdr:rowOff>
    </xdr:to>
    <xdr:sp macro="" textlink="">
      <xdr:nvSpPr>
        <xdr:cNvPr id="25" name="Left Brace 24"/>
        <xdr:cNvSpPr/>
      </xdr:nvSpPr>
      <xdr:spPr bwMode="auto">
        <a:xfrm>
          <a:off x="2133599" y="8563718"/>
          <a:ext cx="195943" cy="2570761"/>
        </a:xfrm>
        <a:prstGeom prst="leftBrac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540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896594</xdr:colOff>
      <xdr:row>81</xdr:row>
      <xdr:rowOff>108857</xdr:rowOff>
    </xdr:from>
    <xdr:to>
      <xdr:col>2</xdr:col>
      <xdr:colOff>1212280</xdr:colOff>
      <xdr:row>82</xdr:row>
      <xdr:rowOff>32658</xdr:rowOff>
    </xdr:to>
    <xdr:cxnSp macro="">
      <xdr:nvCxnSpPr>
        <xdr:cNvPr id="26" name="Straight Arrow Connector 25"/>
        <xdr:cNvCxnSpPr/>
      </xdr:nvCxnSpPr>
      <xdr:spPr bwMode="auto">
        <a:xfrm>
          <a:off x="1753844" y="9738632"/>
          <a:ext cx="1361" cy="114301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</xdr:col>
      <xdr:colOff>853051</xdr:colOff>
      <xdr:row>82</xdr:row>
      <xdr:rowOff>163286</xdr:rowOff>
    </xdr:from>
    <xdr:to>
      <xdr:col>2</xdr:col>
      <xdr:colOff>1190508</xdr:colOff>
      <xdr:row>83</xdr:row>
      <xdr:rowOff>119743</xdr:rowOff>
    </xdr:to>
    <xdr:cxnSp macro="">
      <xdr:nvCxnSpPr>
        <xdr:cNvPr id="27" name="Straight Arrow Connector 26"/>
        <xdr:cNvCxnSpPr/>
      </xdr:nvCxnSpPr>
      <xdr:spPr bwMode="auto">
        <a:xfrm flipV="1">
          <a:off x="1729351" y="9983561"/>
          <a:ext cx="23132" cy="146957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14</xdr:col>
      <xdr:colOff>702733</xdr:colOff>
      <xdr:row>67</xdr:row>
      <xdr:rowOff>19050</xdr:rowOff>
    </xdr:from>
    <xdr:ext cx="7041957" cy="990601"/>
    <xdr:sp macro="" textlink="">
      <xdr:nvSpPr>
        <xdr:cNvPr id="28" name="Rectangle 27"/>
        <xdr:cNvSpPr/>
      </xdr:nvSpPr>
      <xdr:spPr>
        <a:xfrm>
          <a:off x="9115425" y="5886450"/>
          <a:ext cx="7041957" cy="99060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6600" b="1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noFill/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</a:rPr>
            <a:t>WIP-14-Feb-17:0</a:t>
          </a:r>
        </a:p>
      </xdr:txBody>
    </xdr:sp>
    <xdr:clientData/>
  </xdr:oneCellAnchor>
  <xdr:twoCellAnchor>
    <xdr:from>
      <xdr:col>13</xdr:col>
      <xdr:colOff>512618</xdr:colOff>
      <xdr:row>54</xdr:row>
      <xdr:rowOff>41563</xdr:rowOff>
    </xdr:from>
    <xdr:to>
      <xdr:col>14</xdr:col>
      <xdr:colOff>526472</xdr:colOff>
      <xdr:row>58</xdr:row>
      <xdr:rowOff>110836</xdr:rowOff>
    </xdr:to>
    <xdr:cxnSp macro="">
      <xdr:nvCxnSpPr>
        <xdr:cNvPr id="29" name="Straight Arrow Connector 28"/>
        <xdr:cNvCxnSpPr/>
      </xdr:nvCxnSpPr>
      <xdr:spPr bwMode="auto">
        <a:xfrm flipH="1" flipV="1">
          <a:off x="8694593" y="5867400"/>
          <a:ext cx="420832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512619</xdr:colOff>
      <xdr:row>54</xdr:row>
      <xdr:rowOff>13854</xdr:rowOff>
    </xdr:from>
    <xdr:to>
      <xdr:col>19</xdr:col>
      <xdr:colOff>928255</xdr:colOff>
      <xdr:row>54</xdr:row>
      <xdr:rowOff>27709</xdr:rowOff>
    </xdr:to>
    <xdr:cxnSp macro="">
      <xdr:nvCxnSpPr>
        <xdr:cNvPr id="30" name="Straight Arrow Connector 29"/>
        <xdr:cNvCxnSpPr/>
      </xdr:nvCxnSpPr>
      <xdr:spPr bwMode="auto">
        <a:xfrm flipH="1" flipV="1">
          <a:off x="6315075" y="5867400"/>
          <a:ext cx="5595505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540339</xdr:colOff>
      <xdr:row>54</xdr:row>
      <xdr:rowOff>69272</xdr:rowOff>
    </xdr:from>
    <xdr:to>
      <xdr:col>20</xdr:col>
      <xdr:colOff>554193</xdr:colOff>
      <xdr:row>58</xdr:row>
      <xdr:rowOff>138545</xdr:rowOff>
    </xdr:to>
    <xdr:cxnSp macro="">
      <xdr:nvCxnSpPr>
        <xdr:cNvPr id="31" name="Straight Arrow Connector 30"/>
        <xdr:cNvCxnSpPr/>
      </xdr:nvCxnSpPr>
      <xdr:spPr bwMode="auto">
        <a:xfrm flipH="1" flipV="1">
          <a:off x="11522664" y="5867400"/>
          <a:ext cx="947304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609617</xdr:colOff>
      <xdr:row>120</xdr:row>
      <xdr:rowOff>69419</xdr:rowOff>
    </xdr:from>
    <xdr:to>
      <xdr:col>14</xdr:col>
      <xdr:colOff>623471</xdr:colOff>
      <xdr:row>124</xdr:row>
      <xdr:rowOff>138692</xdr:rowOff>
    </xdr:to>
    <xdr:cxnSp macro="">
      <xdr:nvCxnSpPr>
        <xdr:cNvPr id="32" name="Straight Arrow Connector 31"/>
        <xdr:cNvCxnSpPr/>
      </xdr:nvCxnSpPr>
      <xdr:spPr bwMode="auto">
        <a:xfrm flipH="1" flipV="1">
          <a:off x="8791592" y="11630025"/>
          <a:ext cx="323833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609618</xdr:colOff>
      <xdr:row>120</xdr:row>
      <xdr:rowOff>41710</xdr:rowOff>
    </xdr:from>
    <xdr:to>
      <xdr:col>19</xdr:col>
      <xdr:colOff>1025254</xdr:colOff>
      <xdr:row>120</xdr:row>
      <xdr:rowOff>55565</xdr:rowOff>
    </xdr:to>
    <xdr:cxnSp macro="">
      <xdr:nvCxnSpPr>
        <xdr:cNvPr id="33" name="Straight Arrow Connector 32"/>
        <xdr:cNvCxnSpPr/>
      </xdr:nvCxnSpPr>
      <xdr:spPr bwMode="auto">
        <a:xfrm flipH="1" flipV="1">
          <a:off x="6315075" y="11630025"/>
          <a:ext cx="5597254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19</xdr:col>
      <xdr:colOff>637338</xdr:colOff>
      <xdr:row>120</xdr:row>
      <xdr:rowOff>97128</xdr:rowOff>
    </xdr:from>
    <xdr:to>
      <xdr:col>20</xdr:col>
      <xdr:colOff>651192</xdr:colOff>
      <xdr:row>124</xdr:row>
      <xdr:rowOff>166401</xdr:rowOff>
    </xdr:to>
    <xdr:cxnSp macro="">
      <xdr:nvCxnSpPr>
        <xdr:cNvPr id="34" name="Straight Arrow Connector 33"/>
        <xdr:cNvCxnSpPr/>
      </xdr:nvCxnSpPr>
      <xdr:spPr bwMode="auto">
        <a:xfrm flipH="1" flipV="1">
          <a:off x="11619663" y="11630025"/>
          <a:ext cx="947304" cy="0"/>
        </a:xfrm>
        <a:prstGeom prst="straightConnector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arrow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27</xdr:col>
      <xdr:colOff>309563</xdr:colOff>
      <xdr:row>19</xdr:row>
      <xdr:rowOff>142875</xdr:rowOff>
    </xdr:from>
    <xdr:to>
      <xdr:col>30</xdr:col>
      <xdr:colOff>183087</xdr:colOff>
      <xdr:row>140</xdr:row>
      <xdr:rowOff>112569</xdr:rowOff>
    </xdr:to>
    <xdr:pic>
      <xdr:nvPicPr>
        <xdr:cNvPr id="35" name="Picture 3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22742" y="4769304"/>
          <a:ext cx="1506381" cy="8338086"/>
        </a:xfrm>
        <a:prstGeom prst="rect">
          <a:avLst/>
        </a:prstGeom>
      </xdr:spPr>
    </xdr:pic>
    <xdr:clientData/>
  </xdr:twoCellAnchor>
  <xdr:twoCellAnchor editAs="oneCell">
    <xdr:from>
      <xdr:col>27</xdr:col>
      <xdr:colOff>223836</xdr:colOff>
      <xdr:row>0</xdr:row>
      <xdr:rowOff>859972</xdr:rowOff>
    </xdr:from>
    <xdr:to>
      <xdr:col>39</xdr:col>
      <xdr:colOff>169170</xdr:colOff>
      <xdr:row>18</xdr:row>
      <xdr:rowOff>97379</xdr:rowOff>
    </xdr:to>
    <xdr:pic>
      <xdr:nvPicPr>
        <xdr:cNvPr id="36" name="Picture 35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3111161" y="859972"/>
          <a:ext cx="6849278" cy="367605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7ED06D"/>
  </sheetPr>
  <dimension ref="A2:AN47"/>
  <sheetViews>
    <sheetView showGridLines="0" tabSelected="1" zoomScale="80" zoomScaleNormal="80" zoomScalePageLayoutView="80" workbookViewId="0"/>
  </sheetViews>
  <sheetFormatPr defaultColWidth="11" defaultRowHeight="15.75"/>
  <cols>
    <col min="1" max="1" width="27.625" style="3" customWidth="1"/>
    <col min="2" max="2" width="4.875" style="3" customWidth="1"/>
    <col min="3" max="31" width="2.375" style="3" customWidth="1"/>
    <col min="32" max="32" width="4.875" style="37" customWidth="1"/>
    <col min="33" max="34" width="2.5" style="23" customWidth="1"/>
    <col min="35" max="40" width="11" style="23"/>
    <col min="41" max="16384" width="11" style="3"/>
  </cols>
  <sheetData>
    <row r="2" spans="1:40" s="4" customFormat="1" ht="18.95" customHeight="1">
      <c r="B2" s="398" t="s">
        <v>864</v>
      </c>
      <c r="C2" s="399"/>
      <c r="D2" s="399"/>
      <c r="E2" s="399"/>
      <c r="F2" s="399"/>
      <c r="G2" s="399"/>
      <c r="H2" s="399"/>
      <c r="I2" s="399"/>
      <c r="J2" s="399"/>
      <c r="K2" s="399"/>
      <c r="L2" s="399"/>
      <c r="M2" s="399"/>
      <c r="N2" s="399"/>
      <c r="O2" s="399"/>
      <c r="P2" s="399"/>
      <c r="Q2" s="399"/>
      <c r="R2" s="399"/>
      <c r="S2" s="399"/>
      <c r="T2" s="399"/>
      <c r="U2" s="399"/>
      <c r="V2" s="399"/>
      <c r="W2" s="399"/>
      <c r="X2" s="399"/>
      <c r="Y2" s="399"/>
      <c r="Z2" s="399"/>
      <c r="AA2" s="399"/>
      <c r="AB2" s="399"/>
      <c r="AC2" s="399"/>
      <c r="AD2" s="399"/>
      <c r="AE2" s="399"/>
      <c r="AF2" s="399"/>
    </row>
    <row r="3" spans="1:40" s="4" customFormat="1" ht="18.95" customHeight="1">
      <c r="B3" s="400" t="s">
        <v>721</v>
      </c>
      <c r="C3" s="400"/>
      <c r="D3" s="400"/>
      <c r="E3" s="400"/>
      <c r="F3" s="400"/>
      <c r="G3" s="400"/>
      <c r="H3" s="400"/>
      <c r="I3" s="400"/>
      <c r="J3" s="400"/>
      <c r="K3" s="400"/>
      <c r="L3" s="400"/>
      <c r="M3" s="400"/>
      <c r="N3" s="400"/>
      <c r="O3" s="400"/>
      <c r="P3" s="400"/>
      <c r="Q3" s="400"/>
      <c r="R3" s="400"/>
      <c r="S3" s="400"/>
      <c r="T3" s="400"/>
      <c r="U3" s="400"/>
      <c r="V3" s="400"/>
      <c r="W3" s="400"/>
      <c r="X3" s="400"/>
      <c r="Y3" s="400"/>
      <c r="Z3" s="400"/>
      <c r="AA3" s="400"/>
      <c r="AB3" s="400"/>
      <c r="AC3" s="400"/>
      <c r="AD3" s="400"/>
      <c r="AE3" s="400"/>
      <c r="AF3" s="400"/>
    </row>
    <row r="4" spans="1:40" ht="16.5" thickBot="1"/>
    <row r="5" spans="1:40" ht="15" customHeight="1">
      <c r="C5" s="25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7"/>
    </row>
    <row r="6" spans="1:40" ht="15" customHeight="1">
      <c r="A6" s="248"/>
      <c r="B6" s="39"/>
      <c r="C6" s="28"/>
      <c r="D6" s="16"/>
      <c r="E6" s="16"/>
      <c r="F6" s="16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6"/>
      <c r="AC6" s="16"/>
      <c r="AD6" s="16"/>
      <c r="AE6" s="29"/>
      <c r="AF6" s="39"/>
    </row>
    <row r="7" spans="1:40" ht="15" customHeight="1">
      <c r="C7" s="30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29"/>
    </row>
    <row r="8" spans="1:40" ht="15" customHeight="1">
      <c r="B8" s="39"/>
      <c r="C8" s="28"/>
      <c r="D8" s="16"/>
      <c r="E8" s="16"/>
      <c r="F8" s="16"/>
      <c r="G8" s="16"/>
      <c r="H8" s="16" t="s">
        <v>13</v>
      </c>
      <c r="I8" s="16"/>
      <c r="J8" s="16" t="s">
        <v>14</v>
      </c>
      <c r="K8" s="16"/>
      <c r="L8" s="16" t="s">
        <v>13</v>
      </c>
      <c r="M8" s="16"/>
      <c r="N8" s="16" t="s">
        <v>14</v>
      </c>
      <c r="O8" s="16"/>
      <c r="P8" s="16" t="s">
        <v>13</v>
      </c>
      <c r="Q8" s="16"/>
      <c r="R8" s="16" t="s">
        <v>14</v>
      </c>
      <c r="S8" s="16"/>
      <c r="T8" s="16" t="s">
        <v>13</v>
      </c>
      <c r="U8" s="16"/>
      <c r="V8" s="16" t="s">
        <v>14</v>
      </c>
      <c r="W8" s="16"/>
      <c r="X8" s="16" t="s">
        <v>13</v>
      </c>
      <c r="Y8" s="16"/>
      <c r="Z8" s="16" t="s">
        <v>14</v>
      </c>
      <c r="AA8" s="16"/>
      <c r="AB8" s="16" t="s">
        <v>13</v>
      </c>
      <c r="AC8" s="16"/>
      <c r="AD8" s="16" t="s">
        <v>14</v>
      </c>
      <c r="AE8" s="29"/>
      <c r="AF8" s="39" t="s">
        <v>716</v>
      </c>
      <c r="AG8" s="247" t="s">
        <v>717</v>
      </c>
    </row>
    <row r="9" spans="1:40" ht="15" customHeight="1">
      <c r="B9" s="39"/>
      <c r="C9" s="28"/>
      <c r="D9" s="16"/>
      <c r="E9" s="16"/>
      <c r="F9" s="16"/>
      <c r="G9" s="16"/>
      <c r="H9" s="16">
        <v>5</v>
      </c>
      <c r="I9" s="16"/>
      <c r="J9" s="16">
        <v>5</v>
      </c>
      <c r="K9" s="16"/>
      <c r="L9" s="16">
        <v>4</v>
      </c>
      <c r="M9" s="16"/>
      <c r="N9" s="16">
        <v>4</v>
      </c>
      <c r="O9" s="16"/>
      <c r="P9" s="16">
        <v>3</v>
      </c>
      <c r="Q9" s="16"/>
      <c r="R9" s="16">
        <v>3</v>
      </c>
      <c r="S9" s="16"/>
      <c r="T9" s="16">
        <v>2</v>
      </c>
      <c r="U9" s="16"/>
      <c r="V9" s="16">
        <v>2</v>
      </c>
      <c r="W9" s="16"/>
      <c r="X9" s="16">
        <v>1</v>
      </c>
      <c r="Y9" s="16"/>
      <c r="Z9" s="16">
        <v>1</v>
      </c>
      <c r="AA9" s="16"/>
      <c r="AB9" s="16">
        <v>0</v>
      </c>
      <c r="AC9" s="16"/>
      <c r="AD9" s="16">
        <v>0</v>
      </c>
      <c r="AE9" s="29"/>
      <c r="AF9" s="39" t="s">
        <v>716</v>
      </c>
      <c r="AG9" s="247" t="s">
        <v>711</v>
      </c>
    </row>
    <row r="10" spans="1:40" ht="15" customHeight="1">
      <c r="C10" s="28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29"/>
    </row>
    <row r="11" spans="1:40" ht="15" customHeight="1">
      <c r="C11" s="28"/>
      <c r="D11" s="16"/>
      <c r="E11" s="16"/>
      <c r="F11" s="16"/>
      <c r="G11" s="16"/>
      <c r="H11" s="17"/>
      <c r="I11" s="16"/>
      <c r="J11" s="17"/>
      <c r="K11" s="16"/>
      <c r="L11" s="17"/>
      <c r="M11" s="16"/>
      <c r="N11" s="17"/>
      <c r="O11" s="16"/>
      <c r="P11" s="17"/>
      <c r="Q11" s="16"/>
      <c r="R11" s="17"/>
      <c r="S11" s="16"/>
      <c r="T11" s="17"/>
      <c r="U11" s="16"/>
      <c r="V11" s="17"/>
      <c r="W11" s="16"/>
      <c r="X11" s="17"/>
      <c r="Y11" s="16"/>
      <c r="Z11" s="17"/>
      <c r="AA11" s="16"/>
      <c r="AB11" s="17"/>
      <c r="AC11" s="16"/>
      <c r="AD11" s="17"/>
      <c r="AE11" s="29"/>
    </row>
    <row r="12" spans="1:40" ht="15" customHeight="1">
      <c r="C12" s="28"/>
      <c r="D12" s="16"/>
      <c r="E12" s="16"/>
      <c r="F12" s="16"/>
      <c r="G12" s="16"/>
      <c r="H12" s="18"/>
      <c r="I12" s="16"/>
      <c r="J12" s="18"/>
      <c r="K12" s="16"/>
      <c r="L12" s="18"/>
      <c r="M12" s="16"/>
      <c r="N12" s="18"/>
      <c r="O12" s="16"/>
      <c r="P12" s="18"/>
      <c r="Q12" s="16"/>
      <c r="R12" s="18"/>
      <c r="S12" s="16"/>
      <c r="T12" s="18"/>
      <c r="U12" s="16"/>
      <c r="V12" s="18"/>
      <c r="W12" s="16"/>
      <c r="X12" s="18"/>
      <c r="Y12" s="16"/>
      <c r="Z12" s="18"/>
      <c r="AA12" s="16"/>
      <c r="AB12" s="18"/>
      <c r="AC12" s="16"/>
      <c r="AD12" s="18"/>
      <c r="AE12" s="29"/>
      <c r="AJ12" s="36"/>
    </row>
    <row r="13" spans="1:40" ht="15" customHeight="1">
      <c r="C13" s="28"/>
      <c r="D13" s="16"/>
      <c r="E13" s="16"/>
      <c r="F13" s="16"/>
      <c r="G13" s="16"/>
      <c r="H13" s="19"/>
      <c r="I13" s="16"/>
      <c r="J13" s="19"/>
      <c r="K13" s="16"/>
      <c r="L13" s="19"/>
      <c r="M13" s="16"/>
      <c r="N13" s="19"/>
      <c r="O13" s="16"/>
      <c r="P13" s="19"/>
      <c r="Q13" s="16"/>
      <c r="R13" s="19"/>
      <c r="S13" s="16"/>
      <c r="T13" s="19"/>
      <c r="U13" s="16"/>
      <c r="V13" s="19"/>
      <c r="W13" s="16"/>
      <c r="X13" s="19"/>
      <c r="Y13" s="16"/>
      <c r="Z13" s="19"/>
      <c r="AA13" s="16"/>
      <c r="AB13" s="19"/>
      <c r="AC13" s="16"/>
      <c r="AD13" s="19"/>
      <c r="AE13" s="29"/>
    </row>
    <row r="14" spans="1:40" ht="15" customHeight="1">
      <c r="C14" s="28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29"/>
    </row>
    <row r="15" spans="1:40" ht="15" customHeight="1">
      <c r="C15" s="28"/>
      <c r="D15" s="16"/>
      <c r="E15" s="16"/>
      <c r="F15" s="16"/>
      <c r="G15" s="16"/>
      <c r="H15" s="17"/>
      <c r="I15" s="16"/>
      <c r="J15" s="17"/>
      <c r="K15" s="16"/>
      <c r="L15" s="17"/>
      <c r="M15" s="16"/>
      <c r="N15" s="17"/>
      <c r="O15" s="16"/>
      <c r="P15" s="17"/>
      <c r="Q15" s="16"/>
      <c r="R15" s="17"/>
      <c r="S15" s="16"/>
      <c r="T15" s="17"/>
      <c r="U15" s="16"/>
      <c r="V15" s="17"/>
      <c r="W15" s="16"/>
      <c r="X15" s="17"/>
      <c r="Y15" s="16"/>
      <c r="Z15" s="17"/>
      <c r="AA15" s="16"/>
      <c r="AB15" s="17"/>
      <c r="AC15" s="16"/>
      <c r="AD15" s="17"/>
      <c r="AE15" s="29"/>
    </row>
    <row r="16" spans="1:40" s="1" customFormat="1" ht="15" customHeight="1">
      <c r="B16" s="3"/>
      <c r="C16" s="28"/>
      <c r="D16" s="16"/>
      <c r="E16" s="16"/>
      <c r="F16" s="16"/>
      <c r="G16" s="16"/>
      <c r="H16" s="18"/>
      <c r="I16" s="16"/>
      <c r="J16" s="18"/>
      <c r="K16" s="16"/>
      <c r="L16" s="18"/>
      <c r="M16" s="16"/>
      <c r="N16" s="18"/>
      <c r="O16" s="16"/>
      <c r="P16" s="18"/>
      <c r="Q16" s="16"/>
      <c r="R16" s="18"/>
      <c r="S16" s="16"/>
      <c r="T16" s="18"/>
      <c r="U16" s="16"/>
      <c r="V16" s="18"/>
      <c r="W16" s="16"/>
      <c r="X16" s="18"/>
      <c r="Y16" s="16"/>
      <c r="Z16" s="18"/>
      <c r="AA16" s="16"/>
      <c r="AB16" s="18"/>
      <c r="AC16" s="16"/>
      <c r="AD16" s="18"/>
      <c r="AE16" s="31"/>
      <c r="AF16" s="38"/>
      <c r="AG16" s="23"/>
      <c r="AH16" s="23"/>
      <c r="AI16" s="23"/>
      <c r="AJ16" s="23"/>
      <c r="AK16" s="23"/>
      <c r="AL16" s="23"/>
      <c r="AM16" s="23"/>
      <c r="AN16" s="23"/>
    </row>
    <row r="17" spans="2:40" s="1" customFormat="1" ht="15" customHeight="1">
      <c r="B17" s="3"/>
      <c r="C17" s="28"/>
      <c r="D17" s="16"/>
      <c r="E17" s="16"/>
      <c r="F17" s="16"/>
      <c r="G17" s="16"/>
      <c r="H17" s="19"/>
      <c r="I17" s="16"/>
      <c r="J17" s="19"/>
      <c r="K17" s="16"/>
      <c r="L17" s="19"/>
      <c r="M17" s="16"/>
      <c r="N17" s="19"/>
      <c r="O17" s="16"/>
      <c r="P17" s="19"/>
      <c r="Q17" s="16"/>
      <c r="R17" s="19"/>
      <c r="S17" s="16"/>
      <c r="T17" s="19"/>
      <c r="U17" s="16"/>
      <c r="V17" s="19"/>
      <c r="W17" s="16"/>
      <c r="X17" s="19"/>
      <c r="Y17" s="16"/>
      <c r="Z17" s="19"/>
      <c r="AA17" s="16"/>
      <c r="AB17" s="19"/>
      <c r="AC17" s="16"/>
      <c r="AD17" s="19"/>
      <c r="AE17" s="31"/>
      <c r="AF17" s="38"/>
      <c r="AG17" s="23"/>
      <c r="AH17" s="23"/>
      <c r="AI17" s="23"/>
      <c r="AJ17" s="23"/>
      <c r="AK17" s="23"/>
      <c r="AL17" s="23"/>
      <c r="AM17" s="23"/>
      <c r="AN17" s="23"/>
    </row>
    <row r="18" spans="2:40" s="1" customFormat="1" ht="15" customHeight="1">
      <c r="B18" s="3"/>
      <c r="C18" s="28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31"/>
      <c r="AF18" s="38"/>
      <c r="AG18" s="23"/>
      <c r="AH18" s="23"/>
      <c r="AI18" s="23"/>
      <c r="AJ18" s="23"/>
      <c r="AK18" s="23"/>
      <c r="AL18" s="23"/>
      <c r="AM18" s="23"/>
      <c r="AN18" s="23"/>
    </row>
    <row r="19" spans="2:40" s="1" customFormat="1" ht="15" customHeight="1">
      <c r="B19" s="3"/>
      <c r="C19" s="28"/>
      <c r="D19" s="16"/>
      <c r="E19" s="16"/>
      <c r="F19" s="16"/>
      <c r="G19" s="16"/>
      <c r="H19" s="397">
        <v>11</v>
      </c>
      <c r="I19" s="397"/>
      <c r="J19" s="397">
        <v>10</v>
      </c>
      <c r="K19" s="397"/>
      <c r="L19" s="16">
        <v>9</v>
      </c>
      <c r="M19" s="16"/>
      <c r="N19" s="16">
        <v>8</v>
      </c>
      <c r="O19" s="16"/>
      <c r="P19" s="16">
        <v>7</v>
      </c>
      <c r="Q19" s="16"/>
      <c r="R19" s="16">
        <v>6</v>
      </c>
      <c r="S19" s="16"/>
      <c r="T19" s="16">
        <v>5</v>
      </c>
      <c r="U19" s="16"/>
      <c r="V19" s="16">
        <v>4</v>
      </c>
      <c r="W19" s="16"/>
      <c r="X19" s="243">
        <v>3</v>
      </c>
      <c r="Y19" s="243"/>
      <c r="Z19" s="243">
        <v>2</v>
      </c>
      <c r="AA19" s="243"/>
      <c r="AB19" s="243">
        <v>1</v>
      </c>
      <c r="AC19" s="243"/>
      <c r="AD19" s="243">
        <v>0</v>
      </c>
      <c r="AE19" s="31"/>
      <c r="AF19" s="38"/>
      <c r="AG19" s="23"/>
      <c r="AH19" s="23"/>
      <c r="AI19" s="23"/>
      <c r="AJ19" s="23"/>
      <c r="AK19" s="23"/>
      <c r="AL19" s="23"/>
      <c r="AM19" s="23"/>
      <c r="AN19" s="23"/>
    </row>
    <row r="20" spans="2:40" s="1" customFormat="1" ht="15" customHeight="1">
      <c r="B20" s="3"/>
      <c r="C20" s="28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31"/>
      <c r="AF20" s="38"/>
      <c r="AG20" s="23"/>
      <c r="AH20" s="23"/>
      <c r="AI20" s="23"/>
      <c r="AJ20" s="23"/>
      <c r="AK20" s="23"/>
      <c r="AL20" s="23"/>
      <c r="AM20" s="23"/>
      <c r="AN20" s="23"/>
    </row>
    <row r="21" spans="2:40" s="1" customFormat="1" ht="15" customHeight="1">
      <c r="B21" s="3"/>
      <c r="C21" s="28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31"/>
      <c r="AF21" s="38"/>
      <c r="AG21" s="23"/>
      <c r="AH21" s="23"/>
      <c r="AI21" s="23"/>
      <c r="AJ21" s="23"/>
      <c r="AK21" s="23"/>
      <c r="AL21" s="23"/>
      <c r="AM21" s="23"/>
      <c r="AN21" s="23"/>
    </row>
    <row r="22" spans="2:40" s="1" customFormat="1" ht="15" customHeight="1">
      <c r="B22" s="3"/>
      <c r="C22" s="28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31"/>
      <c r="AF22" s="38"/>
      <c r="AG22" s="23"/>
      <c r="AH22" s="23"/>
      <c r="AI22" s="23"/>
      <c r="AJ22" s="23"/>
      <c r="AK22" s="23"/>
      <c r="AL22" s="23"/>
      <c r="AM22" s="23"/>
      <c r="AN22" s="23"/>
    </row>
    <row r="23" spans="2:40" s="1" customFormat="1" ht="15" customHeight="1">
      <c r="B23" s="3"/>
      <c r="C23" s="28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31"/>
      <c r="AF23" s="38"/>
      <c r="AG23" s="23"/>
      <c r="AH23" s="23"/>
      <c r="AI23" s="23"/>
      <c r="AJ23" s="23"/>
      <c r="AK23" s="23"/>
      <c r="AL23" s="23"/>
      <c r="AM23" s="23"/>
      <c r="AN23" s="23"/>
    </row>
    <row r="24" spans="2:40" s="1" customFormat="1" ht="15" customHeight="1">
      <c r="B24" s="3"/>
      <c r="C24" s="28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31"/>
      <c r="AF24" s="38"/>
      <c r="AG24" s="23"/>
      <c r="AH24" s="23"/>
      <c r="AI24" s="23"/>
      <c r="AJ24" s="23"/>
      <c r="AK24" s="23"/>
      <c r="AL24" s="23"/>
      <c r="AM24" s="23"/>
      <c r="AN24" s="23"/>
    </row>
    <row r="25" spans="2:40" s="1" customFormat="1" ht="15" customHeight="1">
      <c r="B25" s="3"/>
      <c r="C25" s="28"/>
      <c r="D25" s="16"/>
      <c r="E25" s="16"/>
      <c r="F25" s="16" t="s">
        <v>13</v>
      </c>
      <c r="G25" s="16"/>
      <c r="H25" s="16" t="s">
        <v>13</v>
      </c>
      <c r="I25" s="16"/>
      <c r="J25" s="16" t="s">
        <v>14</v>
      </c>
      <c r="K25" s="16"/>
      <c r="L25" s="16" t="s">
        <v>14</v>
      </c>
      <c r="M25" s="16"/>
      <c r="N25" s="16" t="s">
        <v>13</v>
      </c>
      <c r="O25" s="16"/>
      <c r="P25" s="16" t="s">
        <v>13</v>
      </c>
      <c r="Q25" s="16"/>
      <c r="R25" s="16" t="s">
        <v>14</v>
      </c>
      <c r="S25" s="16"/>
      <c r="T25" s="16" t="s">
        <v>14</v>
      </c>
      <c r="U25" s="16"/>
      <c r="V25" s="16" t="s">
        <v>13</v>
      </c>
      <c r="W25" s="16"/>
      <c r="X25" s="16" t="s">
        <v>13</v>
      </c>
      <c r="Y25" s="16"/>
      <c r="Z25" s="16" t="s">
        <v>14</v>
      </c>
      <c r="AA25" s="16"/>
      <c r="AB25" s="16" t="s">
        <v>14</v>
      </c>
      <c r="AC25" s="16"/>
      <c r="AD25" s="16"/>
      <c r="AE25" s="31"/>
      <c r="AF25" s="39" t="s">
        <v>716</v>
      </c>
      <c r="AG25" s="24" t="s">
        <v>710</v>
      </c>
      <c r="AH25" s="23"/>
      <c r="AI25" s="23"/>
      <c r="AJ25" s="23"/>
      <c r="AK25" s="23"/>
      <c r="AL25" s="23"/>
      <c r="AM25" s="23"/>
      <c r="AN25" s="23"/>
    </row>
    <row r="26" spans="2:40" s="1" customFormat="1" ht="15" customHeight="1">
      <c r="B26" s="3"/>
      <c r="C26" s="28"/>
      <c r="D26" s="16"/>
      <c r="E26" s="16"/>
      <c r="F26" s="16">
        <v>2</v>
      </c>
      <c r="G26" s="16"/>
      <c r="H26" s="16">
        <v>2</v>
      </c>
      <c r="I26" s="16"/>
      <c r="J26" s="16">
        <v>2</v>
      </c>
      <c r="K26" s="16"/>
      <c r="L26" s="16">
        <v>2</v>
      </c>
      <c r="M26" s="16"/>
      <c r="N26" s="16">
        <v>1</v>
      </c>
      <c r="O26" s="16"/>
      <c r="P26" s="16">
        <v>1</v>
      </c>
      <c r="Q26" s="16"/>
      <c r="R26" s="16">
        <v>1</v>
      </c>
      <c r="S26" s="16"/>
      <c r="T26" s="16">
        <v>1</v>
      </c>
      <c r="U26" s="16"/>
      <c r="V26" s="16">
        <v>0</v>
      </c>
      <c r="W26" s="16"/>
      <c r="X26" s="16">
        <v>0</v>
      </c>
      <c r="Y26" s="16"/>
      <c r="Z26" s="16">
        <v>0</v>
      </c>
      <c r="AA26" s="16"/>
      <c r="AB26" s="16">
        <v>0</v>
      </c>
      <c r="AC26" s="16"/>
      <c r="AD26" s="16"/>
      <c r="AE26" s="31"/>
      <c r="AF26" s="39" t="s">
        <v>716</v>
      </c>
      <c r="AG26" s="24" t="s">
        <v>713</v>
      </c>
      <c r="AH26" s="23"/>
      <c r="AI26" s="23"/>
      <c r="AJ26" s="23"/>
      <c r="AK26" s="23"/>
      <c r="AL26" s="23"/>
      <c r="AM26" s="23"/>
      <c r="AN26" s="23"/>
    </row>
    <row r="27" spans="2:40" s="1" customFormat="1" ht="15" customHeight="1">
      <c r="B27" s="3"/>
      <c r="C27" s="28"/>
      <c r="D27" s="16"/>
      <c r="E27" s="16"/>
      <c r="F27" s="16" t="s">
        <v>17</v>
      </c>
      <c r="G27" s="16"/>
      <c r="H27" s="16" t="s">
        <v>13</v>
      </c>
      <c r="I27" s="16"/>
      <c r="J27" s="16" t="s">
        <v>13</v>
      </c>
      <c r="K27" s="16"/>
      <c r="L27" s="16" t="s">
        <v>17</v>
      </c>
      <c r="M27" s="16"/>
      <c r="N27" s="16" t="s">
        <v>17</v>
      </c>
      <c r="O27" s="16"/>
      <c r="P27" s="16" t="s">
        <v>13</v>
      </c>
      <c r="Q27" s="16"/>
      <c r="R27" s="16" t="s">
        <v>13</v>
      </c>
      <c r="S27" s="16"/>
      <c r="T27" s="16" t="s">
        <v>17</v>
      </c>
      <c r="U27" s="16"/>
      <c r="V27" s="16" t="s">
        <v>17</v>
      </c>
      <c r="W27" s="16"/>
      <c r="X27" s="16" t="s">
        <v>13</v>
      </c>
      <c r="Y27" s="16"/>
      <c r="Z27" s="16" t="s">
        <v>13</v>
      </c>
      <c r="AA27" s="16"/>
      <c r="AB27" s="16" t="s">
        <v>17</v>
      </c>
      <c r="AC27" s="184"/>
      <c r="AD27" s="16"/>
      <c r="AE27" s="31"/>
      <c r="AF27" s="39" t="s">
        <v>716</v>
      </c>
      <c r="AG27" s="182" t="s">
        <v>954</v>
      </c>
      <c r="AH27" s="23"/>
      <c r="AI27" s="23"/>
      <c r="AJ27" s="23"/>
      <c r="AK27" s="23"/>
      <c r="AL27" s="23"/>
      <c r="AM27" s="23"/>
      <c r="AN27" s="23"/>
    </row>
    <row r="28" spans="2:40" s="1" customFormat="1" ht="15" customHeight="1">
      <c r="B28" s="3"/>
      <c r="C28" s="28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31"/>
      <c r="AF28" s="38"/>
      <c r="AG28" s="182" t="s">
        <v>964</v>
      </c>
      <c r="AI28" s="23"/>
      <c r="AJ28" s="23"/>
      <c r="AK28" s="23"/>
      <c r="AL28" s="23"/>
      <c r="AM28" s="23"/>
      <c r="AN28" s="23"/>
    </row>
    <row r="29" spans="2:40" s="1" customFormat="1" ht="15" customHeight="1">
      <c r="B29" s="3"/>
      <c r="C29" s="28"/>
      <c r="D29" s="16"/>
      <c r="E29" s="16"/>
      <c r="F29" s="244">
        <v>11</v>
      </c>
      <c r="G29" s="35"/>
      <c r="H29" s="244">
        <v>10</v>
      </c>
      <c r="I29" s="35"/>
      <c r="J29" s="244">
        <v>9</v>
      </c>
      <c r="K29" s="35"/>
      <c r="L29" s="244">
        <v>8</v>
      </c>
      <c r="M29" s="35"/>
      <c r="N29" s="244">
        <v>7</v>
      </c>
      <c r="O29" s="35"/>
      <c r="P29" s="244">
        <v>6</v>
      </c>
      <c r="Q29" s="35"/>
      <c r="R29" s="244">
        <v>5</v>
      </c>
      <c r="S29" s="35"/>
      <c r="T29" s="244">
        <v>4</v>
      </c>
      <c r="U29" s="35"/>
      <c r="V29" s="244">
        <v>3</v>
      </c>
      <c r="W29" s="35"/>
      <c r="X29" s="244">
        <v>2</v>
      </c>
      <c r="Y29" s="35"/>
      <c r="Z29" s="244">
        <v>1</v>
      </c>
      <c r="AA29" s="35"/>
      <c r="AB29" s="244">
        <v>0</v>
      </c>
      <c r="AC29" s="16"/>
      <c r="AD29" s="16"/>
      <c r="AE29" s="31"/>
      <c r="AF29" s="38"/>
      <c r="AG29" s="23"/>
      <c r="AH29" s="23"/>
      <c r="AI29" s="23"/>
      <c r="AJ29" s="23"/>
      <c r="AK29" s="23"/>
      <c r="AL29" s="23"/>
      <c r="AM29" s="23"/>
      <c r="AN29" s="23"/>
    </row>
    <row r="30" spans="2:40" s="1" customFormat="1" ht="15" customHeight="1">
      <c r="B30" s="3"/>
      <c r="C30" s="28"/>
      <c r="D30" s="16"/>
      <c r="E30" s="16"/>
      <c r="F30" s="245">
        <v>11</v>
      </c>
      <c r="G30" s="35"/>
      <c r="H30" s="245">
        <v>10</v>
      </c>
      <c r="I30" s="35"/>
      <c r="J30" s="245">
        <v>9</v>
      </c>
      <c r="K30" s="35"/>
      <c r="L30" s="245">
        <v>8</v>
      </c>
      <c r="M30" s="35"/>
      <c r="N30" s="245">
        <v>7</v>
      </c>
      <c r="O30" s="35"/>
      <c r="P30" s="245">
        <v>6</v>
      </c>
      <c r="Q30" s="35"/>
      <c r="R30" s="245">
        <v>5</v>
      </c>
      <c r="S30" s="35"/>
      <c r="T30" s="245">
        <v>4</v>
      </c>
      <c r="U30" s="35"/>
      <c r="V30" s="245">
        <v>3</v>
      </c>
      <c r="W30" s="35"/>
      <c r="X30" s="245">
        <v>2</v>
      </c>
      <c r="Y30" s="35"/>
      <c r="Z30" s="245">
        <v>1</v>
      </c>
      <c r="AA30" s="35"/>
      <c r="AB30" s="245">
        <v>0</v>
      </c>
      <c r="AC30" s="16"/>
      <c r="AD30" s="16"/>
      <c r="AE30" s="31"/>
      <c r="AF30" s="38"/>
      <c r="AG30" s="23"/>
      <c r="AH30" s="23"/>
      <c r="AI30" s="23"/>
      <c r="AJ30" s="23"/>
      <c r="AK30" s="23"/>
      <c r="AL30" s="23"/>
      <c r="AM30" s="23"/>
      <c r="AN30" s="23"/>
    </row>
    <row r="31" spans="2:40" s="1" customFormat="1" ht="15" customHeight="1">
      <c r="B31" s="3"/>
      <c r="C31" s="28"/>
      <c r="D31" s="16"/>
      <c r="E31" s="16"/>
      <c r="F31" s="246">
        <v>11</v>
      </c>
      <c r="G31" s="35"/>
      <c r="H31" s="246">
        <v>10</v>
      </c>
      <c r="I31" s="35"/>
      <c r="J31" s="246">
        <v>9</v>
      </c>
      <c r="K31" s="35"/>
      <c r="L31" s="246">
        <v>8</v>
      </c>
      <c r="M31" s="35"/>
      <c r="N31" s="246">
        <v>7</v>
      </c>
      <c r="O31" s="35"/>
      <c r="P31" s="246">
        <v>6</v>
      </c>
      <c r="Q31" s="35"/>
      <c r="R31" s="246">
        <v>5</v>
      </c>
      <c r="S31" s="35"/>
      <c r="T31" s="246">
        <v>4</v>
      </c>
      <c r="U31" s="35"/>
      <c r="V31" s="246">
        <v>3</v>
      </c>
      <c r="W31" s="35"/>
      <c r="X31" s="246">
        <v>2</v>
      </c>
      <c r="Y31" s="35"/>
      <c r="Z31" s="246">
        <v>1</v>
      </c>
      <c r="AA31" s="35"/>
      <c r="AB31" s="246">
        <v>0</v>
      </c>
      <c r="AC31" s="16"/>
      <c r="AD31" s="16"/>
      <c r="AE31" s="31"/>
      <c r="AF31" s="38"/>
      <c r="AG31" s="23"/>
      <c r="AH31" s="23"/>
      <c r="AI31" s="23"/>
      <c r="AJ31" s="23"/>
      <c r="AK31" s="23"/>
      <c r="AL31" s="23"/>
      <c r="AM31" s="23"/>
      <c r="AN31" s="23"/>
    </row>
    <row r="32" spans="2:40" s="1" customFormat="1" ht="15" customHeight="1">
      <c r="B32" s="3"/>
      <c r="C32" s="28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31"/>
      <c r="AF32" s="38"/>
      <c r="AG32" s="23"/>
      <c r="AH32" s="23"/>
      <c r="AI32" s="23"/>
      <c r="AJ32" s="23"/>
      <c r="AK32" s="23"/>
      <c r="AL32" s="23"/>
      <c r="AM32" s="23"/>
      <c r="AN32" s="23"/>
    </row>
    <row r="33" spans="2:40" s="1" customFormat="1" ht="15" customHeight="1">
      <c r="B33" s="3"/>
      <c r="C33" s="28"/>
      <c r="D33" s="16"/>
      <c r="E33" s="16"/>
      <c r="F33" s="397">
        <v>11</v>
      </c>
      <c r="G33" s="397"/>
      <c r="H33" s="397">
        <v>10</v>
      </c>
      <c r="I33" s="397"/>
      <c r="J33" s="16">
        <v>9</v>
      </c>
      <c r="K33" s="16"/>
      <c r="L33" s="16">
        <v>8</v>
      </c>
      <c r="M33" s="16"/>
      <c r="N33" s="16">
        <v>7</v>
      </c>
      <c r="O33" s="16"/>
      <c r="P33" s="16">
        <v>6</v>
      </c>
      <c r="Q33" s="16"/>
      <c r="R33" s="16">
        <v>5</v>
      </c>
      <c r="S33" s="16"/>
      <c r="T33" s="16">
        <v>4</v>
      </c>
      <c r="U33" s="16"/>
      <c r="V33" s="16">
        <v>3</v>
      </c>
      <c r="W33" s="16"/>
      <c r="X33" s="16">
        <v>2</v>
      </c>
      <c r="Y33" s="16"/>
      <c r="Z33" s="243">
        <v>1</v>
      </c>
      <c r="AA33" s="243"/>
      <c r="AB33" s="243">
        <v>0</v>
      </c>
      <c r="AC33" s="243"/>
      <c r="AD33" s="16"/>
      <c r="AE33" s="31"/>
      <c r="AF33" s="38"/>
      <c r="AG33" s="23"/>
      <c r="AH33" s="23"/>
      <c r="AI33" s="23"/>
      <c r="AJ33" s="23"/>
      <c r="AK33" s="23"/>
      <c r="AL33" s="23"/>
      <c r="AM33" s="23"/>
      <c r="AN33" s="23"/>
    </row>
    <row r="34" spans="2:40" s="1" customFormat="1" ht="15" customHeight="1" thickBot="1">
      <c r="B34" s="3"/>
      <c r="C34" s="32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4"/>
      <c r="AF34" s="38"/>
      <c r="AG34" s="23"/>
      <c r="AH34" s="23"/>
      <c r="AI34" s="23"/>
      <c r="AJ34" s="23"/>
      <c r="AK34" s="23"/>
      <c r="AL34" s="23"/>
      <c r="AM34" s="23"/>
      <c r="AN34" s="23"/>
    </row>
    <row r="35" spans="2:40" s="1" customFormat="1">
      <c r="B35" s="3"/>
      <c r="AF35" s="38"/>
      <c r="AG35" s="23"/>
      <c r="AH35" s="23"/>
      <c r="AI35" s="23"/>
      <c r="AJ35" s="23"/>
      <c r="AK35" s="23"/>
      <c r="AL35" s="23"/>
      <c r="AM35" s="23"/>
      <c r="AN35" s="23"/>
    </row>
    <row r="36" spans="2:40" s="1" customFormat="1">
      <c r="B36" s="3"/>
      <c r="AF36" s="38"/>
      <c r="AG36" s="23"/>
      <c r="AH36" s="23"/>
      <c r="AI36" s="23"/>
      <c r="AJ36" s="23"/>
      <c r="AK36" s="23"/>
      <c r="AL36" s="23"/>
      <c r="AM36" s="23"/>
      <c r="AN36" s="23"/>
    </row>
    <row r="37" spans="2:40" s="1" customFormat="1">
      <c r="B37" s="3"/>
      <c r="AF37" s="38"/>
      <c r="AG37" s="23"/>
      <c r="AH37" s="23"/>
      <c r="AI37" s="23"/>
      <c r="AJ37" s="23"/>
      <c r="AK37" s="23"/>
      <c r="AL37" s="23"/>
      <c r="AM37" s="23"/>
      <c r="AN37" s="23"/>
    </row>
    <row r="38" spans="2:40" s="1" customFormat="1">
      <c r="B38" s="3"/>
      <c r="AF38" s="38"/>
      <c r="AG38" s="23"/>
      <c r="AH38" s="23"/>
      <c r="AI38" s="23"/>
      <c r="AJ38" s="23"/>
      <c r="AK38" s="23"/>
      <c r="AL38" s="23"/>
      <c r="AM38" s="23"/>
      <c r="AN38" s="23"/>
    </row>
    <row r="39" spans="2:40" s="1" customFormat="1">
      <c r="B39" s="3"/>
      <c r="AF39" s="38"/>
      <c r="AG39" s="23"/>
      <c r="AH39" s="23"/>
      <c r="AI39" s="23"/>
      <c r="AJ39" s="23"/>
      <c r="AK39" s="23"/>
      <c r="AL39" s="23"/>
      <c r="AM39" s="23"/>
      <c r="AN39" s="23"/>
    </row>
    <row r="40" spans="2:40" s="1" customFormat="1">
      <c r="B40" s="3"/>
      <c r="AF40" s="38"/>
      <c r="AG40" s="23"/>
      <c r="AH40" s="23"/>
      <c r="AI40" s="23"/>
      <c r="AJ40" s="23"/>
      <c r="AK40" s="23"/>
      <c r="AL40" s="23"/>
      <c r="AM40" s="23"/>
      <c r="AN40" s="23"/>
    </row>
    <row r="41" spans="2:40" s="1" customFormat="1">
      <c r="B41" s="3"/>
      <c r="AF41" s="38"/>
      <c r="AG41" s="23"/>
      <c r="AH41" s="23"/>
      <c r="AI41" s="23"/>
      <c r="AJ41" s="23"/>
      <c r="AK41" s="23"/>
      <c r="AL41" s="23"/>
      <c r="AM41" s="23"/>
      <c r="AN41" s="23"/>
    </row>
    <row r="42" spans="2:40" s="1" customFormat="1">
      <c r="B42" s="3"/>
      <c r="AF42" s="38"/>
      <c r="AG42" s="23"/>
      <c r="AH42" s="23"/>
      <c r="AI42" s="23"/>
      <c r="AJ42" s="23"/>
      <c r="AK42" s="23"/>
      <c r="AL42" s="23"/>
      <c r="AM42" s="23"/>
      <c r="AN42" s="23"/>
    </row>
    <row r="43" spans="2:40" s="1" customFormat="1">
      <c r="B43" s="3"/>
      <c r="AF43" s="38"/>
      <c r="AG43" s="23"/>
      <c r="AH43" s="23"/>
      <c r="AI43" s="23"/>
      <c r="AJ43" s="23"/>
      <c r="AK43" s="23"/>
      <c r="AL43" s="23"/>
      <c r="AM43" s="23"/>
      <c r="AN43" s="23"/>
    </row>
    <row r="44" spans="2:40" s="1" customFormat="1">
      <c r="B44" s="3"/>
      <c r="AF44" s="38"/>
      <c r="AG44" s="23"/>
      <c r="AH44" s="23"/>
      <c r="AI44" s="23"/>
      <c r="AJ44" s="23"/>
      <c r="AK44" s="23"/>
      <c r="AL44" s="23"/>
      <c r="AM44" s="23"/>
      <c r="AN44" s="23"/>
    </row>
    <row r="45" spans="2:40" s="1" customFormat="1">
      <c r="B45" s="3"/>
      <c r="AF45" s="38"/>
      <c r="AG45" s="23"/>
      <c r="AH45" s="23"/>
      <c r="AI45" s="23"/>
      <c r="AJ45" s="23"/>
      <c r="AK45" s="23"/>
      <c r="AL45" s="23"/>
      <c r="AM45" s="23"/>
      <c r="AN45" s="23"/>
    </row>
    <row r="47" spans="2:40">
      <c r="AG47"/>
    </row>
  </sheetData>
  <mergeCells count="6">
    <mergeCell ref="F33:G33"/>
    <mergeCell ref="J19:K19"/>
    <mergeCell ref="H19:I19"/>
    <mergeCell ref="H33:I33"/>
    <mergeCell ref="B2:AF2"/>
    <mergeCell ref="B3:AF3"/>
  </mergeCells>
  <hyperlinks>
    <hyperlink ref="AB29:AB31" location="'0'!A1" tooltip="X stave 0, Front" display="'0'!A1"/>
    <hyperlink ref="Z29:Z31" location="'1'!A1" tooltip="X stave 1, Back" display="'1'!A1"/>
    <hyperlink ref="X29:X31" location="'2'!A1" tooltip="Stereo stave 0, Back" display="'2'!A1"/>
    <hyperlink ref="V29:V31" location="'3'!A1" tooltip="Stereo stave 0, Front" display="'3'!A1"/>
    <hyperlink ref="T29:T31" location="'4'!A1" tooltip="X stave 1, Front" display="'4'!A1"/>
    <hyperlink ref="R29:R31" location="'5'!A1" tooltip="X stave 1, Back" display="'5'!A1"/>
    <hyperlink ref="P29:P31" location="'6'!A1" tooltip="Stereo stave 1, Back" display="'6'!A1"/>
    <hyperlink ref="N29:N31" location="'7'!A1" tooltip="Stereo stave 1, Front" display="'7'!A1"/>
    <hyperlink ref="L29:L31" location="'8'!A1" tooltip="X stave 2, Front" display="'8'!A1"/>
    <hyperlink ref="J29:J31" location="'9'!A1" tooltip="X stave 2, Back" display="'9'!A1"/>
    <hyperlink ref="H29:H31" location="'10'!A1" tooltip="Stereo stave 2, Back" display="'10'!A1"/>
    <hyperlink ref="F29:F31" location="'11'!A1" tooltip="Stereo stave 2, Front" display="'11'!A1"/>
  </hyperlinks>
  <pageMargins left="0.75" right="0.75" top="1" bottom="1" header="0.5" footer="0.5"/>
  <pageSetup orientation="portrait" horizontalDpi="4294967292" verticalDpi="429496729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F135"/>
  <sheetViews>
    <sheetView topLeftCell="B1" zoomScale="70" zoomScaleNormal="70" zoomScaleSheetLayoutView="25" zoomScalePageLayoutView="70" workbookViewId="0">
      <selection activeCell="B1" sqref="B1"/>
    </sheetView>
  </sheetViews>
  <sheetFormatPr defaultColWidth="7.375" defaultRowHeight="15"/>
  <cols>
    <col min="1" max="1" width="2" style="63" hidden="1" customWidth="1"/>
    <col min="2" max="4" width="11.5" style="63" customWidth="1"/>
    <col min="5" max="5" width="11.625" style="63" customWidth="1"/>
    <col min="6" max="8" width="12.25" style="101" customWidth="1"/>
    <col min="9" max="11" width="12.75" style="63" hidden="1" customWidth="1"/>
    <col min="12" max="14" width="12.25" style="101" customWidth="1"/>
    <col min="15" max="17" width="12.75" style="63" hidden="1" customWidth="1"/>
    <col min="18" max="20" width="12.25" style="101" customWidth="1"/>
    <col min="21" max="21" width="12.75" style="63" customWidth="1"/>
    <col min="22" max="23" width="12.75" style="63" hidden="1" customWidth="1"/>
    <col min="24" max="24" width="11.625" style="101" hidden="1" customWidth="1"/>
    <col min="25" max="25" width="3.5" style="63" hidden="1" customWidth="1"/>
    <col min="26" max="27" width="2.5" style="63" hidden="1" customWidth="1"/>
    <col min="28" max="28" width="6.75" style="63" customWidth="1"/>
    <col min="29" max="16384" width="7.375" style="63"/>
  </cols>
  <sheetData>
    <row r="1" spans="1:28" s="45" customFormat="1" ht="69" customHeight="1">
      <c r="A1" s="44"/>
      <c r="B1" s="44"/>
      <c r="D1" s="46" t="s">
        <v>724</v>
      </c>
      <c r="E1" s="47"/>
      <c r="F1" s="48"/>
      <c r="G1" s="49"/>
      <c r="H1" s="48"/>
      <c r="L1" s="50" t="s">
        <v>725</v>
      </c>
      <c r="M1" s="48"/>
      <c r="N1" s="48"/>
      <c r="R1" s="49"/>
      <c r="S1" s="48"/>
      <c r="T1" s="49"/>
      <c r="X1" s="48"/>
      <c r="Y1" s="48"/>
      <c r="Z1" s="49"/>
      <c r="AA1" s="48"/>
      <c r="AB1" s="48"/>
    </row>
    <row r="2" spans="1:28" s="45" customFormat="1" ht="10.5" customHeight="1" thickBot="1">
      <c r="A2" s="44"/>
      <c r="B2" s="44"/>
      <c r="D2" s="46"/>
      <c r="K2" s="51"/>
      <c r="L2" s="49"/>
      <c r="M2" s="48"/>
      <c r="N2" s="48"/>
      <c r="R2" s="49"/>
      <c r="S2" s="48"/>
      <c r="T2" s="49"/>
      <c r="X2" s="48"/>
      <c r="Y2" s="48"/>
      <c r="Z2" s="49"/>
      <c r="AA2" s="48"/>
      <c r="AB2" s="48"/>
    </row>
    <row r="3" spans="1:28" ht="18" customHeight="1" thickBot="1">
      <c r="A3" s="52"/>
      <c r="B3" s="52"/>
      <c r="C3" s="53" t="s">
        <v>726</v>
      </c>
      <c r="D3" s="54"/>
      <c r="E3" s="55" t="s">
        <v>727</v>
      </c>
      <c r="F3" s="56" t="s">
        <v>728</v>
      </c>
      <c r="G3" s="57" t="s">
        <v>729</v>
      </c>
      <c r="H3" s="58"/>
      <c r="I3" s="59"/>
      <c r="J3" s="483" t="s">
        <v>730</v>
      </c>
      <c r="K3" s="484"/>
      <c r="L3" s="487" t="s">
        <v>731</v>
      </c>
      <c r="M3" s="489" t="s">
        <v>732</v>
      </c>
      <c r="N3" s="60" t="s">
        <v>733</v>
      </c>
      <c r="O3" s="491" t="s">
        <v>734</v>
      </c>
      <c r="P3" s="470" t="s">
        <v>735</v>
      </c>
      <c r="Q3" s="472" t="s">
        <v>736</v>
      </c>
      <c r="R3" s="209" t="s">
        <v>842</v>
      </c>
      <c r="S3" s="61"/>
      <c r="T3" s="61"/>
      <c r="U3" s="61"/>
      <c r="V3" s="61"/>
      <c r="W3" s="61"/>
      <c r="X3" s="61"/>
      <c r="Y3" s="61"/>
      <c r="Z3" s="61"/>
      <c r="AA3" s="62"/>
      <c r="AB3" s="52"/>
    </row>
    <row r="4" spans="1:28" ht="18" customHeight="1" thickBot="1">
      <c r="A4" s="52"/>
      <c r="B4" s="52"/>
      <c r="C4" s="64"/>
      <c r="D4" s="360"/>
      <c r="E4" s="65"/>
      <c r="F4" s="66"/>
      <c r="G4" s="66"/>
      <c r="H4" s="66"/>
      <c r="I4" s="67"/>
      <c r="J4" s="485"/>
      <c r="K4" s="486"/>
      <c r="L4" s="488"/>
      <c r="M4" s="490"/>
      <c r="N4" s="68" t="s">
        <v>737</v>
      </c>
      <c r="O4" s="492"/>
      <c r="P4" s="471"/>
      <c r="Q4" s="473"/>
      <c r="R4" s="176" t="s">
        <v>965</v>
      </c>
      <c r="S4" s="52"/>
      <c r="T4" s="52"/>
      <c r="U4" s="52"/>
      <c r="V4" s="52"/>
      <c r="W4" s="52"/>
      <c r="X4" s="52"/>
      <c r="Y4" s="52"/>
      <c r="Z4" s="52"/>
      <c r="AA4" s="69"/>
      <c r="AB4" s="52"/>
    </row>
    <row r="5" spans="1:28" ht="22.35" customHeight="1" thickBot="1">
      <c r="A5" s="52"/>
      <c r="B5" s="52"/>
      <c r="C5" s="64"/>
      <c r="D5" s="70"/>
      <c r="E5" s="71" t="s">
        <v>738</v>
      </c>
      <c r="F5" s="478" t="s">
        <v>741</v>
      </c>
      <c r="G5" s="478"/>
      <c r="H5" s="478"/>
      <c r="I5" s="72"/>
      <c r="J5" s="72"/>
      <c r="K5" s="72"/>
      <c r="L5" s="495" t="s">
        <v>740</v>
      </c>
      <c r="M5" s="495"/>
      <c r="N5" s="495"/>
      <c r="O5" s="72"/>
      <c r="P5" s="72"/>
      <c r="Q5" s="72"/>
      <c r="R5" s="478" t="s">
        <v>739</v>
      </c>
      <c r="S5" s="478"/>
      <c r="T5" s="478"/>
      <c r="U5" s="52"/>
      <c r="W5" s="52"/>
      <c r="X5" s="73"/>
      <c r="Y5" s="74"/>
      <c r="Z5" s="74"/>
      <c r="AA5" s="69"/>
      <c r="AB5" s="52"/>
    </row>
    <row r="6" spans="1:28" ht="19.7" customHeight="1" thickBot="1">
      <c r="A6" s="52"/>
      <c r="B6" s="52"/>
      <c r="C6" s="75"/>
      <c r="D6" s="52"/>
      <c r="E6" s="76" t="s">
        <v>742</v>
      </c>
      <c r="F6" s="480" t="s">
        <v>745</v>
      </c>
      <c r="G6" s="481"/>
      <c r="H6" s="482"/>
      <c r="I6" s="77"/>
      <c r="J6" s="77"/>
      <c r="K6" s="77"/>
      <c r="L6" s="480" t="s">
        <v>744</v>
      </c>
      <c r="M6" s="481"/>
      <c r="N6" s="482"/>
      <c r="O6" s="361"/>
      <c r="P6" s="361"/>
      <c r="Q6" s="361"/>
      <c r="R6" s="480" t="s">
        <v>743</v>
      </c>
      <c r="S6" s="481"/>
      <c r="T6" s="482"/>
      <c r="U6" s="52"/>
      <c r="V6" s="78" t="s">
        <v>827</v>
      </c>
      <c r="W6" s="52"/>
      <c r="X6" s="73"/>
      <c r="Y6" s="52"/>
      <c r="Z6" s="52"/>
      <c r="AA6" s="69"/>
    </row>
    <row r="7" spans="1:28" ht="15" customHeight="1" thickBot="1">
      <c r="A7" s="52"/>
      <c r="B7" s="52"/>
      <c r="C7" s="75"/>
      <c r="D7" s="52"/>
      <c r="E7" s="79" t="s">
        <v>746</v>
      </c>
      <c r="F7" s="475" t="s">
        <v>862</v>
      </c>
      <c r="G7" s="476"/>
      <c r="H7" s="477"/>
      <c r="I7" s="80"/>
      <c r="J7" s="80"/>
      <c r="K7" s="81"/>
      <c r="L7" s="475" t="s">
        <v>861</v>
      </c>
      <c r="M7" s="476"/>
      <c r="N7" s="477"/>
      <c r="O7" s="361"/>
      <c r="P7" s="361"/>
      <c r="Q7" s="361"/>
      <c r="R7" s="238"/>
      <c r="S7" s="239"/>
      <c r="T7" s="240" t="s">
        <v>747</v>
      </c>
      <c r="U7" s="52"/>
      <c r="V7" s="82" t="s">
        <v>824</v>
      </c>
      <c r="W7" s="52"/>
      <c r="X7" s="73"/>
      <c r="Y7" s="74"/>
      <c r="Z7" s="74"/>
      <c r="AA7" s="69"/>
      <c r="AB7" s="52"/>
    </row>
    <row r="8" spans="1:28" ht="17.25" thickTop="1" thickBot="1">
      <c r="A8" s="52"/>
      <c r="B8" s="52"/>
      <c r="C8" s="75"/>
      <c r="D8" s="52"/>
      <c r="E8" s="71" t="s">
        <v>958</v>
      </c>
      <c r="F8" s="87"/>
      <c r="G8" s="85"/>
      <c r="H8" s="86" t="s">
        <v>959</v>
      </c>
      <c r="I8" s="83"/>
      <c r="J8" s="80"/>
      <c r="K8" s="81"/>
      <c r="L8" s="84"/>
      <c r="M8" s="85"/>
      <c r="N8" s="86" t="s">
        <v>959</v>
      </c>
      <c r="O8" s="361"/>
      <c r="P8" s="361"/>
      <c r="Q8" s="361"/>
      <c r="R8" s="236"/>
      <c r="S8" s="85"/>
      <c r="T8" s="242"/>
      <c r="U8" s="52"/>
      <c r="V8" s="88" t="s">
        <v>826</v>
      </c>
      <c r="W8" s="52"/>
      <c r="X8" s="73"/>
      <c r="Y8" s="74"/>
      <c r="Z8" s="52"/>
      <c r="AA8" s="69"/>
      <c r="AB8" s="52"/>
    </row>
    <row r="9" spans="1:28" ht="31.7" customHeight="1" thickTop="1" thickBot="1">
      <c r="A9" s="52"/>
      <c r="B9" s="52"/>
      <c r="C9" s="75"/>
      <c r="D9" s="52"/>
      <c r="E9" s="89"/>
      <c r="F9" s="227">
        <v>8</v>
      </c>
      <c r="G9" s="228">
        <v>7</v>
      </c>
      <c r="H9" s="229">
        <v>6</v>
      </c>
      <c r="J9" s="52"/>
      <c r="L9" s="227">
        <v>5</v>
      </c>
      <c r="M9" s="228">
        <v>4</v>
      </c>
      <c r="N9" s="229">
        <v>3</v>
      </c>
      <c r="O9" s="361"/>
      <c r="P9" s="361"/>
      <c r="Q9" s="361"/>
      <c r="R9" s="227">
        <v>2</v>
      </c>
      <c r="S9" s="228">
        <v>1</v>
      </c>
      <c r="T9" s="229">
        <v>0</v>
      </c>
      <c r="U9" s="52"/>
      <c r="V9" s="52"/>
      <c r="W9" s="52"/>
      <c r="X9" s="73"/>
      <c r="Y9" s="74"/>
      <c r="Z9" s="52"/>
      <c r="AA9" s="69"/>
      <c r="AB9" s="52"/>
    </row>
    <row r="10" spans="1:28" ht="12.75" customHeight="1" thickTop="1">
      <c r="A10" s="52"/>
      <c r="B10" s="52"/>
      <c r="C10" s="75"/>
      <c r="D10" s="52"/>
      <c r="E10" s="420">
        <v>0</v>
      </c>
      <c r="F10" s="448" t="s">
        <v>753</v>
      </c>
      <c r="G10" s="450" t="s">
        <v>757</v>
      </c>
      <c r="H10" s="451" t="s">
        <v>754</v>
      </c>
      <c r="I10" s="362"/>
      <c r="J10" s="363"/>
      <c r="K10" s="362"/>
      <c r="L10" s="448" t="s">
        <v>751</v>
      </c>
      <c r="M10" s="450" t="s">
        <v>756</v>
      </c>
      <c r="N10" s="451" t="s">
        <v>752</v>
      </c>
      <c r="O10" s="364"/>
      <c r="P10" s="364"/>
      <c r="Q10" s="364"/>
      <c r="R10" s="448" t="s">
        <v>749</v>
      </c>
      <c r="S10" s="450" t="s">
        <v>755</v>
      </c>
      <c r="T10" s="451" t="s">
        <v>750</v>
      </c>
      <c r="U10" s="230"/>
      <c r="V10" s="52"/>
      <c r="W10" s="52"/>
      <c r="X10" s="92"/>
      <c r="Y10" s="92"/>
      <c r="Z10" s="92"/>
      <c r="AA10" s="69"/>
      <c r="AB10" s="52"/>
    </row>
    <row r="11" spans="1:28" ht="14.1" customHeight="1" thickBot="1">
      <c r="A11" s="52"/>
      <c r="B11" s="52"/>
      <c r="C11" s="75"/>
      <c r="D11" s="52"/>
      <c r="E11" s="420"/>
      <c r="F11" s="462"/>
      <c r="G11" s="463"/>
      <c r="H11" s="461"/>
      <c r="I11" s="362"/>
      <c r="J11" s="363"/>
      <c r="K11" s="362"/>
      <c r="L11" s="462"/>
      <c r="M11" s="463"/>
      <c r="N11" s="474"/>
      <c r="O11" s="364"/>
      <c r="P11" s="364"/>
      <c r="Q11" s="364"/>
      <c r="R11" s="462"/>
      <c r="S11" s="463"/>
      <c r="T11" s="461"/>
      <c r="U11" s="230"/>
      <c r="V11" s="52"/>
      <c r="W11" s="52"/>
      <c r="X11" s="92"/>
      <c r="Y11" s="92"/>
      <c r="Z11" s="92"/>
      <c r="AA11" s="69"/>
      <c r="AB11" s="52"/>
    </row>
    <row r="12" spans="1:28" ht="15" customHeight="1" thickTop="1">
      <c r="A12" s="52"/>
      <c r="B12" s="52"/>
      <c r="C12" s="75"/>
      <c r="D12" s="52"/>
      <c r="E12" s="420">
        <v>1</v>
      </c>
      <c r="F12" s="455" t="s">
        <v>753</v>
      </c>
      <c r="G12" s="453" t="s">
        <v>757</v>
      </c>
      <c r="H12" s="466"/>
      <c r="I12" s="362"/>
      <c r="J12" s="363"/>
      <c r="K12" s="362"/>
      <c r="L12" s="455" t="s">
        <v>751</v>
      </c>
      <c r="M12" s="468" t="s">
        <v>756</v>
      </c>
      <c r="N12" s="466"/>
      <c r="O12" s="364"/>
      <c r="P12" s="364"/>
      <c r="Q12" s="364"/>
      <c r="R12" s="455" t="s">
        <v>749</v>
      </c>
      <c r="S12" s="453" t="s">
        <v>755</v>
      </c>
      <c r="T12" s="429" t="s">
        <v>750</v>
      </c>
      <c r="U12" s="230"/>
      <c r="V12" s="52"/>
      <c r="W12" s="52"/>
      <c r="X12" s="93"/>
      <c r="Y12" s="94"/>
      <c r="Z12" s="95"/>
      <c r="AA12" s="69"/>
      <c r="AB12" s="52"/>
    </row>
    <row r="13" spans="1:28" ht="15" customHeight="1" thickBot="1">
      <c r="A13" s="52"/>
      <c r="B13" s="52"/>
      <c r="C13" s="75"/>
      <c r="D13" s="52"/>
      <c r="E13" s="420"/>
      <c r="F13" s="456"/>
      <c r="G13" s="454"/>
      <c r="H13" s="467"/>
      <c r="I13" s="362"/>
      <c r="J13" s="363"/>
      <c r="K13" s="362"/>
      <c r="L13" s="456"/>
      <c r="M13" s="469"/>
      <c r="N13" s="467"/>
      <c r="O13" s="364"/>
      <c r="P13" s="364"/>
      <c r="Q13" s="364"/>
      <c r="R13" s="456"/>
      <c r="S13" s="454"/>
      <c r="T13" s="439"/>
      <c r="U13" s="230"/>
      <c r="V13" s="52"/>
      <c r="W13" s="52"/>
      <c r="X13" s="73"/>
      <c r="Y13" s="96"/>
      <c r="Z13" s="95"/>
      <c r="AA13" s="69"/>
      <c r="AB13" s="52"/>
    </row>
    <row r="14" spans="1:28" ht="14.45" customHeight="1" thickTop="1">
      <c r="A14" s="52"/>
      <c r="B14" s="52"/>
      <c r="C14" s="75"/>
      <c r="D14" s="52"/>
      <c r="E14" s="420">
        <v>2</v>
      </c>
      <c r="F14" s="448" t="s">
        <v>753</v>
      </c>
      <c r="G14" s="450" t="s">
        <v>757</v>
      </c>
      <c r="H14" s="451" t="s">
        <v>754</v>
      </c>
      <c r="I14" s="362"/>
      <c r="J14" s="363"/>
      <c r="K14" s="362"/>
      <c r="L14" s="448" t="s">
        <v>751</v>
      </c>
      <c r="M14" s="450" t="s">
        <v>756</v>
      </c>
      <c r="N14" s="451" t="s">
        <v>752</v>
      </c>
      <c r="O14" s="364"/>
      <c r="P14" s="364"/>
      <c r="Q14" s="364"/>
      <c r="R14" s="448" t="s">
        <v>749</v>
      </c>
      <c r="S14" s="450" t="s">
        <v>755</v>
      </c>
      <c r="T14" s="451" t="s">
        <v>750</v>
      </c>
      <c r="U14" s="231"/>
      <c r="V14" s="52"/>
      <c r="W14" s="52"/>
      <c r="X14" s="96"/>
      <c r="Y14" s="96"/>
      <c r="Z14" s="95"/>
      <c r="AA14" s="69"/>
      <c r="AB14" s="52"/>
    </row>
    <row r="15" spans="1:28" ht="14.1" customHeight="1">
      <c r="A15" s="52"/>
      <c r="B15" s="52"/>
      <c r="C15" s="75"/>
      <c r="D15" s="52"/>
      <c r="E15" s="420"/>
      <c r="F15" s="462"/>
      <c r="G15" s="463"/>
      <c r="H15" s="461"/>
      <c r="I15" s="362"/>
      <c r="J15" s="363"/>
      <c r="K15" s="362"/>
      <c r="L15" s="462"/>
      <c r="M15" s="463"/>
      <c r="N15" s="461"/>
      <c r="O15" s="364"/>
      <c r="P15" s="364"/>
      <c r="Q15" s="364"/>
      <c r="R15" s="462"/>
      <c r="S15" s="463"/>
      <c r="T15" s="461"/>
      <c r="U15" s="231"/>
      <c r="V15" s="52"/>
      <c r="W15" s="52"/>
      <c r="X15" s="73"/>
      <c r="Y15" s="74"/>
      <c r="Z15" s="52"/>
      <c r="AA15" s="69"/>
      <c r="AB15" s="52"/>
    </row>
    <row r="16" spans="1:28" ht="15" customHeight="1">
      <c r="A16" s="52"/>
      <c r="B16" s="52"/>
      <c r="C16" s="97" t="s">
        <v>758</v>
      </c>
      <c r="D16" s="52"/>
      <c r="E16" s="420">
        <v>3</v>
      </c>
      <c r="F16" s="455" t="s">
        <v>753</v>
      </c>
      <c r="G16" s="453" t="s">
        <v>757</v>
      </c>
      <c r="H16" s="429" t="s">
        <v>754</v>
      </c>
      <c r="I16" s="362"/>
      <c r="J16" s="363"/>
      <c r="K16" s="362"/>
      <c r="L16" s="455" t="s">
        <v>751</v>
      </c>
      <c r="M16" s="457" t="s">
        <v>756</v>
      </c>
      <c r="N16" s="429" t="s">
        <v>752</v>
      </c>
      <c r="O16" s="364"/>
      <c r="P16" s="364"/>
      <c r="Q16" s="364"/>
      <c r="R16" s="455" t="s">
        <v>749</v>
      </c>
      <c r="S16" s="453" t="s">
        <v>755</v>
      </c>
      <c r="T16" s="429" t="s">
        <v>750</v>
      </c>
      <c r="U16" s="231"/>
      <c r="V16" s="52"/>
      <c r="W16" s="52"/>
      <c r="X16" s="73"/>
      <c r="Y16" s="74"/>
      <c r="Z16" s="52"/>
      <c r="AA16" s="69"/>
      <c r="AB16" s="52"/>
    </row>
    <row r="17" spans="1:32" ht="15" customHeight="1" thickBot="1">
      <c r="A17" s="52"/>
      <c r="B17" s="52"/>
      <c r="C17" s="75"/>
      <c r="D17" s="98" t="s">
        <v>759</v>
      </c>
      <c r="E17" s="420"/>
      <c r="F17" s="456"/>
      <c r="G17" s="454"/>
      <c r="H17" s="439"/>
      <c r="I17" s="362"/>
      <c r="J17" s="363"/>
      <c r="K17" s="362"/>
      <c r="L17" s="456"/>
      <c r="M17" s="458"/>
      <c r="N17" s="439"/>
      <c r="O17" s="364"/>
      <c r="P17" s="364"/>
      <c r="Q17" s="364"/>
      <c r="R17" s="456"/>
      <c r="S17" s="454"/>
      <c r="T17" s="439"/>
      <c r="U17" s="231"/>
      <c r="V17" s="52"/>
      <c r="W17" s="52"/>
      <c r="X17" s="73"/>
      <c r="Y17" s="74"/>
      <c r="Z17" s="52"/>
      <c r="AA17" s="69"/>
      <c r="AB17" s="52"/>
    </row>
    <row r="18" spans="1:32" ht="15" customHeight="1" thickTop="1">
      <c r="A18" s="52"/>
      <c r="B18" s="52"/>
      <c r="C18" s="97" t="s">
        <v>760</v>
      </c>
      <c r="D18" s="52"/>
      <c r="E18" s="420">
        <v>4</v>
      </c>
      <c r="F18" s="444" t="s">
        <v>753</v>
      </c>
      <c r="G18" s="446" t="s">
        <v>763</v>
      </c>
      <c r="H18" s="442" t="s">
        <v>754</v>
      </c>
      <c r="I18" s="362"/>
      <c r="J18" s="363"/>
      <c r="K18" s="362"/>
      <c r="L18" s="444" t="s">
        <v>751</v>
      </c>
      <c r="M18" s="493" t="s">
        <v>762</v>
      </c>
      <c r="N18" s="442" t="s">
        <v>752</v>
      </c>
      <c r="O18" s="364"/>
      <c r="P18" s="364"/>
      <c r="Q18" s="364"/>
      <c r="R18" s="448" t="s">
        <v>749</v>
      </c>
      <c r="S18" s="450" t="s">
        <v>761</v>
      </c>
      <c r="T18" s="451" t="s">
        <v>750</v>
      </c>
      <c r="U18" s="232"/>
      <c r="V18" s="52"/>
      <c r="W18" s="52"/>
      <c r="X18" s="73"/>
      <c r="Y18" s="74"/>
      <c r="Z18" s="52"/>
      <c r="AA18" s="69"/>
      <c r="AB18" s="52"/>
    </row>
    <row r="19" spans="1:32" ht="15" customHeight="1" thickBot="1">
      <c r="A19" s="52"/>
      <c r="B19" s="52"/>
      <c r="C19" s="75"/>
      <c r="D19" s="52"/>
      <c r="E19" s="420"/>
      <c r="F19" s="445"/>
      <c r="G19" s="447"/>
      <c r="H19" s="443"/>
      <c r="I19" s="362"/>
      <c r="J19" s="363"/>
      <c r="K19" s="362"/>
      <c r="L19" s="445"/>
      <c r="M19" s="494"/>
      <c r="N19" s="443"/>
      <c r="O19" s="364"/>
      <c r="P19" s="364"/>
      <c r="Q19" s="364"/>
      <c r="R19" s="449"/>
      <c r="S19" s="424"/>
      <c r="T19" s="452"/>
      <c r="U19" s="232"/>
      <c r="V19" s="52"/>
      <c r="W19" s="52"/>
      <c r="X19" s="73"/>
      <c r="Y19" s="74"/>
      <c r="Z19" s="52"/>
      <c r="AA19" s="69"/>
      <c r="AB19" s="52"/>
    </row>
    <row r="20" spans="1:32" ht="15" customHeight="1" thickTop="1">
      <c r="A20" s="52"/>
      <c r="B20" s="52"/>
      <c r="C20" s="75"/>
      <c r="D20" s="52"/>
      <c r="E20" s="420">
        <v>5</v>
      </c>
      <c r="F20" s="431" t="s">
        <v>753</v>
      </c>
      <c r="G20" s="433" t="s">
        <v>763</v>
      </c>
      <c r="H20" s="429" t="s">
        <v>845</v>
      </c>
      <c r="I20" s="362"/>
      <c r="J20" s="363"/>
      <c r="K20" s="362"/>
      <c r="L20" s="431" t="s">
        <v>751</v>
      </c>
      <c r="M20" s="433" t="s">
        <v>762</v>
      </c>
      <c r="N20" s="429" t="s">
        <v>844</v>
      </c>
      <c r="O20" s="364"/>
      <c r="P20" s="364"/>
      <c r="Q20" s="364"/>
      <c r="R20" s="435" t="s">
        <v>749</v>
      </c>
      <c r="S20" s="403" t="s">
        <v>960</v>
      </c>
      <c r="T20" s="405" t="s">
        <v>851</v>
      </c>
      <c r="U20" s="232"/>
      <c r="V20" s="52"/>
      <c r="W20" s="52"/>
      <c r="X20" s="73"/>
      <c r="Y20" s="74"/>
      <c r="Z20" s="52"/>
      <c r="AA20" s="69"/>
      <c r="AB20" s="52"/>
      <c r="AF20" s="63" t="s">
        <v>963</v>
      </c>
    </row>
    <row r="21" spans="1:32" ht="15" customHeight="1" thickBot="1">
      <c r="A21" s="52"/>
      <c r="B21" s="52"/>
      <c r="C21" s="75"/>
      <c r="D21" s="52"/>
      <c r="E21" s="420"/>
      <c r="F21" s="432"/>
      <c r="G21" s="434"/>
      <c r="H21" s="430"/>
      <c r="I21" s="362"/>
      <c r="J21" s="363"/>
      <c r="K21" s="362"/>
      <c r="L21" s="432"/>
      <c r="M21" s="434"/>
      <c r="N21" s="430"/>
      <c r="O21" s="364"/>
      <c r="P21" s="364"/>
      <c r="Q21" s="364"/>
      <c r="R21" s="436"/>
      <c r="S21" s="404"/>
      <c r="T21" s="406"/>
      <c r="U21" s="232"/>
      <c r="V21" s="52"/>
      <c r="W21" s="52"/>
      <c r="X21" s="73"/>
      <c r="Y21" s="74"/>
      <c r="Z21" s="52"/>
      <c r="AA21" s="69"/>
      <c r="AB21" s="52"/>
    </row>
    <row r="22" spans="1:32" ht="15" customHeight="1" thickTop="1" thickBot="1">
      <c r="A22" s="52"/>
      <c r="B22" s="52"/>
      <c r="C22" s="75"/>
      <c r="D22" s="52"/>
      <c r="E22" s="420">
        <v>6</v>
      </c>
      <c r="F22" s="437" t="s">
        <v>850</v>
      </c>
      <c r="G22" s="423" t="s">
        <v>849</v>
      </c>
      <c r="H22" s="235" t="s">
        <v>845</v>
      </c>
      <c r="I22" s="362"/>
      <c r="J22" s="363"/>
      <c r="K22" s="362"/>
      <c r="L22" s="437" t="s">
        <v>848</v>
      </c>
      <c r="M22" s="423" t="s">
        <v>847</v>
      </c>
      <c r="N22" s="235" t="s">
        <v>844</v>
      </c>
      <c r="O22" s="364"/>
      <c r="P22" s="364"/>
      <c r="Q22" s="364"/>
      <c r="R22" s="437" t="s">
        <v>846</v>
      </c>
      <c r="S22" s="425" t="s">
        <v>961</v>
      </c>
      <c r="T22" s="225" t="s">
        <v>851</v>
      </c>
      <c r="U22" s="233"/>
      <c r="V22" s="52"/>
      <c r="W22" s="52"/>
      <c r="X22" s="73"/>
      <c r="Y22" s="74"/>
      <c r="Z22" s="52"/>
      <c r="AA22" s="69"/>
      <c r="AB22" s="52"/>
    </row>
    <row r="23" spans="1:32" ht="15" customHeight="1" thickTop="1" thickBot="1">
      <c r="A23" s="52"/>
      <c r="B23" s="52"/>
      <c r="C23" s="75"/>
      <c r="D23" s="52"/>
      <c r="E23" s="420"/>
      <c r="F23" s="438"/>
      <c r="G23" s="424"/>
      <c r="H23" s="234" t="s">
        <v>845</v>
      </c>
      <c r="I23" s="362"/>
      <c r="J23" s="363"/>
      <c r="K23" s="362"/>
      <c r="L23" s="438"/>
      <c r="M23" s="424"/>
      <c r="N23" s="234" t="s">
        <v>844</v>
      </c>
      <c r="O23" s="364"/>
      <c r="P23" s="364"/>
      <c r="Q23" s="364"/>
      <c r="R23" s="438"/>
      <c r="S23" s="426"/>
      <c r="T23" s="226" t="s">
        <v>851</v>
      </c>
      <c r="U23" s="233"/>
      <c r="V23" s="52"/>
      <c r="W23" s="52"/>
      <c r="X23" s="73"/>
      <c r="Y23" s="74"/>
      <c r="Z23" s="52"/>
      <c r="AA23" s="69"/>
      <c r="AB23" s="52"/>
    </row>
    <row r="24" spans="1:32" ht="14.85" customHeight="1" thickTop="1">
      <c r="A24" s="52"/>
      <c r="B24" s="52"/>
      <c r="C24" s="75"/>
      <c r="D24" s="52"/>
      <c r="E24" s="99" t="s">
        <v>764</v>
      </c>
      <c r="F24" s="100" t="s">
        <v>766</v>
      </c>
      <c r="G24" s="100" t="s">
        <v>766</v>
      </c>
      <c r="H24" s="100" t="s">
        <v>766</v>
      </c>
      <c r="J24" s="52"/>
      <c r="L24" s="100" t="s">
        <v>766</v>
      </c>
      <c r="M24" s="100" t="s">
        <v>766</v>
      </c>
      <c r="N24" s="100" t="s">
        <v>766</v>
      </c>
      <c r="O24" s="361"/>
      <c r="P24" s="361"/>
      <c r="Q24" s="361"/>
      <c r="R24" s="100" t="s">
        <v>765</v>
      </c>
      <c r="S24" s="100" t="s">
        <v>15</v>
      </c>
      <c r="T24" s="100" t="s">
        <v>18</v>
      </c>
      <c r="U24" s="52"/>
      <c r="V24" s="52"/>
      <c r="W24" s="52"/>
      <c r="X24" s="73"/>
      <c r="Y24" s="52"/>
      <c r="Z24" s="52"/>
      <c r="AA24" s="69"/>
      <c r="AB24" s="52"/>
    </row>
    <row r="25" spans="1:32" s="101" customFormat="1" ht="23.45" customHeight="1" thickBot="1">
      <c r="C25" s="102"/>
      <c r="D25" s="354"/>
      <c r="E25" s="103" t="s">
        <v>767</v>
      </c>
      <c r="F25" s="407">
        <v>10</v>
      </c>
      <c r="G25" s="408"/>
      <c r="H25" s="409"/>
      <c r="I25" s="104"/>
      <c r="J25" s="104"/>
      <c r="K25" s="104"/>
      <c r="L25" s="407">
        <v>10</v>
      </c>
      <c r="M25" s="408"/>
      <c r="N25" s="409"/>
      <c r="O25" s="104"/>
      <c r="P25" s="104"/>
      <c r="Q25" s="104"/>
      <c r="R25" s="407">
        <v>12</v>
      </c>
      <c r="S25" s="408"/>
      <c r="T25" s="409"/>
      <c r="U25" s="104"/>
      <c r="V25" s="105"/>
      <c r="W25" s="106" t="s">
        <v>768</v>
      </c>
      <c r="X25" s="104">
        <f>SUM(F25:T25)</f>
        <v>32</v>
      </c>
      <c r="Y25" s="73"/>
      <c r="Z25" s="73"/>
      <c r="AA25" s="107"/>
      <c r="AB25" s="73"/>
    </row>
    <row r="26" spans="1:32" s="101" customFormat="1" ht="51.95" hidden="1" customHeight="1" thickBot="1">
      <c r="C26" s="108"/>
      <c r="D26" s="74"/>
      <c r="E26" s="74"/>
      <c r="F26" s="73"/>
      <c r="G26" s="73"/>
      <c r="H26" s="73"/>
      <c r="I26" s="109" t="s">
        <v>769</v>
      </c>
      <c r="J26" s="110" t="s">
        <v>770</v>
      </c>
      <c r="K26" s="110" t="s">
        <v>771</v>
      </c>
      <c r="L26" s="73"/>
      <c r="M26" s="73"/>
      <c r="N26" s="73"/>
      <c r="O26" s="109" t="s">
        <v>769</v>
      </c>
      <c r="P26" s="110" t="s">
        <v>770</v>
      </c>
      <c r="Q26" s="110" t="s">
        <v>771</v>
      </c>
      <c r="R26" s="73"/>
      <c r="S26" s="73"/>
      <c r="T26" s="73"/>
      <c r="U26" s="109" t="s">
        <v>769</v>
      </c>
      <c r="V26" s="110" t="s">
        <v>770</v>
      </c>
      <c r="W26" s="110" t="s">
        <v>771</v>
      </c>
      <c r="X26" s="109" t="s">
        <v>772</v>
      </c>
      <c r="Y26" s="73"/>
      <c r="Z26" s="73"/>
      <c r="AA26" s="111"/>
      <c r="AB26" s="73"/>
    </row>
    <row r="27" spans="1:32" ht="15.75" hidden="1" thickBot="1">
      <c r="C27" s="112" t="s">
        <v>773</v>
      </c>
      <c r="D27" s="113"/>
      <c r="E27" s="114" t="s">
        <v>774</v>
      </c>
      <c r="F27" s="115">
        <v>44</v>
      </c>
      <c r="G27" s="116">
        <v>36</v>
      </c>
      <c r="H27" s="117">
        <v>28</v>
      </c>
      <c r="I27" s="118">
        <f>SUM(F27:H27)</f>
        <v>108</v>
      </c>
      <c r="J27" s="73"/>
      <c r="K27" s="73"/>
      <c r="L27" s="116">
        <v>28</v>
      </c>
      <c r="M27" s="116">
        <v>28</v>
      </c>
      <c r="N27" s="117">
        <v>28</v>
      </c>
      <c r="O27" s="118">
        <f>SUM(L27:N27)</f>
        <v>84</v>
      </c>
      <c r="P27" s="73"/>
      <c r="Q27" s="73"/>
      <c r="R27" s="116">
        <v>28</v>
      </c>
      <c r="S27" s="116">
        <v>28</v>
      </c>
      <c r="T27" s="117">
        <v>28</v>
      </c>
      <c r="U27" s="118">
        <f>SUM(R27:T27)</f>
        <v>84</v>
      </c>
      <c r="V27" s="73"/>
      <c r="W27" s="73"/>
      <c r="X27" s="119">
        <f t="shared" ref="X27:X37" si="0">SUM(I27,O27,U27)</f>
        <v>276</v>
      </c>
      <c r="Y27" s="52"/>
      <c r="Z27" s="52"/>
      <c r="AA27" s="120"/>
      <c r="AB27" s="52"/>
    </row>
    <row r="28" spans="1:32" ht="15.75" hidden="1" thickBot="1">
      <c r="C28" s="121"/>
      <c r="D28" s="122"/>
      <c r="E28" s="123" t="s">
        <v>775</v>
      </c>
      <c r="F28" s="124">
        <v>11</v>
      </c>
      <c r="G28" s="125">
        <v>9</v>
      </c>
      <c r="H28" s="126">
        <v>7</v>
      </c>
      <c r="I28" s="127">
        <f t="shared" ref="I28:I33" si="1">SUM(F28:H28)</f>
        <v>27</v>
      </c>
      <c r="J28" s="104"/>
      <c r="K28" s="104">
        <f>I28*5</f>
        <v>135</v>
      </c>
      <c r="L28" s="125">
        <v>7</v>
      </c>
      <c r="M28" s="125">
        <v>7</v>
      </c>
      <c r="N28" s="126">
        <v>7</v>
      </c>
      <c r="O28" s="127">
        <f>SUM(L28:N28)</f>
        <v>21</v>
      </c>
      <c r="P28" s="104"/>
      <c r="Q28" s="104">
        <f>O28*5</f>
        <v>105</v>
      </c>
      <c r="R28" s="125">
        <v>7</v>
      </c>
      <c r="S28" s="125">
        <v>7</v>
      </c>
      <c r="T28" s="126">
        <v>7</v>
      </c>
      <c r="U28" s="127">
        <f>SUM(R28:T28)</f>
        <v>21</v>
      </c>
      <c r="V28" s="104"/>
      <c r="W28" s="104">
        <f>U28*5</f>
        <v>105</v>
      </c>
      <c r="X28" s="128">
        <f t="shared" si="0"/>
        <v>69</v>
      </c>
      <c r="Y28" s="52"/>
      <c r="Z28" s="52"/>
      <c r="AA28" s="120"/>
      <c r="AB28" s="52"/>
    </row>
    <row r="29" spans="1:32" ht="15.75" hidden="1" thickBot="1">
      <c r="C29" s="75"/>
      <c r="D29" s="129"/>
      <c r="E29" s="130" t="s">
        <v>776</v>
      </c>
      <c r="F29" s="131">
        <v>15</v>
      </c>
      <c r="G29" s="132">
        <v>11</v>
      </c>
      <c r="H29" s="133">
        <v>8</v>
      </c>
      <c r="I29" s="134">
        <f t="shared" si="1"/>
        <v>34</v>
      </c>
      <c r="J29" s="73"/>
      <c r="K29" s="73"/>
      <c r="L29" s="132">
        <v>10</v>
      </c>
      <c r="M29" s="132">
        <v>8</v>
      </c>
      <c r="N29" s="133">
        <v>8</v>
      </c>
      <c r="O29" s="134">
        <f>SUM(L29:N29)</f>
        <v>26</v>
      </c>
      <c r="P29" s="73"/>
      <c r="Q29" s="73"/>
      <c r="R29" s="132">
        <v>10</v>
      </c>
      <c r="S29" s="132">
        <v>8</v>
      </c>
      <c r="T29" s="133">
        <v>8</v>
      </c>
      <c r="U29" s="134">
        <f>SUM(R29:T29)</f>
        <v>26</v>
      </c>
      <c r="V29" s="73"/>
      <c r="W29" s="73"/>
      <c r="X29" s="135">
        <f t="shared" si="0"/>
        <v>86</v>
      </c>
      <c r="Y29" s="52"/>
      <c r="Z29" s="52"/>
      <c r="AA29" s="120"/>
      <c r="AB29" s="52"/>
    </row>
    <row r="30" spans="1:32" ht="15.75" hidden="1" thickBot="1">
      <c r="C30" s="121"/>
      <c r="D30" s="122"/>
      <c r="E30" s="123" t="s">
        <v>777</v>
      </c>
      <c r="F30" s="136">
        <f t="shared" ref="F30:H31" si="2">F28</f>
        <v>11</v>
      </c>
      <c r="G30" s="137">
        <f t="shared" si="2"/>
        <v>9</v>
      </c>
      <c r="H30" s="353">
        <f t="shared" si="2"/>
        <v>7</v>
      </c>
      <c r="I30" s="127">
        <f t="shared" si="1"/>
        <v>27</v>
      </c>
      <c r="J30" s="104">
        <f>I30*4</f>
        <v>108</v>
      </c>
      <c r="K30" s="104"/>
      <c r="L30" s="137">
        <f t="shared" ref="L30:N31" si="3">L28</f>
        <v>7</v>
      </c>
      <c r="M30" s="137">
        <f t="shared" si="3"/>
        <v>7</v>
      </c>
      <c r="N30" s="353">
        <f t="shared" si="3"/>
        <v>7</v>
      </c>
      <c r="O30" s="127">
        <f>SUM(L30:N30)</f>
        <v>21</v>
      </c>
      <c r="P30" s="104">
        <f>O30*4</f>
        <v>84</v>
      </c>
      <c r="Q30" s="104"/>
      <c r="R30" s="137">
        <f t="shared" ref="R30:T31" si="4">R28</f>
        <v>7</v>
      </c>
      <c r="S30" s="137">
        <f t="shared" si="4"/>
        <v>7</v>
      </c>
      <c r="T30" s="353">
        <f t="shared" si="4"/>
        <v>7</v>
      </c>
      <c r="U30" s="127">
        <f>SUM(R30:T30)</f>
        <v>21</v>
      </c>
      <c r="V30" s="104">
        <f>U30*4</f>
        <v>84</v>
      </c>
      <c r="W30" s="104"/>
      <c r="X30" s="128">
        <f t="shared" si="0"/>
        <v>69</v>
      </c>
      <c r="Y30" s="52"/>
      <c r="Z30" s="52"/>
      <c r="AA30" s="120"/>
      <c r="AB30" s="52"/>
    </row>
    <row r="31" spans="1:32" ht="15.75" hidden="1" thickBot="1">
      <c r="C31" s="75"/>
      <c r="D31" s="129"/>
      <c r="E31" s="130" t="s">
        <v>778</v>
      </c>
      <c r="F31" s="138">
        <f t="shared" si="2"/>
        <v>15</v>
      </c>
      <c r="G31" s="139">
        <f t="shared" si="2"/>
        <v>11</v>
      </c>
      <c r="H31" s="140">
        <f t="shared" si="2"/>
        <v>8</v>
      </c>
      <c r="I31" s="141">
        <f>SUM(F31:H31)/6</f>
        <v>5.666666666666667</v>
      </c>
      <c r="J31" s="142">
        <f>I31*4</f>
        <v>22.666666666666668</v>
      </c>
      <c r="K31" s="73"/>
      <c r="L31" s="139">
        <f t="shared" si="3"/>
        <v>10</v>
      </c>
      <c r="M31" s="139">
        <f t="shared" si="3"/>
        <v>8</v>
      </c>
      <c r="N31" s="140">
        <f t="shared" si="3"/>
        <v>8</v>
      </c>
      <c r="O31" s="141">
        <f>SUM(L31:N31)/6</f>
        <v>4.333333333333333</v>
      </c>
      <c r="P31" s="142">
        <f>O31*4</f>
        <v>17.333333333333332</v>
      </c>
      <c r="Q31" s="73"/>
      <c r="R31" s="139">
        <f t="shared" si="4"/>
        <v>10</v>
      </c>
      <c r="S31" s="139">
        <f t="shared" si="4"/>
        <v>8</v>
      </c>
      <c r="T31" s="140">
        <f t="shared" si="4"/>
        <v>8</v>
      </c>
      <c r="U31" s="141">
        <f>SUM(R31:T31)/6</f>
        <v>4.333333333333333</v>
      </c>
      <c r="V31" s="142">
        <f>U31*4</f>
        <v>17.333333333333332</v>
      </c>
      <c r="W31" s="73"/>
      <c r="X31" s="135">
        <f t="shared" si="0"/>
        <v>14.333333333333332</v>
      </c>
      <c r="Y31" s="52"/>
      <c r="Z31" s="52"/>
      <c r="AA31" s="120"/>
      <c r="AB31" s="52"/>
    </row>
    <row r="32" spans="1:32" ht="15.75" hidden="1" thickBot="1">
      <c r="C32" s="121"/>
      <c r="D32" s="122"/>
      <c r="E32" s="123" t="s">
        <v>779</v>
      </c>
      <c r="F32" s="136">
        <f t="shared" ref="F32:H33" si="5">F28</f>
        <v>11</v>
      </c>
      <c r="G32" s="137">
        <f t="shared" si="5"/>
        <v>9</v>
      </c>
      <c r="H32" s="353">
        <f t="shared" si="5"/>
        <v>7</v>
      </c>
      <c r="I32" s="127">
        <f t="shared" si="1"/>
        <v>27</v>
      </c>
      <c r="J32" s="104"/>
      <c r="K32" s="104"/>
      <c r="L32" s="137">
        <f t="shared" ref="L32:N33" si="6">L28</f>
        <v>7</v>
      </c>
      <c r="M32" s="137">
        <f t="shared" si="6"/>
        <v>7</v>
      </c>
      <c r="N32" s="353">
        <f t="shared" si="6"/>
        <v>7</v>
      </c>
      <c r="O32" s="127">
        <f t="shared" ref="O32:O37" si="7">SUM(L32:N32)</f>
        <v>21</v>
      </c>
      <c r="P32" s="104"/>
      <c r="Q32" s="104"/>
      <c r="R32" s="137">
        <f t="shared" ref="R32:T33" si="8">R28</f>
        <v>7</v>
      </c>
      <c r="S32" s="137">
        <f t="shared" si="8"/>
        <v>7</v>
      </c>
      <c r="T32" s="353">
        <f t="shared" si="8"/>
        <v>7</v>
      </c>
      <c r="U32" s="127">
        <f t="shared" ref="U32:U37" si="9">SUM(R32:T32)</f>
        <v>21</v>
      </c>
      <c r="V32" s="104"/>
      <c r="W32" s="104"/>
      <c r="X32" s="128">
        <f t="shared" si="0"/>
        <v>69</v>
      </c>
      <c r="Y32" s="52"/>
      <c r="Z32" s="52"/>
      <c r="AA32" s="120"/>
      <c r="AB32" s="52"/>
    </row>
    <row r="33" spans="3:28" ht="15.75" hidden="1" thickBot="1">
      <c r="C33" s="75"/>
      <c r="D33" s="129"/>
      <c r="E33" s="130" t="s">
        <v>780</v>
      </c>
      <c r="F33" s="138">
        <f t="shared" si="5"/>
        <v>15</v>
      </c>
      <c r="G33" s="138">
        <f t="shared" si="5"/>
        <v>11</v>
      </c>
      <c r="H33" s="143">
        <f t="shared" si="5"/>
        <v>8</v>
      </c>
      <c r="I33" s="134">
        <f t="shared" si="1"/>
        <v>34</v>
      </c>
      <c r="J33" s="73">
        <f>I33*2</f>
        <v>68</v>
      </c>
      <c r="K33" s="73"/>
      <c r="L33" s="139">
        <f t="shared" si="6"/>
        <v>10</v>
      </c>
      <c r="M33" s="139">
        <f t="shared" si="6"/>
        <v>8</v>
      </c>
      <c r="N33" s="140">
        <f t="shared" si="6"/>
        <v>8</v>
      </c>
      <c r="O33" s="134">
        <f t="shared" si="7"/>
        <v>26</v>
      </c>
      <c r="P33" s="73">
        <f>O33*2</f>
        <v>52</v>
      </c>
      <c r="Q33" s="73"/>
      <c r="R33" s="139">
        <f t="shared" si="8"/>
        <v>10</v>
      </c>
      <c r="S33" s="139">
        <f t="shared" si="8"/>
        <v>8</v>
      </c>
      <c r="T33" s="140">
        <f t="shared" si="8"/>
        <v>8</v>
      </c>
      <c r="U33" s="134">
        <f t="shared" si="9"/>
        <v>26</v>
      </c>
      <c r="V33" s="73">
        <f>U33*2</f>
        <v>52</v>
      </c>
      <c r="W33" s="73"/>
      <c r="X33" s="135">
        <f t="shared" si="0"/>
        <v>86</v>
      </c>
      <c r="Y33" s="52"/>
      <c r="Z33" s="52"/>
      <c r="AA33" s="120"/>
      <c r="AB33" s="52"/>
    </row>
    <row r="34" spans="3:28" ht="15.75" hidden="1" thickBot="1">
      <c r="C34" s="121"/>
      <c r="D34" s="122"/>
      <c r="E34" s="123" t="s">
        <v>781</v>
      </c>
      <c r="F34" s="136">
        <f>F28</f>
        <v>11</v>
      </c>
      <c r="G34" s="136">
        <f>G28</f>
        <v>9</v>
      </c>
      <c r="H34" s="352">
        <f>H28</f>
        <v>7</v>
      </c>
      <c r="I34" s="127">
        <f>SUM(F34:H34)</f>
        <v>27</v>
      </c>
      <c r="J34" s="104"/>
      <c r="K34" s="104"/>
      <c r="L34" s="137">
        <f>L28</f>
        <v>7</v>
      </c>
      <c r="M34" s="137">
        <f>M28</f>
        <v>7</v>
      </c>
      <c r="N34" s="353">
        <f>N28</f>
        <v>7</v>
      </c>
      <c r="O34" s="127">
        <f t="shared" si="7"/>
        <v>21</v>
      </c>
      <c r="P34" s="104"/>
      <c r="Q34" s="104"/>
      <c r="R34" s="137">
        <f>R28</f>
        <v>7</v>
      </c>
      <c r="S34" s="137">
        <f>S28</f>
        <v>7</v>
      </c>
      <c r="T34" s="353">
        <f>T28</f>
        <v>7</v>
      </c>
      <c r="U34" s="127">
        <f t="shared" si="9"/>
        <v>21</v>
      </c>
      <c r="V34" s="104"/>
      <c r="W34" s="104"/>
      <c r="X34" s="128">
        <f t="shared" si="0"/>
        <v>69</v>
      </c>
      <c r="Y34" s="52"/>
      <c r="Z34" s="52"/>
      <c r="AA34" s="120"/>
      <c r="AB34" s="52"/>
    </row>
    <row r="35" spans="3:28" ht="15.75" hidden="1" thickBot="1">
      <c r="C35" s="75"/>
      <c r="D35" s="129"/>
      <c r="E35" s="130" t="s">
        <v>782</v>
      </c>
      <c r="F35" s="138">
        <f>F28</f>
        <v>11</v>
      </c>
      <c r="G35" s="138">
        <f>G28</f>
        <v>9</v>
      </c>
      <c r="H35" s="143">
        <f>H28</f>
        <v>7</v>
      </c>
      <c r="I35" s="134">
        <f>SUM(F35:H35)</f>
        <v>27</v>
      </c>
      <c r="J35" s="73">
        <f>I35*2</f>
        <v>54</v>
      </c>
      <c r="K35" s="73"/>
      <c r="L35" s="139">
        <f>L31</f>
        <v>10</v>
      </c>
      <c r="M35" s="139">
        <f>M31</f>
        <v>8</v>
      </c>
      <c r="N35" s="140">
        <f>N31</f>
        <v>8</v>
      </c>
      <c r="O35" s="134">
        <f t="shared" si="7"/>
        <v>26</v>
      </c>
      <c r="P35" s="73">
        <f>O35*2</f>
        <v>52</v>
      </c>
      <c r="Q35" s="73"/>
      <c r="R35" s="139">
        <f>R31</f>
        <v>10</v>
      </c>
      <c r="S35" s="139">
        <f>S31</f>
        <v>8</v>
      </c>
      <c r="T35" s="140">
        <f>T31</f>
        <v>8</v>
      </c>
      <c r="U35" s="134">
        <f t="shared" si="9"/>
        <v>26</v>
      </c>
      <c r="V35" s="73">
        <f>U35*2</f>
        <v>52</v>
      </c>
      <c r="W35" s="73"/>
      <c r="X35" s="135">
        <f t="shared" si="0"/>
        <v>79</v>
      </c>
      <c r="Y35" s="52"/>
      <c r="Z35" s="52"/>
      <c r="AA35" s="120"/>
      <c r="AB35" s="52"/>
    </row>
    <row r="36" spans="3:28" ht="15.75" hidden="1" thickBot="1">
      <c r="C36" s="121"/>
      <c r="D36" s="122"/>
      <c r="E36" s="123" t="s">
        <v>783</v>
      </c>
      <c r="F36" s="401">
        <v>6</v>
      </c>
      <c r="G36" s="401"/>
      <c r="H36" s="401"/>
      <c r="I36" s="127">
        <f>SUM(F36:H36)</f>
        <v>6</v>
      </c>
      <c r="J36" s="104">
        <f>I36*2</f>
        <v>12</v>
      </c>
      <c r="K36" s="104"/>
      <c r="L36" s="402">
        <v>6</v>
      </c>
      <c r="M36" s="401"/>
      <c r="N36" s="401"/>
      <c r="O36" s="127">
        <f t="shared" si="7"/>
        <v>6</v>
      </c>
      <c r="P36" s="104">
        <f>O36*2</f>
        <v>12</v>
      </c>
      <c r="Q36" s="104"/>
      <c r="R36" s="402">
        <v>6</v>
      </c>
      <c r="S36" s="401"/>
      <c r="T36" s="401"/>
      <c r="U36" s="127">
        <f t="shared" si="9"/>
        <v>6</v>
      </c>
      <c r="V36" s="104">
        <f>U36*2</f>
        <v>12</v>
      </c>
      <c r="W36" s="104"/>
      <c r="X36" s="128">
        <f t="shared" si="0"/>
        <v>18</v>
      </c>
      <c r="Y36" s="52"/>
      <c r="Z36" s="52"/>
      <c r="AA36" s="120"/>
      <c r="AB36" s="52"/>
    </row>
    <row r="37" spans="3:28" ht="15.75" hidden="1" thickBot="1">
      <c r="C37" s="365"/>
      <c r="D37" s="144"/>
      <c r="E37" s="145" t="s">
        <v>784</v>
      </c>
      <c r="F37" s="414">
        <f>I29/6</f>
        <v>5.666666666666667</v>
      </c>
      <c r="G37" s="415"/>
      <c r="H37" s="415"/>
      <c r="I37" s="366">
        <f>F37</f>
        <v>5.666666666666667</v>
      </c>
      <c r="J37" s="73"/>
      <c r="K37" s="73">
        <f>ROUNDUP((F37*($D$55+$D$56)/1.25)*2+F37*4,0)</f>
        <v>103</v>
      </c>
      <c r="L37" s="414">
        <f>O29/6</f>
        <v>4.333333333333333</v>
      </c>
      <c r="M37" s="415"/>
      <c r="N37" s="415"/>
      <c r="O37" s="367">
        <f t="shared" si="7"/>
        <v>4.333333333333333</v>
      </c>
      <c r="P37" s="73"/>
      <c r="Q37" s="73">
        <f>ROUNDUP((L37*($D$55+$D$56)/1.25)*2+L37*4,0)</f>
        <v>79</v>
      </c>
      <c r="R37" s="414">
        <f>U29/6</f>
        <v>4.333333333333333</v>
      </c>
      <c r="S37" s="415"/>
      <c r="T37" s="415"/>
      <c r="U37" s="367">
        <f t="shared" si="9"/>
        <v>4.333333333333333</v>
      </c>
      <c r="V37" s="73"/>
      <c r="W37" s="73">
        <f>ROUNDUP((R37*($D$55+$D$56)/1.25)*2+R37*4,0)</f>
        <v>79</v>
      </c>
      <c r="X37" s="368">
        <f t="shared" si="0"/>
        <v>14.333333333333332</v>
      </c>
      <c r="Y37" s="52"/>
      <c r="Z37" s="52"/>
      <c r="AA37" s="120"/>
      <c r="AB37" s="52"/>
    </row>
    <row r="38" spans="3:28" hidden="1">
      <c r="C38" s="75"/>
      <c r="D38" s="129"/>
      <c r="E38" s="129"/>
      <c r="F38" s="357"/>
      <c r="G38" s="357"/>
      <c r="H38" s="357"/>
      <c r="I38" s="357"/>
      <c r="J38" s="73"/>
      <c r="K38" s="73"/>
      <c r="L38" s="357"/>
      <c r="M38" s="357"/>
      <c r="N38" s="357"/>
      <c r="O38" s="357"/>
      <c r="P38" s="73"/>
      <c r="Q38" s="73"/>
      <c r="R38" s="357"/>
      <c r="S38" s="357"/>
      <c r="T38" s="357"/>
      <c r="U38" s="357"/>
      <c r="V38" s="73"/>
      <c r="W38" s="73"/>
      <c r="X38" s="357"/>
      <c r="Y38" s="52"/>
      <c r="Z38" s="52"/>
      <c r="AA38" s="120"/>
      <c r="AB38" s="52"/>
    </row>
    <row r="39" spans="3:28" ht="15.75" hidden="1" thickBot="1">
      <c r="C39" s="112" t="s">
        <v>785</v>
      </c>
      <c r="D39" s="113"/>
      <c r="E39" s="114" t="s">
        <v>774</v>
      </c>
      <c r="F39" s="115">
        <v>44</v>
      </c>
      <c r="G39" s="116">
        <v>36</v>
      </c>
      <c r="H39" s="117">
        <v>28</v>
      </c>
      <c r="I39" s="118">
        <f>SUM(F39:H39)</f>
        <v>108</v>
      </c>
      <c r="J39" s="73"/>
      <c r="K39" s="73"/>
      <c r="L39" s="116">
        <v>28</v>
      </c>
      <c r="M39" s="116">
        <v>28</v>
      </c>
      <c r="N39" s="117">
        <v>28</v>
      </c>
      <c r="O39" s="118">
        <f>SUM(L39:N39)</f>
        <v>84</v>
      </c>
      <c r="P39" s="73"/>
      <c r="Q39" s="73"/>
      <c r="R39" s="116">
        <v>28</v>
      </c>
      <c r="S39" s="116">
        <v>28</v>
      </c>
      <c r="T39" s="117">
        <v>28</v>
      </c>
      <c r="U39" s="118">
        <f>SUM(R39:T39)</f>
        <v>84</v>
      </c>
      <c r="V39" s="73"/>
      <c r="W39" s="73"/>
      <c r="X39" s="119">
        <f t="shared" ref="X39:X49" si="10">SUM(I39,O39,U39)</f>
        <v>276</v>
      </c>
      <c r="Y39" s="52"/>
      <c r="Z39" s="52"/>
      <c r="AA39" s="120"/>
      <c r="AB39" s="52"/>
    </row>
    <row r="40" spans="3:28" ht="15.75" hidden="1" thickBot="1">
      <c r="C40" s="121"/>
      <c r="D40" s="122"/>
      <c r="E40" s="123" t="s">
        <v>775</v>
      </c>
      <c r="F40" s="124">
        <v>11</v>
      </c>
      <c r="G40" s="125">
        <v>9</v>
      </c>
      <c r="H40" s="126">
        <v>7</v>
      </c>
      <c r="I40" s="127">
        <f t="shared" ref="I40:I48" si="11">SUM(F40:H40)</f>
        <v>27</v>
      </c>
      <c r="J40" s="104"/>
      <c r="K40" s="104">
        <f>I40*5</f>
        <v>135</v>
      </c>
      <c r="L40" s="125">
        <v>7</v>
      </c>
      <c r="M40" s="125">
        <v>7</v>
      </c>
      <c r="N40" s="126">
        <v>7</v>
      </c>
      <c r="O40" s="127">
        <f t="shared" ref="O40:O49" si="12">SUM(L40:N40)</f>
        <v>21</v>
      </c>
      <c r="P40" s="104"/>
      <c r="Q40" s="104">
        <f>O40*5</f>
        <v>105</v>
      </c>
      <c r="R40" s="125">
        <v>7</v>
      </c>
      <c r="S40" s="125">
        <v>7</v>
      </c>
      <c r="T40" s="126">
        <v>7</v>
      </c>
      <c r="U40" s="127">
        <f>SUM(R40:T40)</f>
        <v>21</v>
      </c>
      <c r="V40" s="104"/>
      <c r="W40" s="104">
        <f>U40*5</f>
        <v>105</v>
      </c>
      <c r="X40" s="128">
        <f t="shared" si="10"/>
        <v>69</v>
      </c>
      <c r="Y40" s="52"/>
      <c r="Z40" s="52"/>
      <c r="AA40" s="120"/>
      <c r="AB40" s="52"/>
    </row>
    <row r="41" spans="3:28" ht="15.75" hidden="1" thickBot="1">
      <c r="C41" s="75"/>
      <c r="D41" s="129"/>
      <c r="E41" s="130" t="s">
        <v>776</v>
      </c>
      <c r="F41" s="131">
        <v>15</v>
      </c>
      <c r="G41" s="132">
        <v>11</v>
      </c>
      <c r="H41" s="133">
        <v>8</v>
      </c>
      <c r="I41" s="134">
        <f t="shared" si="11"/>
        <v>34</v>
      </c>
      <c r="J41" s="73"/>
      <c r="K41" s="73"/>
      <c r="L41" s="132">
        <v>10</v>
      </c>
      <c r="M41" s="132">
        <v>8</v>
      </c>
      <c r="N41" s="133">
        <v>8</v>
      </c>
      <c r="O41" s="134">
        <f t="shared" si="12"/>
        <v>26</v>
      </c>
      <c r="P41" s="73"/>
      <c r="Q41" s="73"/>
      <c r="R41" s="132">
        <v>10</v>
      </c>
      <c r="S41" s="132">
        <v>8</v>
      </c>
      <c r="T41" s="133">
        <v>8</v>
      </c>
      <c r="U41" s="134">
        <f>SUM(R41:T41)</f>
        <v>26</v>
      </c>
      <c r="V41" s="73"/>
      <c r="W41" s="73"/>
      <c r="X41" s="135">
        <f t="shared" si="10"/>
        <v>86</v>
      </c>
      <c r="Y41" s="52"/>
      <c r="Z41" s="52"/>
      <c r="AA41" s="120"/>
      <c r="AB41" s="52"/>
    </row>
    <row r="42" spans="3:28" ht="15.75" hidden="1" thickBot="1">
      <c r="C42" s="121"/>
      <c r="D42" s="122"/>
      <c r="E42" s="123" t="s">
        <v>777</v>
      </c>
      <c r="F42" s="136">
        <f t="shared" ref="F42:H43" si="13">F40</f>
        <v>11</v>
      </c>
      <c r="G42" s="137">
        <f t="shared" si="13"/>
        <v>9</v>
      </c>
      <c r="H42" s="353">
        <f t="shared" si="13"/>
        <v>7</v>
      </c>
      <c r="I42" s="127">
        <f t="shared" si="11"/>
        <v>27</v>
      </c>
      <c r="J42" s="104">
        <f>I42*4</f>
        <v>108</v>
      </c>
      <c r="K42" s="104"/>
      <c r="L42" s="137">
        <f t="shared" ref="L42:N43" si="14">L40</f>
        <v>7</v>
      </c>
      <c r="M42" s="137">
        <f t="shared" si="14"/>
        <v>7</v>
      </c>
      <c r="N42" s="353">
        <f t="shared" si="14"/>
        <v>7</v>
      </c>
      <c r="O42" s="127">
        <f t="shared" si="12"/>
        <v>21</v>
      </c>
      <c r="P42" s="104">
        <f>O42*4</f>
        <v>84</v>
      </c>
      <c r="Q42" s="104"/>
      <c r="R42" s="137">
        <f t="shared" ref="R42:T43" si="15">R40</f>
        <v>7</v>
      </c>
      <c r="S42" s="137">
        <f t="shared" si="15"/>
        <v>7</v>
      </c>
      <c r="T42" s="353">
        <f t="shared" si="15"/>
        <v>7</v>
      </c>
      <c r="U42" s="127">
        <f>SUM(R42:T42)</f>
        <v>21</v>
      </c>
      <c r="V42" s="104">
        <f>U42*4</f>
        <v>84</v>
      </c>
      <c r="W42" s="104"/>
      <c r="X42" s="128">
        <f t="shared" si="10"/>
        <v>69</v>
      </c>
      <c r="Y42" s="52"/>
      <c r="Z42" s="52"/>
      <c r="AA42" s="120"/>
      <c r="AB42" s="52"/>
    </row>
    <row r="43" spans="3:28" ht="15.75" hidden="1" thickBot="1">
      <c r="C43" s="75"/>
      <c r="D43" s="129"/>
      <c r="E43" s="130" t="s">
        <v>778</v>
      </c>
      <c r="F43" s="138">
        <f t="shared" si="13"/>
        <v>15</v>
      </c>
      <c r="G43" s="139">
        <f t="shared" si="13"/>
        <v>11</v>
      </c>
      <c r="H43" s="140">
        <f t="shared" si="13"/>
        <v>8</v>
      </c>
      <c r="I43" s="141">
        <f>SUM(F43:H43)/6</f>
        <v>5.666666666666667</v>
      </c>
      <c r="J43" s="142">
        <f>I43*4</f>
        <v>22.666666666666668</v>
      </c>
      <c r="K43" s="73"/>
      <c r="L43" s="139">
        <f t="shared" si="14"/>
        <v>10</v>
      </c>
      <c r="M43" s="139">
        <f t="shared" si="14"/>
        <v>8</v>
      </c>
      <c r="N43" s="140">
        <f t="shared" si="14"/>
        <v>8</v>
      </c>
      <c r="O43" s="141">
        <f>SUM(L43:N43)/6</f>
        <v>4.333333333333333</v>
      </c>
      <c r="P43" s="142">
        <f>O43*4</f>
        <v>17.333333333333332</v>
      </c>
      <c r="Q43" s="73"/>
      <c r="R43" s="139">
        <f t="shared" si="15"/>
        <v>10</v>
      </c>
      <c r="S43" s="139">
        <f t="shared" si="15"/>
        <v>8</v>
      </c>
      <c r="T43" s="140">
        <f t="shared" si="15"/>
        <v>8</v>
      </c>
      <c r="U43" s="141">
        <f>SUM(R43:T43)/6</f>
        <v>4.333333333333333</v>
      </c>
      <c r="V43" s="142">
        <f>U43*4</f>
        <v>17.333333333333332</v>
      </c>
      <c r="W43" s="73"/>
      <c r="X43" s="135">
        <f t="shared" si="10"/>
        <v>14.333333333333332</v>
      </c>
      <c r="Y43" s="52"/>
      <c r="Z43" s="52"/>
      <c r="AA43" s="120"/>
      <c r="AB43" s="52"/>
    </row>
    <row r="44" spans="3:28" ht="15.75" hidden="1" thickBot="1">
      <c r="C44" s="121"/>
      <c r="D44" s="122"/>
      <c r="E44" s="123" t="s">
        <v>779</v>
      </c>
      <c r="F44" s="136">
        <f t="shared" ref="F44:H45" si="16">F40</f>
        <v>11</v>
      </c>
      <c r="G44" s="137">
        <f t="shared" si="16"/>
        <v>9</v>
      </c>
      <c r="H44" s="353">
        <f t="shared" si="16"/>
        <v>7</v>
      </c>
      <c r="I44" s="127">
        <f t="shared" si="11"/>
        <v>27</v>
      </c>
      <c r="J44" s="104"/>
      <c r="K44" s="104"/>
      <c r="L44" s="137">
        <f t="shared" ref="L44:N45" si="17">L40</f>
        <v>7</v>
      </c>
      <c r="M44" s="137">
        <f t="shared" si="17"/>
        <v>7</v>
      </c>
      <c r="N44" s="353">
        <f t="shared" si="17"/>
        <v>7</v>
      </c>
      <c r="O44" s="127">
        <f t="shared" si="12"/>
        <v>21</v>
      </c>
      <c r="P44" s="104"/>
      <c r="Q44" s="104"/>
      <c r="R44" s="137">
        <f t="shared" ref="R44:T45" si="18">R40</f>
        <v>7</v>
      </c>
      <c r="S44" s="137">
        <f t="shared" si="18"/>
        <v>7</v>
      </c>
      <c r="T44" s="353">
        <f t="shared" si="18"/>
        <v>7</v>
      </c>
      <c r="U44" s="127">
        <f t="shared" ref="U44:U49" si="19">SUM(R44:T44)</f>
        <v>21</v>
      </c>
      <c r="V44" s="104"/>
      <c r="W44" s="104"/>
      <c r="X44" s="128">
        <f t="shared" si="10"/>
        <v>69</v>
      </c>
      <c r="Y44" s="52"/>
      <c r="Z44" s="52"/>
      <c r="AA44" s="120"/>
      <c r="AB44" s="52"/>
    </row>
    <row r="45" spans="3:28" ht="15.75" hidden="1" thickBot="1">
      <c r="C45" s="75"/>
      <c r="D45" s="129"/>
      <c r="E45" s="130" t="s">
        <v>780</v>
      </c>
      <c r="F45" s="138">
        <f t="shared" si="16"/>
        <v>15</v>
      </c>
      <c r="G45" s="138">
        <f t="shared" si="16"/>
        <v>11</v>
      </c>
      <c r="H45" s="143">
        <f t="shared" si="16"/>
        <v>8</v>
      </c>
      <c r="I45" s="134">
        <f t="shared" si="11"/>
        <v>34</v>
      </c>
      <c r="J45" s="73">
        <f>I45*2</f>
        <v>68</v>
      </c>
      <c r="K45" s="73"/>
      <c r="L45" s="139">
        <f t="shared" si="17"/>
        <v>10</v>
      </c>
      <c r="M45" s="139">
        <f t="shared" si="17"/>
        <v>8</v>
      </c>
      <c r="N45" s="140">
        <f t="shared" si="17"/>
        <v>8</v>
      </c>
      <c r="O45" s="134">
        <f t="shared" si="12"/>
        <v>26</v>
      </c>
      <c r="P45" s="73">
        <f>O45*2</f>
        <v>52</v>
      </c>
      <c r="Q45" s="73"/>
      <c r="R45" s="139">
        <f t="shared" si="18"/>
        <v>10</v>
      </c>
      <c r="S45" s="139">
        <f t="shared" si="18"/>
        <v>8</v>
      </c>
      <c r="T45" s="140">
        <f t="shared" si="18"/>
        <v>8</v>
      </c>
      <c r="U45" s="134">
        <f t="shared" si="19"/>
        <v>26</v>
      </c>
      <c r="V45" s="73">
        <f>U45*2</f>
        <v>52</v>
      </c>
      <c r="W45" s="73"/>
      <c r="X45" s="135">
        <f t="shared" si="10"/>
        <v>86</v>
      </c>
      <c r="Y45" s="52"/>
      <c r="Z45" s="52"/>
      <c r="AA45" s="120"/>
      <c r="AB45" s="52"/>
    </row>
    <row r="46" spans="3:28" ht="15.75" hidden="1" thickBot="1">
      <c r="C46" s="121"/>
      <c r="D46" s="122"/>
      <c r="E46" s="123" t="s">
        <v>781</v>
      </c>
      <c r="F46" s="136">
        <f>F40</f>
        <v>11</v>
      </c>
      <c r="G46" s="136">
        <f>G40</f>
        <v>9</v>
      </c>
      <c r="H46" s="352">
        <f>H40</f>
        <v>7</v>
      </c>
      <c r="I46" s="127">
        <f t="shared" si="11"/>
        <v>27</v>
      </c>
      <c r="J46" s="104"/>
      <c r="K46" s="104"/>
      <c r="L46" s="137">
        <f>L40</f>
        <v>7</v>
      </c>
      <c r="M46" s="137">
        <f>M40</f>
        <v>7</v>
      </c>
      <c r="N46" s="353">
        <f>N40</f>
        <v>7</v>
      </c>
      <c r="O46" s="127">
        <f t="shared" si="12"/>
        <v>21</v>
      </c>
      <c r="P46" s="104"/>
      <c r="Q46" s="104"/>
      <c r="R46" s="137">
        <f>R40</f>
        <v>7</v>
      </c>
      <c r="S46" s="137">
        <f>S40</f>
        <v>7</v>
      </c>
      <c r="T46" s="353">
        <f>T40</f>
        <v>7</v>
      </c>
      <c r="U46" s="127">
        <f t="shared" si="19"/>
        <v>21</v>
      </c>
      <c r="V46" s="104"/>
      <c r="W46" s="104"/>
      <c r="X46" s="128">
        <f t="shared" si="10"/>
        <v>69</v>
      </c>
      <c r="Y46" s="52"/>
      <c r="Z46" s="52"/>
      <c r="AA46" s="120"/>
      <c r="AB46" s="52"/>
    </row>
    <row r="47" spans="3:28" ht="15.75" hidden="1" thickBot="1">
      <c r="C47" s="75"/>
      <c r="D47" s="129"/>
      <c r="E47" s="130" t="s">
        <v>782</v>
      </c>
      <c r="F47" s="138">
        <f>F40</f>
        <v>11</v>
      </c>
      <c r="G47" s="138">
        <f>G40</f>
        <v>9</v>
      </c>
      <c r="H47" s="143">
        <f>H40</f>
        <v>7</v>
      </c>
      <c r="I47" s="134">
        <f t="shared" si="11"/>
        <v>27</v>
      </c>
      <c r="J47" s="73">
        <f>I47*2</f>
        <v>54</v>
      </c>
      <c r="K47" s="73"/>
      <c r="L47" s="139">
        <f>L43</f>
        <v>10</v>
      </c>
      <c r="M47" s="139">
        <f>M43</f>
        <v>8</v>
      </c>
      <c r="N47" s="140">
        <f>N43</f>
        <v>8</v>
      </c>
      <c r="O47" s="134">
        <f t="shared" si="12"/>
        <v>26</v>
      </c>
      <c r="P47" s="73">
        <f>O47*2</f>
        <v>52</v>
      </c>
      <c r="Q47" s="73"/>
      <c r="R47" s="139">
        <f>R43</f>
        <v>10</v>
      </c>
      <c r="S47" s="139">
        <f>S43</f>
        <v>8</v>
      </c>
      <c r="T47" s="140">
        <f>T43</f>
        <v>8</v>
      </c>
      <c r="U47" s="134">
        <f t="shared" si="19"/>
        <v>26</v>
      </c>
      <c r="V47" s="73">
        <f>U47*2</f>
        <v>52</v>
      </c>
      <c r="W47" s="73"/>
      <c r="X47" s="135">
        <f t="shared" si="10"/>
        <v>79</v>
      </c>
      <c r="Y47" s="52"/>
      <c r="Z47" s="52"/>
      <c r="AA47" s="120"/>
      <c r="AB47" s="52"/>
    </row>
    <row r="48" spans="3:28" ht="15.75" hidden="1" thickBot="1">
      <c r="C48" s="369"/>
      <c r="D48" s="146"/>
      <c r="E48" s="147" t="s">
        <v>783</v>
      </c>
      <c r="F48" s="401">
        <v>6</v>
      </c>
      <c r="G48" s="401"/>
      <c r="H48" s="401"/>
      <c r="I48" s="127">
        <f t="shared" si="11"/>
        <v>6</v>
      </c>
      <c r="J48" s="104">
        <f>I48*2</f>
        <v>12</v>
      </c>
      <c r="K48" s="104"/>
      <c r="L48" s="402">
        <v>6</v>
      </c>
      <c r="M48" s="401"/>
      <c r="N48" s="401"/>
      <c r="O48" s="127">
        <f t="shared" si="12"/>
        <v>6</v>
      </c>
      <c r="P48" s="104">
        <f>O48*2</f>
        <v>12</v>
      </c>
      <c r="Q48" s="104"/>
      <c r="R48" s="402">
        <v>6</v>
      </c>
      <c r="S48" s="401"/>
      <c r="T48" s="401"/>
      <c r="U48" s="127">
        <f t="shared" si="19"/>
        <v>6</v>
      </c>
      <c r="V48" s="104">
        <f>U48*2</f>
        <v>12</v>
      </c>
      <c r="W48" s="104"/>
      <c r="X48" s="128">
        <f t="shared" si="10"/>
        <v>18</v>
      </c>
      <c r="Y48" s="52"/>
      <c r="Z48" s="52"/>
      <c r="AA48" s="120"/>
      <c r="AB48" s="52"/>
    </row>
    <row r="49" spans="3:31" ht="15.75" hidden="1" thickBot="1">
      <c r="C49" s="365"/>
      <c r="D49" s="144"/>
      <c r="E49" s="145" t="s">
        <v>784</v>
      </c>
      <c r="F49" s="414">
        <f>I41/6</f>
        <v>5.666666666666667</v>
      </c>
      <c r="G49" s="415"/>
      <c r="H49" s="415"/>
      <c r="I49" s="366">
        <f>F49</f>
        <v>5.666666666666667</v>
      </c>
      <c r="J49" s="73"/>
      <c r="K49" s="73">
        <f>ROUNDUP((F49*($D$55+$D$56)/1.25)*2+F49*4,0)</f>
        <v>103</v>
      </c>
      <c r="L49" s="414">
        <f>O41/6</f>
        <v>4.333333333333333</v>
      </c>
      <c r="M49" s="415"/>
      <c r="N49" s="415"/>
      <c r="O49" s="367">
        <f t="shared" si="12"/>
        <v>4.333333333333333</v>
      </c>
      <c r="P49" s="73"/>
      <c r="Q49" s="73">
        <f>ROUNDUP((L49*($D$55+$D$56)/1.25)*2+L49*4,0)</f>
        <v>79</v>
      </c>
      <c r="R49" s="414">
        <f>U41/6</f>
        <v>4.333333333333333</v>
      </c>
      <c r="S49" s="415"/>
      <c r="T49" s="415"/>
      <c r="U49" s="367">
        <f t="shared" si="19"/>
        <v>4.333333333333333</v>
      </c>
      <c r="V49" s="73"/>
      <c r="W49" s="73">
        <f>ROUNDUP((R49*($D$55+$D$56)/1.25)*2+R49*4,0)</f>
        <v>79</v>
      </c>
      <c r="X49" s="368">
        <f t="shared" si="10"/>
        <v>14.333333333333332</v>
      </c>
      <c r="Y49" s="52"/>
      <c r="Z49" s="52"/>
      <c r="AA49" s="120"/>
      <c r="AB49" s="52"/>
    </row>
    <row r="50" spans="3:31" hidden="1">
      <c r="C50" s="148"/>
      <c r="D50" s="129"/>
      <c r="E50" s="129"/>
      <c r="F50" s="149"/>
      <c r="G50" s="149"/>
      <c r="H50" s="149"/>
      <c r="I50" s="150" t="s">
        <v>786</v>
      </c>
      <c r="J50" s="150">
        <f>SUM(J27:J48)</f>
        <v>529.33333333333326</v>
      </c>
      <c r="K50" s="150">
        <f>SUM(K27:K49)</f>
        <v>476</v>
      </c>
      <c r="L50" s="149"/>
      <c r="M50" s="149"/>
      <c r="N50" s="149"/>
      <c r="O50" s="150" t="s">
        <v>786</v>
      </c>
      <c r="P50" s="150">
        <f>SUM(P27:P48)</f>
        <v>434.66666666666663</v>
      </c>
      <c r="Q50" s="150">
        <f>SUM(Q27:Q48)</f>
        <v>289</v>
      </c>
      <c r="R50" s="149"/>
      <c r="S50" s="149"/>
      <c r="T50" s="149"/>
      <c r="U50" s="150" t="s">
        <v>786</v>
      </c>
      <c r="V50" s="150">
        <f>SUM(V27:V48)</f>
        <v>434.66666666666663</v>
      </c>
      <c r="W50" s="150">
        <f>SUM(W27:W48)</f>
        <v>289</v>
      </c>
      <c r="X50" s="74"/>
      <c r="Y50" s="52"/>
      <c r="Z50" s="52"/>
      <c r="AA50" s="120"/>
      <c r="AB50" s="52"/>
    </row>
    <row r="51" spans="3:31" ht="35.450000000000003" hidden="1" customHeight="1">
      <c r="C51" s="417" t="s">
        <v>787</v>
      </c>
      <c r="D51" s="418"/>
      <c r="E51" s="418"/>
      <c r="F51" s="419">
        <f>(F37+F49)*($D$56*1.5+ $D$55*2.5)</f>
        <v>163.642</v>
      </c>
      <c r="G51" s="419"/>
      <c r="H51" s="419"/>
      <c r="I51" s="151" t="s">
        <v>788</v>
      </c>
      <c r="J51" s="73"/>
      <c r="K51" s="152"/>
      <c r="L51" s="419">
        <f>(L37+L49)*($D$56*1.5+ $D$55*2.5)</f>
        <v>125.13799999999999</v>
      </c>
      <c r="M51" s="419"/>
      <c r="N51" s="419"/>
      <c r="O51" s="151" t="s">
        <v>788</v>
      </c>
      <c r="P51" s="73"/>
      <c r="Q51" s="152"/>
      <c r="R51" s="419">
        <f>(R37+R49)*($D$56*1.5+ $D$55*2.5)</f>
        <v>125.13799999999999</v>
      </c>
      <c r="S51" s="419"/>
      <c r="T51" s="419"/>
      <c r="U51" s="151" t="s">
        <v>788</v>
      </c>
      <c r="V51" s="73"/>
      <c r="W51" s="152"/>
      <c r="X51" s="358">
        <f>SUM(F51,L51,R51)</f>
        <v>413.91799999999995</v>
      </c>
      <c r="Y51" s="151" t="s">
        <v>788</v>
      </c>
      <c r="Z51" s="52"/>
      <c r="AA51" s="120"/>
      <c r="AB51" s="52"/>
    </row>
    <row r="52" spans="3:31" ht="36" hidden="1" customHeight="1">
      <c r="C52" s="417" t="s">
        <v>789</v>
      </c>
      <c r="D52" s="418"/>
      <c r="E52" s="418"/>
      <c r="F52" s="419">
        <f>(9)*($D$58*1.5+$D$59*1.5+$D$60*2.5)</f>
        <v>42.912000000000006</v>
      </c>
      <c r="G52" s="419"/>
      <c r="H52" s="419"/>
      <c r="I52" s="151" t="s">
        <v>788</v>
      </c>
      <c r="J52" s="357"/>
      <c r="K52" s="52"/>
      <c r="L52" s="419">
        <f>(6)*($D$58*1.5+$D$59*1.5+$D$60*2.5)</f>
        <v>28.608000000000004</v>
      </c>
      <c r="M52" s="419"/>
      <c r="N52" s="419"/>
      <c r="O52" s="151" t="s">
        <v>788</v>
      </c>
      <c r="P52" s="357"/>
      <c r="Q52" s="52"/>
      <c r="R52" s="419">
        <f>(6)*($D$58*1.5+$D$59*1.5+$D$60*2.5)</f>
        <v>28.608000000000004</v>
      </c>
      <c r="S52" s="419"/>
      <c r="T52" s="419"/>
      <c r="U52" s="151" t="s">
        <v>788</v>
      </c>
      <c r="V52" s="357"/>
      <c r="W52" s="52"/>
      <c r="X52" s="358">
        <f>SUM(F52,L52,R52)</f>
        <v>100.12800000000001</v>
      </c>
      <c r="Y52" s="151" t="s">
        <v>788</v>
      </c>
      <c r="Z52" s="52"/>
      <c r="AA52" s="120"/>
      <c r="AB52" s="52"/>
    </row>
    <row r="53" spans="3:31" ht="22.35" hidden="1" customHeight="1">
      <c r="C53" s="75"/>
      <c r="D53" s="129"/>
      <c r="E53" s="76"/>
      <c r="F53" s="71"/>
      <c r="G53" s="71"/>
      <c r="H53" s="71"/>
      <c r="I53" s="153"/>
      <c r="J53" s="357"/>
      <c r="K53" s="52"/>
      <c r="L53" s="71"/>
      <c r="M53" s="71"/>
      <c r="N53" s="71"/>
      <c r="O53" s="153"/>
      <c r="P53" s="357"/>
      <c r="Q53" s="52"/>
      <c r="R53" s="71"/>
      <c r="S53" s="71"/>
      <c r="T53" s="71"/>
      <c r="U53" s="151"/>
      <c r="V53" s="73"/>
      <c r="W53" s="154" t="s">
        <v>790</v>
      </c>
      <c r="X53" s="358">
        <f>SUM(X51:X52)</f>
        <v>514.04599999999994</v>
      </c>
      <c r="Y53" s="151" t="s">
        <v>788</v>
      </c>
      <c r="Z53" s="52"/>
      <c r="AA53" s="120"/>
      <c r="AB53" s="52"/>
    </row>
    <row r="54" spans="3:31" hidden="1">
      <c r="C54" s="75"/>
      <c r="D54" s="129"/>
      <c r="E54" s="129"/>
      <c r="F54" s="412"/>
      <c r="G54" s="413"/>
      <c r="H54" s="413"/>
      <c r="I54" s="357"/>
      <c r="J54" s="357"/>
      <c r="K54" s="82" t="s">
        <v>791</v>
      </c>
      <c r="L54" s="356"/>
      <c r="M54" s="357"/>
      <c r="N54" s="357"/>
      <c r="O54" s="357"/>
      <c r="P54" s="357"/>
      <c r="Q54" s="52"/>
      <c r="R54" s="412"/>
      <c r="S54" s="413"/>
      <c r="T54" s="413"/>
      <c r="U54" s="357"/>
      <c r="V54" s="357"/>
      <c r="W54" s="357"/>
      <c r="X54" s="153"/>
      <c r="Y54" s="357"/>
      <c r="Z54" s="52"/>
      <c r="AA54" s="120"/>
      <c r="AB54" s="52"/>
    </row>
    <row r="55" spans="3:31" hidden="1">
      <c r="C55" s="155" t="s">
        <v>792</v>
      </c>
      <c r="D55" s="129">
        <v>1.2</v>
      </c>
      <c r="E55" s="156" t="s">
        <v>793</v>
      </c>
      <c r="F55" s="410" t="s">
        <v>794</v>
      </c>
      <c r="G55" s="411"/>
      <c r="H55" s="411"/>
      <c r="I55" s="157" t="s">
        <v>795</v>
      </c>
      <c r="J55" s="357"/>
      <c r="K55" s="52"/>
      <c r="L55" s="412"/>
      <c r="M55" s="413"/>
      <c r="N55" s="413"/>
      <c r="O55" s="357"/>
      <c r="P55" s="357"/>
      <c r="Q55" s="52"/>
      <c r="R55" s="412"/>
      <c r="S55" s="413"/>
      <c r="T55" s="413"/>
      <c r="U55" s="357"/>
      <c r="V55" s="357"/>
      <c r="W55" s="357"/>
      <c r="X55" s="357"/>
      <c r="Y55" s="357"/>
      <c r="Z55" s="52"/>
      <c r="AA55" s="120"/>
      <c r="AB55" s="52"/>
    </row>
    <row r="56" spans="3:31" hidden="1">
      <c r="C56" s="155" t="s">
        <v>796</v>
      </c>
      <c r="D56" s="129">
        <v>7.6260000000000003</v>
      </c>
      <c r="E56" s="156" t="s">
        <v>793</v>
      </c>
      <c r="F56" s="412"/>
      <c r="G56" s="413"/>
      <c r="H56" s="413"/>
      <c r="I56" s="157" t="s">
        <v>797</v>
      </c>
      <c r="J56" s="357"/>
      <c r="K56" s="52"/>
      <c r="L56" s="412"/>
      <c r="M56" s="413"/>
      <c r="N56" s="413"/>
      <c r="O56" s="357"/>
      <c r="P56" s="357"/>
      <c r="Q56" s="52"/>
      <c r="R56" s="412"/>
      <c r="S56" s="413"/>
      <c r="T56" s="413"/>
      <c r="U56" s="357"/>
      <c r="V56" s="357"/>
      <c r="W56" s="357"/>
      <c r="X56" s="357"/>
      <c r="Y56" s="357"/>
      <c r="Z56" s="52"/>
      <c r="AA56" s="120"/>
      <c r="AB56" s="52"/>
    </row>
    <row r="57" spans="3:31" hidden="1">
      <c r="C57" s="75"/>
      <c r="D57" s="52"/>
      <c r="E57" s="52"/>
      <c r="F57" s="52"/>
      <c r="G57" s="52"/>
      <c r="H57" s="52"/>
      <c r="I57" s="158" t="s">
        <v>798</v>
      </c>
      <c r="J57" s="52"/>
      <c r="K57" s="52"/>
      <c r="L57" s="357"/>
      <c r="M57" s="357"/>
      <c r="N57" s="357"/>
      <c r="O57" s="52" t="s">
        <v>799</v>
      </c>
      <c r="P57" s="52"/>
      <c r="Q57" s="52"/>
      <c r="R57" s="357"/>
      <c r="S57" s="357"/>
      <c r="T57" s="357"/>
      <c r="U57" s="52" t="s">
        <v>799</v>
      </c>
      <c r="V57" s="52"/>
      <c r="W57" s="52"/>
      <c r="X57" s="159"/>
      <c r="Y57" s="159"/>
      <c r="Z57" s="52"/>
      <c r="AA57" s="120"/>
      <c r="AB57" s="52"/>
    </row>
    <row r="58" spans="3:31" hidden="1">
      <c r="C58" s="155" t="s">
        <v>800</v>
      </c>
      <c r="D58" s="52">
        <f>1.271</f>
        <v>1.2709999999999999</v>
      </c>
      <c r="E58" s="156" t="s">
        <v>801</v>
      </c>
      <c r="F58" s="52"/>
      <c r="G58" s="52"/>
      <c r="H58" s="52"/>
      <c r="I58" s="158"/>
      <c r="J58" s="52"/>
      <c r="K58" s="52"/>
      <c r="L58" s="357"/>
      <c r="M58" s="357"/>
      <c r="N58" s="357"/>
      <c r="O58" s="52"/>
      <c r="P58" s="52"/>
      <c r="Q58" s="52"/>
      <c r="R58" s="357"/>
      <c r="S58" s="357"/>
      <c r="T58" s="357"/>
      <c r="U58" s="52"/>
      <c r="V58" s="52"/>
      <c r="W58" s="52"/>
      <c r="X58" s="159"/>
      <c r="Y58" s="159"/>
      <c r="Z58" s="52"/>
      <c r="AA58" s="120"/>
      <c r="AB58" s="52"/>
    </row>
    <row r="59" spans="3:31" hidden="1">
      <c r="C59" s="155" t="s">
        <v>800</v>
      </c>
      <c r="D59" s="52">
        <f>1.491</f>
        <v>1.4910000000000001</v>
      </c>
      <c r="E59" s="156" t="s">
        <v>802</v>
      </c>
      <c r="F59" s="52"/>
      <c r="G59" s="52"/>
      <c r="H59" s="52"/>
      <c r="I59" s="158"/>
      <c r="J59" s="52"/>
      <c r="K59" s="52"/>
      <c r="L59" s="357"/>
      <c r="M59" s="357"/>
      <c r="N59" s="357"/>
      <c r="O59" s="52"/>
      <c r="P59" s="52"/>
      <c r="Q59" s="52"/>
      <c r="R59" s="357"/>
      <c r="S59" s="357"/>
      <c r="T59" s="357"/>
      <c r="U59" s="52"/>
      <c r="V59" s="52"/>
      <c r="W59" s="52"/>
      <c r="X59" s="159"/>
      <c r="Y59" s="159"/>
      <c r="Z59" s="52"/>
      <c r="AA59" s="120"/>
      <c r="AB59" s="52"/>
    </row>
    <row r="60" spans="3:31" hidden="1">
      <c r="C60" s="155" t="s">
        <v>803</v>
      </c>
      <c r="D60" s="52">
        <f>0.25</f>
        <v>0.25</v>
      </c>
      <c r="E60" s="156" t="s">
        <v>804</v>
      </c>
      <c r="F60" s="52"/>
      <c r="G60" s="52"/>
      <c r="H60" s="52"/>
      <c r="I60" s="158"/>
      <c r="J60" s="52"/>
      <c r="K60" s="52"/>
      <c r="L60" s="357"/>
      <c r="M60" s="357"/>
      <c r="N60" s="357"/>
      <c r="O60" s="52"/>
      <c r="P60" s="52"/>
      <c r="Q60" s="52"/>
      <c r="R60" s="357"/>
      <c r="S60" s="357"/>
      <c r="T60" s="357"/>
      <c r="U60" s="52"/>
      <c r="V60" s="52"/>
      <c r="W60" s="52"/>
      <c r="X60" s="159"/>
      <c r="Y60" s="159"/>
      <c r="Z60" s="52"/>
      <c r="AA60" s="120"/>
      <c r="AB60" s="52"/>
    </row>
    <row r="61" spans="3:31" hidden="1">
      <c r="C61" s="75"/>
      <c r="D61" s="52"/>
      <c r="E61" s="52"/>
      <c r="F61" s="52"/>
      <c r="G61" s="52"/>
      <c r="H61" s="52"/>
      <c r="I61" s="52"/>
      <c r="J61" s="52"/>
      <c r="K61" s="52"/>
      <c r="L61" s="357"/>
      <c r="M61" s="357"/>
      <c r="N61" s="357"/>
      <c r="O61" s="52"/>
      <c r="P61" s="52"/>
      <c r="Q61" s="52"/>
      <c r="R61" s="357"/>
      <c r="S61" s="357"/>
      <c r="T61" s="357"/>
      <c r="U61" s="52"/>
      <c r="V61" s="52"/>
      <c r="W61" s="52"/>
      <c r="X61" s="159"/>
      <c r="Y61" s="159"/>
      <c r="Z61" s="52"/>
      <c r="AA61" s="120"/>
      <c r="AE61" s="160" t="s">
        <v>805</v>
      </c>
    </row>
    <row r="62" spans="3:31" hidden="1">
      <c r="C62" s="75"/>
      <c r="D62" s="161" t="s">
        <v>806</v>
      </c>
      <c r="E62" s="158" t="s">
        <v>807</v>
      </c>
      <c r="F62" s="52"/>
      <c r="G62" s="52"/>
      <c r="H62" s="355" t="s">
        <v>808</v>
      </c>
      <c r="I62" s="52">
        <f>(I44+I32)/8</f>
        <v>6.75</v>
      </c>
      <c r="J62" s="356" t="s">
        <v>807</v>
      </c>
      <c r="K62" s="52">
        <f>ROUNDUP(MAX(I62,I64),0)</f>
        <v>9</v>
      </c>
      <c r="L62" s="157" t="s">
        <v>809</v>
      </c>
      <c r="M62" s="357"/>
      <c r="N62" s="357"/>
      <c r="O62" s="52">
        <f>(O44+O32)/8</f>
        <v>5.25</v>
      </c>
      <c r="P62" s="356" t="s">
        <v>807</v>
      </c>
      <c r="Q62" s="52">
        <f>ROUNDUP(MAX(O62,O64),0)</f>
        <v>7</v>
      </c>
      <c r="R62" s="157" t="s">
        <v>809</v>
      </c>
      <c r="S62" s="357"/>
      <c r="T62" s="357"/>
      <c r="U62" s="52">
        <f>(U44+U32)/8</f>
        <v>5.25</v>
      </c>
      <c r="V62" s="356" t="s">
        <v>807</v>
      </c>
      <c r="W62" s="52">
        <f>ROUNDUP(MAX(U62,U64),0)</f>
        <v>7</v>
      </c>
      <c r="X62" s="157" t="s">
        <v>809</v>
      </c>
      <c r="Y62" s="159"/>
      <c r="Z62" s="52"/>
      <c r="AA62" s="120"/>
      <c r="AB62" s="52">
        <f>SUM(K62,Q62,W62)</f>
        <v>23</v>
      </c>
      <c r="AC62" s="63" t="s">
        <v>810</v>
      </c>
    </row>
    <row r="63" spans="3:31" hidden="1">
      <c r="C63" s="75"/>
      <c r="D63" s="161" t="s">
        <v>811</v>
      </c>
      <c r="E63" s="158" t="s">
        <v>807</v>
      </c>
      <c r="F63" s="52"/>
      <c r="G63" s="52"/>
      <c r="H63" s="355" t="s">
        <v>812</v>
      </c>
      <c r="I63" s="162">
        <f>(I30+I31+I42+I43)/16</f>
        <v>4.083333333333333</v>
      </c>
      <c r="J63" s="356" t="s">
        <v>807</v>
      </c>
      <c r="K63" s="52">
        <f>ROUNDUP(I63,0)</f>
        <v>5</v>
      </c>
      <c r="L63" s="157" t="s">
        <v>813</v>
      </c>
      <c r="M63" s="357"/>
      <c r="N63" s="357"/>
      <c r="O63" s="52">
        <f>(O30+O31+O42+O43)/16</f>
        <v>3.1666666666666665</v>
      </c>
      <c r="P63" s="356" t="s">
        <v>807</v>
      </c>
      <c r="Q63" s="52">
        <f>ROUNDUP(O63,0)</f>
        <v>4</v>
      </c>
      <c r="R63" s="157" t="s">
        <v>813</v>
      </c>
      <c r="S63" s="357"/>
      <c r="T63" s="357"/>
      <c r="U63" s="52">
        <f>(U30+U31+U42+U43)/16</f>
        <v>3.1666666666666665</v>
      </c>
      <c r="V63" s="356" t="s">
        <v>807</v>
      </c>
      <c r="W63" s="52">
        <f>ROUNDUP(U63,0)</f>
        <v>4</v>
      </c>
      <c r="X63" s="157" t="s">
        <v>813</v>
      </c>
      <c r="Y63" s="159"/>
      <c r="Z63" s="52"/>
      <c r="AA63" s="120"/>
      <c r="AB63" s="52">
        <f>SUM(K63,Q63,W63)</f>
        <v>13</v>
      </c>
      <c r="AC63" s="63" t="s">
        <v>814</v>
      </c>
    </row>
    <row r="64" spans="3:31" hidden="1">
      <c r="C64" s="75"/>
      <c r="D64" s="161" t="s">
        <v>815</v>
      </c>
      <c r="E64" s="158" t="s">
        <v>807</v>
      </c>
      <c r="F64" s="52"/>
      <c r="G64" s="52"/>
      <c r="H64" s="355" t="s">
        <v>816</v>
      </c>
      <c r="I64" s="52">
        <f>(I33+I45)/8</f>
        <v>8.5</v>
      </c>
      <c r="J64" s="356" t="s">
        <v>807</v>
      </c>
      <c r="K64" s="52"/>
      <c r="L64" s="357"/>
      <c r="M64" s="357"/>
      <c r="N64" s="357"/>
      <c r="O64" s="52">
        <f>(O33+O45)/8</f>
        <v>6.5</v>
      </c>
      <c r="P64" s="356" t="s">
        <v>807</v>
      </c>
      <c r="Q64" s="52"/>
      <c r="R64" s="357"/>
      <c r="S64" s="357"/>
      <c r="T64" s="357"/>
      <c r="U64" s="52">
        <f>(U33+U45)/8</f>
        <v>6.5</v>
      </c>
      <c r="V64" s="356" t="s">
        <v>807</v>
      </c>
      <c r="W64" s="52"/>
      <c r="X64" s="357"/>
      <c r="Y64" s="159"/>
      <c r="Z64" s="52"/>
      <c r="AA64" s="120"/>
      <c r="AB64" s="52"/>
    </row>
    <row r="65" spans="1:28" hidden="1">
      <c r="C65" s="75"/>
      <c r="E65" s="355" t="s">
        <v>817</v>
      </c>
      <c r="F65" s="52"/>
      <c r="G65" s="52"/>
      <c r="H65" s="355" t="s">
        <v>818</v>
      </c>
      <c r="I65" s="52">
        <v>7</v>
      </c>
      <c r="J65" s="52"/>
      <c r="K65" s="52"/>
      <c r="L65" s="357"/>
      <c r="M65" s="357"/>
      <c r="N65" s="355" t="s">
        <v>818</v>
      </c>
      <c r="O65" s="52">
        <v>7</v>
      </c>
      <c r="P65" s="52"/>
      <c r="Q65" s="52"/>
      <c r="R65" s="357"/>
      <c r="S65" s="357"/>
      <c r="T65" s="355" t="s">
        <v>818</v>
      </c>
      <c r="U65" s="52">
        <v>7</v>
      </c>
      <c r="V65" s="52"/>
      <c r="W65" s="52"/>
      <c r="X65" s="159"/>
      <c r="Y65" s="159"/>
      <c r="Z65" s="52"/>
      <c r="AA65" s="120"/>
      <c r="AB65" s="52"/>
    </row>
    <row r="66" spans="1:28" ht="15.75" hidden="1" thickBot="1">
      <c r="C66" s="365"/>
      <c r="D66" s="66"/>
      <c r="E66" s="52"/>
      <c r="F66" s="66"/>
      <c r="G66" s="66"/>
      <c r="H66" s="163"/>
      <c r="I66" s="66"/>
      <c r="J66" s="66"/>
      <c r="K66" s="66"/>
      <c r="L66" s="164"/>
      <c r="M66" s="164"/>
      <c r="N66" s="164"/>
      <c r="O66" s="66"/>
      <c r="P66" s="66"/>
      <c r="Q66" s="66"/>
      <c r="R66" s="164"/>
      <c r="S66" s="164"/>
      <c r="T66" s="164"/>
      <c r="U66" s="66"/>
      <c r="V66" s="66"/>
      <c r="W66" s="66"/>
      <c r="X66" s="165"/>
      <c r="Y66" s="165"/>
      <c r="Z66" s="66"/>
      <c r="AA66" s="166"/>
      <c r="AB66" s="52"/>
    </row>
    <row r="67" spans="1:28" ht="12.95" hidden="1" customHeight="1">
      <c r="E67" s="113"/>
    </row>
    <row r="68" spans="1:28" s="45" customFormat="1" ht="78" customHeight="1" thickBot="1">
      <c r="A68" s="44"/>
      <c r="B68" s="44"/>
      <c r="D68" s="46" t="s">
        <v>819</v>
      </c>
      <c r="E68" s="44"/>
      <c r="F68" s="48"/>
      <c r="G68" s="49"/>
      <c r="H68" s="48"/>
      <c r="L68" s="50" t="s">
        <v>725</v>
      </c>
      <c r="M68" s="48"/>
      <c r="N68" s="48"/>
      <c r="R68" s="49"/>
      <c r="S68" s="48"/>
      <c r="T68" s="49"/>
      <c r="X68" s="48"/>
      <c r="Y68" s="48"/>
      <c r="Z68" s="49"/>
      <c r="AA68" s="48"/>
      <c r="AB68" s="48"/>
    </row>
    <row r="69" spans="1:28" ht="15.95" customHeight="1" thickBot="1">
      <c r="A69" s="52"/>
      <c r="B69" s="52"/>
      <c r="C69" s="167"/>
      <c r="D69" s="113"/>
      <c r="E69" s="168" t="s">
        <v>726</v>
      </c>
      <c r="F69" s="113"/>
      <c r="G69" s="113"/>
      <c r="H69" s="113"/>
      <c r="I69" s="113"/>
      <c r="J69" s="483" t="s">
        <v>730</v>
      </c>
      <c r="K69" s="484"/>
      <c r="L69" s="487" t="s">
        <v>731</v>
      </c>
      <c r="M69" s="489" t="s">
        <v>732</v>
      </c>
      <c r="N69" s="60" t="s">
        <v>820</v>
      </c>
      <c r="O69" s="491" t="s">
        <v>734</v>
      </c>
      <c r="P69" s="470" t="s">
        <v>735</v>
      </c>
      <c r="Q69" s="472" t="s">
        <v>736</v>
      </c>
      <c r="R69" s="209" t="s">
        <v>842</v>
      </c>
      <c r="S69" s="61"/>
      <c r="T69" s="61"/>
      <c r="U69" s="61"/>
      <c r="V69" s="61"/>
      <c r="W69" s="61"/>
      <c r="X69" s="61"/>
      <c r="Y69" s="61"/>
      <c r="Z69" s="61"/>
      <c r="AA69" s="62"/>
      <c r="AB69" s="52"/>
    </row>
    <row r="70" spans="1:28" ht="15.95" customHeight="1" thickBot="1">
      <c r="A70" s="52"/>
      <c r="B70" s="52"/>
      <c r="C70" s="64"/>
      <c r="D70" s="70"/>
      <c r="E70" s="169"/>
      <c r="F70" s="52"/>
      <c r="G70" s="52"/>
      <c r="H70" s="52"/>
      <c r="I70" s="52"/>
      <c r="J70" s="485"/>
      <c r="K70" s="486"/>
      <c r="L70" s="488"/>
      <c r="M70" s="490"/>
      <c r="N70" s="68" t="s">
        <v>737</v>
      </c>
      <c r="O70" s="492"/>
      <c r="P70" s="471"/>
      <c r="Q70" s="473"/>
      <c r="R70" s="176" t="s">
        <v>965</v>
      </c>
      <c r="S70" s="52"/>
      <c r="T70" s="52"/>
      <c r="U70" s="52"/>
      <c r="V70" s="52"/>
      <c r="W70" s="52"/>
      <c r="X70" s="52"/>
      <c r="Y70" s="52"/>
      <c r="Z70" s="52"/>
      <c r="AA70" s="69"/>
      <c r="AB70" s="52"/>
    </row>
    <row r="71" spans="1:28" ht="22.35" customHeight="1" thickBot="1">
      <c r="A71" s="52"/>
      <c r="B71" s="52"/>
      <c r="C71" s="64"/>
      <c r="D71" s="70"/>
      <c r="E71" s="71" t="s">
        <v>738</v>
      </c>
      <c r="F71" s="478" t="s">
        <v>741</v>
      </c>
      <c r="G71" s="478"/>
      <c r="H71" s="478"/>
      <c r="I71" s="52"/>
      <c r="J71" s="52"/>
      <c r="K71" s="52"/>
      <c r="L71" s="479" t="s">
        <v>740</v>
      </c>
      <c r="M71" s="479"/>
      <c r="N71" s="479"/>
      <c r="O71" s="52"/>
      <c r="P71" s="52"/>
      <c r="Q71" s="52"/>
      <c r="R71" s="478" t="s">
        <v>739</v>
      </c>
      <c r="S71" s="478"/>
      <c r="T71" s="478"/>
      <c r="U71" s="52"/>
      <c r="W71" s="52"/>
      <c r="X71" s="73"/>
      <c r="Y71" s="74"/>
      <c r="Z71" s="74"/>
      <c r="AA71" s="69"/>
      <c r="AB71" s="52"/>
    </row>
    <row r="72" spans="1:28" ht="19.7" customHeight="1" thickBot="1">
      <c r="A72" s="52"/>
      <c r="B72" s="52"/>
      <c r="C72" s="75"/>
      <c r="D72" s="52"/>
      <c r="E72" s="76" t="s">
        <v>742</v>
      </c>
      <c r="F72" s="480" t="s">
        <v>745</v>
      </c>
      <c r="G72" s="481"/>
      <c r="H72" s="482"/>
      <c r="I72" s="77"/>
      <c r="J72" s="77"/>
      <c r="K72" s="77"/>
      <c r="L72" s="480" t="s">
        <v>744</v>
      </c>
      <c r="M72" s="481"/>
      <c r="N72" s="482"/>
      <c r="O72" s="77"/>
      <c r="P72" s="77"/>
      <c r="Q72" s="77"/>
      <c r="R72" s="480" t="s">
        <v>743</v>
      </c>
      <c r="S72" s="481"/>
      <c r="T72" s="482"/>
      <c r="U72" s="52"/>
      <c r="V72" s="78" t="s">
        <v>827</v>
      </c>
      <c r="W72" s="52"/>
      <c r="X72" s="73"/>
      <c r="Y72" s="52"/>
      <c r="Z72" s="52"/>
      <c r="AA72" s="69"/>
    </row>
    <row r="73" spans="1:28" ht="15" customHeight="1" thickBot="1">
      <c r="A73" s="52"/>
      <c r="B73" s="52"/>
      <c r="C73" s="75"/>
      <c r="D73" s="52"/>
      <c r="E73" s="170" t="s">
        <v>821</v>
      </c>
      <c r="F73" s="475" t="s">
        <v>863</v>
      </c>
      <c r="G73" s="476"/>
      <c r="H73" s="477"/>
      <c r="I73" s="80"/>
      <c r="J73" s="80"/>
      <c r="K73" s="81"/>
      <c r="L73" s="475" t="s">
        <v>861</v>
      </c>
      <c r="M73" s="476"/>
      <c r="N73" s="477"/>
      <c r="O73" s="80"/>
      <c r="P73" s="80"/>
      <c r="Q73" s="80"/>
      <c r="R73" s="238"/>
      <c r="S73" s="239"/>
      <c r="T73" s="240" t="s">
        <v>747</v>
      </c>
      <c r="U73" s="52"/>
      <c r="V73" s="82" t="s">
        <v>825</v>
      </c>
      <c r="W73" s="52"/>
      <c r="X73" s="73"/>
      <c r="Y73" s="74"/>
      <c r="Z73" s="74"/>
      <c r="AA73" s="69"/>
      <c r="AB73" s="52"/>
    </row>
    <row r="74" spans="1:28" ht="15.6" customHeight="1" thickTop="1" thickBot="1">
      <c r="A74" s="52"/>
      <c r="B74" s="52"/>
      <c r="C74" s="75"/>
      <c r="D74" s="52"/>
      <c r="E74" s="71" t="s">
        <v>748</v>
      </c>
      <c r="F74" s="87"/>
      <c r="G74" s="85"/>
      <c r="H74" s="86" t="s">
        <v>962</v>
      </c>
      <c r="I74" s="83"/>
      <c r="J74" s="80"/>
      <c r="K74" s="81"/>
      <c r="L74" s="84"/>
      <c r="M74" s="85"/>
      <c r="N74" s="86" t="s">
        <v>959</v>
      </c>
      <c r="O74" s="80"/>
      <c r="P74" s="80"/>
      <c r="Q74" s="80"/>
      <c r="R74" s="236"/>
      <c r="S74" s="85"/>
      <c r="T74" s="237"/>
      <c r="U74" s="52"/>
      <c r="V74" s="88" t="s">
        <v>828</v>
      </c>
      <c r="W74" s="52"/>
      <c r="X74" s="73"/>
      <c r="Y74" s="74"/>
      <c r="Z74" s="52"/>
      <c r="AA74" s="69"/>
      <c r="AB74" s="52"/>
    </row>
    <row r="75" spans="1:28" ht="31.7" customHeight="1" thickTop="1" thickBot="1">
      <c r="A75" s="52"/>
      <c r="B75" s="52"/>
      <c r="C75" s="75"/>
      <c r="D75" s="52"/>
      <c r="E75" s="89"/>
      <c r="F75" s="370"/>
      <c r="G75" s="241">
        <v>7</v>
      </c>
      <c r="H75" s="229">
        <v>6</v>
      </c>
      <c r="I75" s="90"/>
      <c r="J75" s="52"/>
      <c r="K75" s="91"/>
      <c r="L75" s="227">
        <v>5</v>
      </c>
      <c r="M75" s="228">
        <v>4</v>
      </c>
      <c r="N75" s="229">
        <v>3</v>
      </c>
      <c r="O75" s="52"/>
      <c r="P75" s="52"/>
      <c r="Q75" s="52"/>
      <c r="R75" s="227">
        <v>2</v>
      </c>
      <c r="S75" s="228">
        <v>1</v>
      </c>
      <c r="T75" s="229">
        <v>0</v>
      </c>
      <c r="U75" s="52"/>
      <c r="V75" s="52"/>
      <c r="W75" s="52"/>
      <c r="X75" s="73"/>
      <c r="Y75" s="74"/>
      <c r="Z75" s="52"/>
      <c r="AA75" s="69"/>
      <c r="AB75" s="52"/>
    </row>
    <row r="76" spans="1:28" ht="12.75" customHeight="1" thickTop="1">
      <c r="A76" s="52"/>
      <c r="B76" s="52"/>
      <c r="C76" s="75"/>
      <c r="D76" s="52"/>
      <c r="E76" s="420">
        <v>0</v>
      </c>
      <c r="F76" s="371"/>
      <c r="G76" s="450" t="s">
        <v>757</v>
      </c>
      <c r="H76" s="451" t="s">
        <v>754</v>
      </c>
      <c r="I76" s="372"/>
      <c r="J76" s="363"/>
      <c r="K76" s="363"/>
      <c r="L76" s="448" t="s">
        <v>751</v>
      </c>
      <c r="M76" s="450" t="s">
        <v>756</v>
      </c>
      <c r="N76" s="451" t="s">
        <v>752</v>
      </c>
      <c r="O76" s="372"/>
      <c r="P76" s="363"/>
      <c r="Q76" s="363"/>
      <c r="R76" s="448" t="s">
        <v>749</v>
      </c>
      <c r="S76" s="450" t="s">
        <v>755</v>
      </c>
      <c r="T76" s="451" t="s">
        <v>750</v>
      </c>
      <c r="U76" s="171"/>
      <c r="V76" s="52"/>
      <c r="W76" s="52"/>
      <c r="X76" s="92"/>
      <c r="Y76" s="92"/>
      <c r="Z76" s="92"/>
      <c r="AA76" s="69"/>
      <c r="AB76" s="52"/>
    </row>
    <row r="77" spans="1:28" ht="14.1" customHeight="1" thickBot="1">
      <c r="A77" s="52"/>
      <c r="B77" s="52"/>
      <c r="C77" s="75"/>
      <c r="D77" s="52"/>
      <c r="E77" s="420"/>
      <c r="F77" s="371"/>
      <c r="G77" s="463"/>
      <c r="H77" s="461"/>
      <c r="I77" s="372"/>
      <c r="J77" s="363"/>
      <c r="K77" s="363"/>
      <c r="L77" s="462"/>
      <c r="M77" s="463"/>
      <c r="N77" s="474"/>
      <c r="O77" s="372"/>
      <c r="P77" s="363"/>
      <c r="Q77" s="363"/>
      <c r="R77" s="462"/>
      <c r="S77" s="463"/>
      <c r="T77" s="461"/>
      <c r="U77" s="171"/>
      <c r="V77" s="52"/>
      <c r="W77" s="52"/>
      <c r="X77" s="92"/>
      <c r="Y77" s="92"/>
      <c r="Z77" s="92"/>
      <c r="AA77" s="69"/>
      <c r="AB77" s="52"/>
    </row>
    <row r="78" spans="1:28" ht="15" customHeight="1" thickTop="1">
      <c r="A78" s="52"/>
      <c r="B78" s="52"/>
      <c r="C78" s="75"/>
      <c r="D78" s="52"/>
      <c r="E78" s="420">
        <v>1</v>
      </c>
      <c r="F78" s="371"/>
      <c r="G78" s="464" t="s">
        <v>757</v>
      </c>
      <c r="H78" s="466"/>
      <c r="I78" s="372"/>
      <c r="J78" s="363"/>
      <c r="K78" s="363"/>
      <c r="L78" s="455" t="s">
        <v>751</v>
      </c>
      <c r="M78" s="468" t="s">
        <v>756</v>
      </c>
      <c r="N78" s="466"/>
      <c r="O78" s="372"/>
      <c r="P78" s="363"/>
      <c r="Q78" s="363"/>
      <c r="R78" s="455" t="s">
        <v>749</v>
      </c>
      <c r="S78" s="453" t="s">
        <v>755</v>
      </c>
      <c r="T78" s="429" t="s">
        <v>750</v>
      </c>
      <c r="U78" s="171"/>
      <c r="Y78" s="94"/>
      <c r="Z78" s="95"/>
      <c r="AA78" s="69"/>
      <c r="AB78" s="52"/>
    </row>
    <row r="79" spans="1:28" ht="15" customHeight="1" thickBot="1">
      <c r="A79" s="52"/>
      <c r="B79" s="52"/>
      <c r="C79" s="75"/>
      <c r="D79" s="52"/>
      <c r="E79" s="420"/>
      <c r="F79" s="371"/>
      <c r="G79" s="465"/>
      <c r="H79" s="467"/>
      <c r="I79" s="372"/>
      <c r="J79" s="363"/>
      <c r="K79" s="363"/>
      <c r="L79" s="456"/>
      <c r="M79" s="469"/>
      <c r="N79" s="467"/>
      <c r="O79" s="372"/>
      <c r="P79" s="363"/>
      <c r="Q79" s="363"/>
      <c r="R79" s="456"/>
      <c r="S79" s="454"/>
      <c r="T79" s="439"/>
      <c r="U79" s="171"/>
      <c r="V79" s="52"/>
      <c r="W79" s="52"/>
      <c r="X79" s="73"/>
      <c r="Y79" s="96"/>
      <c r="Z79" s="95"/>
      <c r="AA79" s="69"/>
      <c r="AB79" s="52"/>
    </row>
    <row r="80" spans="1:28" ht="14.45" customHeight="1" thickTop="1">
      <c r="A80" s="52"/>
      <c r="B80" s="52"/>
      <c r="C80" s="75"/>
      <c r="D80" s="52"/>
      <c r="E80" s="420">
        <v>2</v>
      </c>
      <c r="F80" s="371"/>
      <c r="G80" s="459" t="s">
        <v>757</v>
      </c>
      <c r="H80" s="451" t="s">
        <v>754</v>
      </c>
      <c r="I80" s="373"/>
      <c r="J80" s="363"/>
      <c r="K80" s="363"/>
      <c r="L80" s="448" t="s">
        <v>751</v>
      </c>
      <c r="M80" s="450" t="s">
        <v>756</v>
      </c>
      <c r="N80" s="451" t="s">
        <v>752</v>
      </c>
      <c r="O80" s="373"/>
      <c r="P80" s="363"/>
      <c r="Q80" s="363"/>
      <c r="R80" s="448" t="s">
        <v>749</v>
      </c>
      <c r="S80" s="450" t="s">
        <v>755</v>
      </c>
      <c r="T80" s="451" t="s">
        <v>750</v>
      </c>
      <c r="U80" s="171"/>
      <c r="V80" s="52"/>
      <c r="W80" s="52"/>
      <c r="X80" s="96"/>
      <c r="Y80" s="96"/>
      <c r="Z80" s="95"/>
      <c r="AA80" s="69"/>
      <c r="AB80" s="52"/>
    </row>
    <row r="81" spans="1:28" ht="14.1" customHeight="1">
      <c r="A81" s="52"/>
      <c r="B81" s="52"/>
      <c r="C81" s="75"/>
      <c r="D81" s="52"/>
      <c r="E81" s="420"/>
      <c r="F81" s="371"/>
      <c r="G81" s="460"/>
      <c r="H81" s="461"/>
      <c r="I81" s="373"/>
      <c r="J81" s="363"/>
      <c r="K81" s="363"/>
      <c r="L81" s="462"/>
      <c r="M81" s="463"/>
      <c r="N81" s="461"/>
      <c r="O81" s="373"/>
      <c r="P81" s="363"/>
      <c r="Q81" s="363"/>
      <c r="R81" s="462"/>
      <c r="S81" s="463"/>
      <c r="T81" s="461"/>
      <c r="U81" s="171"/>
      <c r="V81" s="52"/>
      <c r="W81" s="52"/>
      <c r="X81" s="73"/>
      <c r="Y81" s="74"/>
      <c r="Z81" s="52"/>
      <c r="AA81" s="69"/>
      <c r="AB81" s="52"/>
    </row>
    <row r="82" spans="1:28" ht="15" customHeight="1">
      <c r="A82" s="52"/>
      <c r="B82" s="52"/>
      <c r="C82" s="97" t="s">
        <v>822</v>
      </c>
      <c r="D82" s="52"/>
      <c r="E82" s="420">
        <v>3</v>
      </c>
      <c r="F82" s="371"/>
      <c r="G82" s="453" t="s">
        <v>757</v>
      </c>
      <c r="H82" s="429" t="s">
        <v>754</v>
      </c>
      <c r="I82" s="373"/>
      <c r="J82" s="363"/>
      <c r="K82" s="363"/>
      <c r="L82" s="455" t="s">
        <v>751</v>
      </c>
      <c r="M82" s="457" t="s">
        <v>756</v>
      </c>
      <c r="N82" s="429" t="s">
        <v>752</v>
      </c>
      <c r="O82" s="373"/>
      <c r="P82" s="363"/>
      <c r="Q82" s="363"/>
      <c r="R82" s="455" t="s">
        <v>749</v>
      </c>
      <c r="S82" s="453" t="s">
        <v>755</v>
      </c>
      <c r="T82" s="429" t="s">
        <v>750</v>
      </c>
      <c r="U82" s="171"/>
      <c r="V82" s="52"/>
      <c r="W82" s="52"/>
      <c r="X82" s="73"/>
      <c r="Y82" s="74"/>
      <c r="Z82" s="52"/>
      <c r="AA82" s="69"/>
      <c r="AB82" s="52"/>
    </row>
    <row r="83" spans="1:28" ht="15" customHeight="1" thickBot="1">
      <c r="A83" s="52"/>
      <c r="B83" s="52"/>
      <c r="C83" s="75"/>
      <c r="D83" s="98" t="s">
        <v>759</v>
      </c>
      <c r="E83" s="420"/>
      <c r="F83" s="371"/>
      <c r="G83" s="454"/>
      <c r="H83" s="439"/>
      <c r="I83" s="373"/>
      <c r="J83" s="363"/>
      <c r="K83" s="363"/>
      <c r="L83" s="456"/>
      <c r="M83" s="458"/>
      <c r="N83" s="439"/>
      <c r="O83" s="373"/>
      <c r="P83" s="363"/>
      <c r="Q83" s="363"/>
      <c r="R83" s="456"/>
      <c r="S83" s="454"/>
      <c r="T83" s="439"/>
      <c r="U83" s="171"/>
      <c r="V83" s="52"/>
      <c r="W83" s="52"/>
      <c r="X83" s="73"/>
      <c r="Y83" s="74"/>
      <c r="Z83" s="52"/>
      <c r="AA83" s="69"/>
      <c r="AB83" s="52"/>
    </row>
    <row r="84" spans="1:28" ht="15" customHeight="1" thickTop="1">
      <c r="A84" s="52"/>
      <c r="B84" s="52"/>
      <c r="C84" s="97" t="s">
        <v>760</v>
      </c>
      <c r="D84" s="52"/>
      <c r="E84" s="420">
        <v>4</v>
      </c>
      <c r="F84" s="371"/>
      <c r="G84" s="440" t="s">
        <v>763</v>
      </c>
      <c r="H84" s="442" t="s">
        <v>754</v>
      </c>
      <c r="I84" s="374"/>
      <c r="J84" s="363"/>
      <c r="K84" s="363"/>
      <c r="L84" s="444" t="s">
        <v>751</v>
      </c>
      <c r="M84" s="446" t="s">
        <v>762</v>
      </c>
      <c r="N84" s="442" t="s">
        <v>752</v>
      </c>
      <c r="O84" s="374"/>
      <c r="P84" s="363"/>
      <c r="Q84" s="363"/>
      <c r="R84" s="448" t="s">
        <v>749</v>
      </c>
      <c r="S84" s="450" t="s">
        <v>761</v>
      </c>
      <c r="T84" s="451" t="s">
        <v>750</v>
      </c>
      <c r="U84" s="171"/>
      <c r="V84" s="52"/>
      <c r="W84" s="52"/>
      <c r="X84" s="73"/>
      <c r="Y84" s="74"/>
      <c r="Z84" s="52"/>
      <c r="AA84" s="69"/>
      <c r="AB84" s="52"/>
    </row>
    <row r="85" spans="1:28" ht="15" customHeight="1" thickBot="1">
      <c r="A85" s="52"/>
      <c r="B85" s="52"/>
      <c r="C85" s="75"/>
      <c r="D85" s="52"/>
      <c r="E85" s="420"/>
      <c r="F85" s="371"/>
      <c r="G85" s="441"/>
      <c r="H85" s="443"/>
      <c r="I85" s="374"/>
      <c r="J85" s="363"/>
      <c r="K85" s="363"/>
      <c r="L85" s="445"/>
      <c r="M85" s="447"/>
      <c r="N85" s="443"/>
      <c r="O85" s="374"/>
      <c r="P85" s="363"/>
      <c r="Q85" s="363"/>
      <c r="R85" s="449"/>
      <c r="S85" s="424"/>
      <c r="T85" s="452"/>
      <c r="U85" s="171"/>
      <c r="V85" s="52"/>
      <c r="W85" s="52"/>
      <c r="X85" s="73"/>
      <c r="Y85" s="74"/>
      <c r="Z85" s="52"/>
      <c r="AA85" s="69"/>
      <c r="AB85" s="52"/>
    </row>
    <row r="86" spans="1:28" ht="15" customHeight="1" thickTop="1">
      <c r="A86" s="52"/>
      <c r="B86" s="52"/>
      <c r="C86" s="75"/>
      <c r="D86" s="52"/>
      <c r="E86" s="420">
        <v>5</v>
      </c>
      <c r="F86" s="371"/>
      <c r="G86" s="427" t="s">
        <v>763</v>
      </c>
      <c r="H86" s="429" t="s">
        <v>845</v>
      </c>
      <c r="I86" s="374"/>
      <c r="J86" s="363"/>
      <c r="K86" s="363"/>
      <c r="L86" s="431" t="s">
        <v>751</v>
      </c>
      <c r="M86" s="433" t="s">
        <v>762</v>
      </c>
      <c r="N86" s="429" t="s">
        <v>844</v>
      </c>
      <c r="O86" s="374"/>
      <c r="P86" s="363"/>
      <c r="Q86" s="363"/>
      <c r="R86" s="435" t="s">
        <v>749</v>
      </c>
      <c r="S86" s="403" t="s">
        <v>960</v>
      </c>
      <c r="T86" s="405" t="s">
        <v>851</v>
      </c>
      <c r="U86" s="171"/>
      <c r="V86" s="52"/>
      <c r="W86" s="52"/>
      <c r="X86" s="73"/>
      <c r="Y86" s="74"/>
      <c r="Z86" s="52"/>
      <c r="AA86" s="69"/>
      <c r="AB86" s="52"/>
    </row>
    <row r="87" spans="1:28" ht="15" customHeight="1" thickBot="1">
      <c r="A87" s="52"/>
      <c r="B87" s="52"/>
      <c r="C87" s="75"/>
      <c r="D87" s="52"/>
      <c r="E87" s="420"/>
      <c r="F87" s="371"/>
      <c r="G87" s="428"/>
      <c r="H87" s="430"/>
      <c r="I87" s="374"/>
      <c r="J87" s="363"/>
      <c r="K87" s="363"/>
      <c r="L87" s="432"/>
      <c r="M87" s="434"/>
      <c r="N87" s="430"/>
      <c r="O87" s="374"/>
      <c r="P87" s="363"/>
      <c r="Q87" s="363"/>
      <c r="R87" s="436"/>
      <c r="S87" s="404"/>
      <c r="T87" s="406"/>
      <c r="U87" s="171"/>
      <c r="V87" s="52"/>
      <c r="W87" s="52"/>
      <c r="X87" s="73"/>
      <c r="Y87" s="74"/>
      <c r="Z87" s="52"/>
      <c r="AA87" s="69"/>
      <c r="AB87" s="52"/>
    </row>
    <row r="88" spans="1:28" ht="15" customHeight="1" thickTop="1" thickBot="1">
      <c r="A88" s="52"/>
      <c r="B88" s="52"/>
      <c r="C88" s="75"/>
      <c r="D88" s="52"/>
      <c r="E88" s="420">
        <v>6</v>
      </c>
      <c r="F88" s="371"/>
      <c r="G88" s="421" t="s">
        <v>849</v>
      </c>
      <c r="H88" s="235" t="s">
        <v>845</v>
      </c>
      <c r="I88" s="375"/>
      <c r="J88" s="363"/>
      <c r="K88" s="363"/>
      <c r="L88" s="437" t="s">
        <v>848</v>
      </c>
      <c r="M88" s="423" t="s">
        <v>847</v>
      </c>
      <c r="N88" s="235" t="s">
        <v>844</v>
      </c>
      <c r="O88" s="375"/>
      <c r="P88" s="363"/>
      <c r="Q88" s="363"/>
      <c r="R88" s="437" t="s">
        <v>846</v>
      </c>
      <c r="S88" s="425" t="s">
        <v>961</v>
      </c>
      <c r="T88" s="225" t="s">
        <v>851</v>
      </c>
      <c r="U88" s="171"/>
      <c r="V88" s="52"/>
      <c r="W88" s="52"/>
      <c r="X88" s="73"/>
      <c r="Y88" s="74"/>
      <c r="Z88" s="52"/>
      <c r="AA88" s="69"/>
      <c r="AB88" s="52"/>
    </row>
    <row r="89" spans="1:28" ht="15" customHeight="1" thickTop="1" thickBot="1">
      <c r="A89" s="52"/>
      <c r="B89" s="52"/>
      <c r="C89" s="75"/>
      <c r="D89" s="52"/>
      <c r="E89" s="420"/>
      <c r="F89" s="376"/>
      <c r="G89" s="422"/>
      <c r="H89" s="234" t="s">
        <v>845</v>
      </c>
      <c r="I89" s="375"/>
      <c r="J89" s="363"/>
      <c r="K89" s="363"/>
      <c r="L89" s="438"/>
      <c r="M89" s="424"/>
      <c r="N89" s="234" t="s">
        <v>844</v>
      </c>
      <c r="O89" s="375"/>
      <c r="P89" s="363"/>
      <c r="Q89" s="363"/>
      <c r="R89" s="438"/>
      <c r="S89" s="426"/>
      <c r="T89" s="226" t="s">
        <v>851</v>
      </c>
      <c r="U89" s="171"/>
      <c r="V89" s="52"/>
      <c r="W89" s="52"/>
      <c r="X89" s="73"/>
      <c r="Y89" s="74"/>
      <c r="Z89" s="52"/>
      <c r="AA89" s="69"/>
      <c r="AB89" s="52"/>
    </row>
    <row r="90" spans="1:28" ht="14.85" customHeight="1" thickTop="1">
      <c r="A90" s="52"/>
      <c r="B90" s="52"/>
      <c r="C90" s="75"/>
      <c r="D90" s="52"/>
      <c r="E90" s="99" t="s">
        <v>764</v>
      </c>
      <c r="F90" s="100" t="s">
        <v>766</v>
      </c>
      <c r="G90" s="100" t="s">
        <v>766</v>
      </c>
      <c r="H90" s="100" t="s">
        <v>766</v>
      </c>
      <c r="I90" s="52"/>
      <c r="J90" s="52"/>
      <c r="K90" s="52"/>
      <c r="L90" s="100" t="s">
        <v>766</v>
      </c>
      <c r="M90" s="100" t="s">
        <v>766</v>
      </c>
      <c r="N90" s="100" t="s">
        <v>766</v>
      </c>
      <c r="O90" s="52"/>
      <c r="P90" s="52"/>
      <c r="Q90" s="52"/>
      <c r="R90" s="100" t="s">
        <v>765</v>
      </c>
      <c r="S90" s="100" t="s">
        <v>15</v>
      </c>
      <c r="T90" s="100" t="s">
        <v>18</v>
      </c>
      <c r="U90" s="52"/>
      <c r="V90" s="52"/>
      <c r="W90" s="52"/>
      <c r="X90" s="73"/>
      <c r="Y90" s="52"/>
      <c r="Z90" s="52"/>
      <c r="AA90" s="69"/>
      <c r="AB90" s="52"/>
    </row>
    <row r="91" spans="1:28" s="101" customFormat="1" ht="23.45" customHeight="1" thickBot="1">
      <c r="C91" s="102"/>
      <c r="D91" s="354"/>
      <c r="E91" s="103" t="s">
        <v>767</v>
      </c>
      <c r="F91" s="407">
        <v>8</v>
      </c>
      <c r="G91" s="408"/>
      <c r="H91" s="409"/>
      <c r="I91" s="104"/>
      <c r="J91" s="104"/>
      <c r="K91" s="104"/>
      <c r="L91" s="407">
        <v>10</v>
      </c>
      <c r="M91" s="408"/>
      <c r="N91" s="409"/>
      <c r="O91" s="104"/>
      <c r="P91" s="104"/>
      <c r="Q91" s="104"/>
      <c r="R91" s="407">
        <v>12</v>
      </c>
      <c r="S91" s="408"/>
      <c r="T91" s="409"/>
      <c r="U91" s="104"/>
      <c r="V91" s="105"/>
      <c r="W91" s="106" t="s">
        <v>768</v>
      </c>
      <c r="X91" s="104">
        <f>SUM(F91:T91)</f>
        <v>30</v>
      </c>
      <c r="Y91" s="73"/>
      <c r="Z91" s="73"/>
      <c r="AA91" s="107"/>
      <c r="AB91" s="73"/>
    </row>
    <row r="92" spans="1:28" s="101" customFormat="1" ht="51.95" hidden="1" customHeight="1" thickBot="1">
      <c r="C92" s="108"/>
      <c r="D92" s="74"/>
      <c r="E92" s="74"/>
      <c r="F92" s="73"/>
      <c r="G92" s="73"/>
      <c r="H92" s="73"/>
      <c r="I92" s="109" t="s">
        <v>769</v>
      </c>
      <c r="J92" s="110" t="s">
        <v>770</v>
      </c>
      <c r="K92" s="110" t="s">
        <v>771</v>
      </c>
      <c r="L92" s="73"/>
      <c r="M92" s="73"/>
      <c r="N92" s="73"/>
      <c r="O92" s="109" t="s">
        <v>769</v>
      </c>
      <c r="P92" s="110" t="s">
        <v>770</v>
      </c>
      <c r="Q92" s="110" t="s">
        <v>771</v>
      </c>
      <c r="R92" s="73"/>
      <c r="S92" s="73"/>
      <c r="T92" s="73"/>
      <c r="U92" s="109" t="s">
        <v>769</v>
      </c>
      <c r="V92" s="110" t="s">
        <v>770</v>
      </c>
      <c r="W92" s="110" t="s">
        <v>771</v>
      </c>
      <c r="X92" s="109" t="s">
        <v>772</v>
      </c>
      <c r="Y92" s="73"/>
      <c r="Z92" s="73"/>
      <c r="AA92" s="111"/>
      <c r="AB92" s="73"/>
    </row>
    <row r="93" spans="1:28" ht="15.75" hidden="1" thickBot="1">
      <c r="C93" s="112" t="s">
        <v>773</v>
      </c>
      <c r="D93" s="113"/>
      <c r="E93" s="114" t="s">
        <v>774</v>
      </c>
      <c r="F93" s="115">
        <v>44</v>
      </c>
      <c r="G93" s="116">
        <v>36</v>
      </c>
      <c r="H93" s="117">
        <v>28</v>
      </c>
      <c r="I93" s="118">
        <f>SUM(F93:H93)</f>
        <v>108</v>
      </c>
      <c r="J93" s="73"/>
      <c r="K93" s="73"/>
      <c r="L93" s="116">
        <v>28</v>
      </c>
      <c r="M93" s="116">
        <v>28</v>
      </c>
      <c r="N93" s="117">
        <v>28</v>
      </c>
      <c r="O93" s="118">
        <f>SUM(L93:N93)</f>
        <v>84</v>
      </c>
      <c r="P93" s="73"/>
      <c r="Q93" s="73"/>
      <c r="R93" s="116">
        <v>28</v>
      </c>
      <c r="S93" s="116">
        <v>28</v>
      </c>
      <c r="T93" s="117"/>
      <c r="U93" s="118">
        <f>SUM(R93:T93)</f>
        <v>56</v>
      </c>
      <c r="V93" s="73"/>
      <c r="W93" s="73"/>
      <c r="X93" s="119">
        <f t="shared" ref="X93:X103" si="20">SUM(I93,O93,U93)</f>
        <v>248</v>
      </c>
      <c r="Y93" s="52"/>
      <c r="Z93" s="52"/>
      <c r="AA93" s="120"/>
      <c r="AB93" s="52"/>
    </row>
    <row r="94" spans="1:28" ht="15.75" hidden="1" thickBot="1">
      <c r="C94" s="121"/>
      <c r="D94" s="122"/>
      <c r="E94" s="123" t="s">
        <v>775</v>
      </c>
      <c r="F94" s="124">
        <v>11</v>
      </c>
      <c r="G94" s="125">
        <v>9</v>
      </c>
      <c r="H94" s="126">
        <v>7</v>
      </c>
      <c r="I94" s="127">
        <f t="shared" ref="I94:I102" si="21">SUM(F94:H94)</f>
        <v>27</v>
      </c>
      <c r="J94" s="104"/>
      <c r="K94" s="104">
        <f>I94*5</f>
        <v>135</v>
      </c>
      <c r="L94" s="125">
        <v>7</v>
      </c>
      <c r="M94" s="125">
        <v>7</v>
      </c>
      <c r="N94" s="126">
        <v>7</v>
      </c>
      <c r="O94" s="127">
        <f t="shared" ref="O94:O102" si="22">SUM(L94:N94)</f>
        <v>21</v>
      </c>
      <c r="P94" s="104"/>
      <c r="Q94" s="104">
        <f>O94*5</f>
        <v>105</v>
      </c>
      <c r="R94" s="125">
        <v>7</v>
      </c>
      <c r="S94" s="125">
        <v>7</v>
      </c>
      <c r="T94" s="126"/>
      <c r="U94" s="127">
        <f>SUM(R94:T94)</f>
        <v>14</v>
      </c>
      <c r="V94" s="104"/>
      <c r="W94" s="104">
        <f>U94*5</f>
        <v>70</v>
      </c>
      <c r="X94" s="128">
        <f t="shared" si="20"/>
        <v>62</v>
      </c>
      <c r="Y94" s="52"/>
      <c r="Z94" s="52"/>
      <c r="AA94" s="120"/>
      <c r="AB94" s="52"/>
    </row>
    <row r="95" spans="1:28" ht="15.75" hidden="1" thickBot="1">
      <c r="C95" s="75"/>
      <c r="D95" s="129"/>
      <c r="E95" s="130" t="s">
        <v>776</v>
      </c>
      <c r="F95" s="131">
        <v>15</v>
      </c>
      <c r="G95" s="132">
        <v>11</v>
      </c>
      <c r="H95" s="133">
        <v>8</v>
      </c>
      <c r="I95" s="134">
        <f t="shared" si="21"/>
        <v>34</v>
      </c>
      <c r="J95" s="73"/>
      <c r="K95" s="73"/>
      <c r="L95" s="132">
        <v>10</v>
      </c>
      <c r="M95" s="132">
        <v>8</v>
      </c>
      <c r="N95" s="133">
        <v>8</v>
      </c>
      <c r="O95" s="134">
        <f t="shared" si="22"/>
        <v>26</v>
      </c>
      <c r="P95" s="73"/>
      <c r="Q95" s="73"/>
      <c r="R95" s="132">
        <v>10</v>
      </c>
      <c r="S95" s="132">
        <v>8</v>
      </c>
      <c r="T95" s="133"/>
      <c r="U95" s="134">
        <f>SUM(R95:T95)</f>
        <v>18</v>
      </c>
      <c r="V95" s="73"/>
      <c r="W95" s="73"/>
      <c r="X95" s="135">
        <f t="shared" si="20"/>
        <v>78</v>
      </c>
      <c r="Y95" s="52"/>
      <c r="Z95" s="52"/>
      <c r="AA95" s="120"/>
      <c r="AB95" s="52"/>
    </row>
    <row r="96" spans="1:28" ht="15.75" hidden="1" thickBot="1">
      <c r="C96" s="121"/>
      <c r="D96" s="122"/>
      <c r="E96" s="123" t="s">
        <v>777</v>
      </c>
      <c r="F96" s="136">
        <f t="shared" ref="F96:H97" si="23">F94</f>
        <v>11</v>
      </c>
      <c r="G96" s="137">
        <f t="shared" si="23"/>
        <v>9</v>
      </c>
      <c r="H96" s="353">
        <f t="shared" si="23"/>
        <v>7</v>
      </c>
      <c r="I96" s="127">
        <f t="shared" si="21"/>
        <v>27</v>
      </c>
      <c r="J96" s="104">
        <f>I96*4</f>
        <v>108</v>
      </c>
      <c r="K96" s="104"/>
      <c r="L96" s="137">
        <f t="shared" ref="L96:N97" si="24">L94</f>
        <v>7</v>
      </c>
      <c r="M96" s="137">
        <f t="shared" si="24"/>
        <v>7</v>
      </c>
      <c r="N96" s="353">
        <f t="shared" si="24"/>
        <v>7</v>
      </c>
      <c r="O96" s="127">
        <f t="shared" si="22"/>
        <v>21</v>
      </c>
      <c r="P96" s="104">
        <f>O96*4</f>
        <v>84</v>
      </c>
      <c r="Q96" s="104"/>
      <c r="R96" s="137">
        <f>R94</f>
        <v>7</v>
      </c>
      <c r="S96" s="137">
        <f>S94</f>
        <v>7</v>
      </c>
      <c r="T96" s="353"/>
      <c r="U96" s="127">
        <f>SUM(R96:T96)</f>
        <v>14</v>
      </c>
      <c r="V96" s="104">
        <f>U96*4</f>
        <v>56</v>
      </c>
      <c r="W96" s="104"/>
      <c r="X96" s="128">
        <f t="shared" si="20"/>
        <v>62</v>
      </c>
      <c r="Y96" s="52"/>
      <c r="Z96" s="52"/>
      <c r="AA96" s="120"/>
      <c r="AB96" s="52"/>
    </row>
    <row r="97" spans="3:28" ht="15.75" hidden="1" thickBot="1">
      <c r="C97" s="75"/>
      <c r="D97" s="129"/>
      <c r="E97" s="130" t="s">
        <v>778</v>
      </c>
      <c r="F97" s="138">
        <f t="shared" si="23"/>
        <v>15</v>
      </c>
      <c r="G97" s="139">
        <f t="shared" si="23"/>
        <v>11</v>
      </c>
      <c r="H97" s="140">
        <f t="shared" si="23"/>
        <v>8</v>
      </c>
      <c r="I97" s="141">
        <f>SUM(F97:H97)/6</f>
        <v>5.666666666666667</v>
      </c>
      <c r="J97" s="142">
        <f>I97*4</f>
        <v>22.666666666666668</v>
      </c>
      <c r="K97" s="73"/>
      <c r="L97" s="139">
        <f t="shared" si="24"/>
        <v>10</v>
      </c>
      <c r="M97" s="139">
        <f t="shared" si="24"/>
        <v>8</v>
      </c>
      <c r="N97" s="140">
        <f t="shared" si="24"/>
        <v>8</v>
      </c>
      <c r="O97" s="141">
        <f>SUM(L97:N97)/6</f>
        <v>4.333333333333333</v>
      </c>
      <c r="P97" s="142">
        <f>O97*4</f>
        <v>17.333333333333332</v>
      </c>
      <c r="Q97" s="73"/>
      <c r="R97" s="139">
        <f>R95</f>
        <v>10</v>
      </c>
      <c r="S97" s="139">
        <f>S95</f>
        <v>8</v>
      </c>
      <c r="T97" s="140"/>
      <c r="U97" s="141">
        <f>SUM(R97:T97)/6</f>
        <v>3</v>
      </c>
      <c r="V97" s="142">
        <f>U97*4</f>
        <v>12</v>
      </c>
      <c r="W97" s="73"/>
      <c r="X97" s="135">
        <f t="shared" si="20"/>
        <v>13</v>
      </c>
      <c r="Y97" s="52"/>
      <c r="Z97" s="52"/>
      <c r="AA97" s="120"/>
      <c r="AB97" s="52"/>
    </row>
    <row r="98" spans="3:28" ht="15.75" hidden="1" thickBot="1">
      <c r="C98" s="121"/>
      <c r="D98" s="122"/>
      <c r="E98" s="123" t="s">
        <v>779</v>
      </c>
      <c r="F98" s="136">
        <f t="shared" ref="F98:H99" si="25">F94</f>
        <v>11</v>
      </c>
      <c r="G98" s="137">
        <f t="shared" si="25"/>
        <v>9</v>
      </c>
      <c r="H98" s="353">
        <f t="shared" si="25"/>
        <v>7</v>
      </c>
      <c r="I98" s="127">
        <f t="shared" si="21"/>
        <v>27</v>
      </c>
      <c r="J98" s="104"/>
      <c r="K98" s="104"/>
      <c r="L98" s="137">
        <f t="shared" ref="L98:N99" si="26">L94</f>
        <v>7</v>
      </c>
      <c r="M98" s="137">
        <f t="shared" si="26"/>
        <v>7</v>
      </c>
      <c r="N98" s="353">
        <f t="shared" si="26"/>
        <v>7</v>
      </c>
      <c r="O98" s="127">
        <f t="shared" si="22"/>
        <v>21</v>
      </c>
      <c r="P98" s="104"/>
      <c r="Q98" s="104"/>
      <c r="R98" s="137">
        <f>R94</f>
        <v>7</v>
      </c>
      <c r="S98" s="137">
        <f>S94</f>
        <v>7</v>
      </c>
      <c r="T98" s="353"/>
      <c r="U98" s="127">
        <f>SUM(R98:T98)</f>
        <v>14</v>
      </c>
      <c r="V98" s="104"/>
      <c r="W98" s="104"/>
      <c r="X98" s="128">
        <f t="shared" si="20"/>
        <v>62</v>
      </c>
      <c r="Y98" s="52"/>
      <c r="Z98" s="52"/>
      <c r="AA98" s="120"/>
      <c r="AB98" s="52"/>
    </row>
    <row r="99" spans="3:28" ht="15.75" hidden="1" thickBot="1">
      <c r="C99" s="75"/>
      <c r="D99" s="129"/>
      <c r="E99" s="130" t="s">
        <v>780</v>
      </c>
      <c r="F99" s="138">
        <f t="shared" si="25"/>
        <v>15</v>
      </c>
      <c r="G99" s="138">
        <f t="shared" si="25"/>
        <v>11</v>
      </c>
      <c r="H99" s="143">
        <f t="shared" si="25"/>
        <v>8</v>
      </c>
      <c r="I99" s="134">
        <f t="shared" si="21"/>
        <v>34</v>
      </c>
      <c r="J99" s="73">
        <f>I99*2</f>
        <v>68</v>
      </c>
      <c r="K99" s="73"/>
      <c r="L99" s="139">
        <f t="shared" si="26"/>
        <v>10</v>
      </c>
      <c r="M99" s="139">
        <f t="shared" si="26"/>
        <v>8</v>
      </c>
      <c r="N99" s="140">
        <f t="shared" si="26"/>
        <v>8</v>
      </c>
      <c r="O99" s="134">
        <f t="shared" si="22"/>
        <v>26</v>
      </c>
      <c r="P99" s="73">
        <f>O99*2</f>
        <v>52</v>
      </c>
      <c r="Q99" s="73"/>
      <c r="R99" s="139">
        <f>R95</f>
        <v>10</v>
      </c>
      <c r="S99" s="139">
        <f>S95</f>
        <v>8</v>
      </c>
      <c r="T99" s="140"/>
      <c r="U99" s="134">
        <f>SUM(R99:T99)</f>
        <v>18</v>
      </c>
      <c r="V99" s="73">
        <f>U99*2</f>
        <v>36</v>
      </c>
      <c r="W99" s="73"/>
      <c r="X99" s="135">
        <f t="shared" si="20"/>
        <v>78</v>
      </c>
      <c r="Y99" s="52"/>
      <c r="Z99" s="52"/>
      <c r="AA99" s="120"/>
      <c r="AB99" s="52"/>
    </row>
    <row r="100" spans="3:28" ht="15.75" hidden="1" thickBot="1">
      <c r="C100" s="121"/>
      <c r="D100" s="122"/>
      <c r="E100" s="123" t="s">
        <v>781</v>
      </c>
      <c r="F100" s="136">
        <f>F94</f>
        <v>11</v>
      </c>
      <c r="G100" s="136">
        <f>G94</f>
        <v>9</v>
      </c>
      <c r="H100" s="352">
        <f>H94</f>
        <v>7</v>
      </c>
      <c r="I100" s="127">
        <f t="shared" si="21"/>
        <v>27</v>
      </c>
      <c r="J100" s="104"/>
      <c r="K100" s="104"/>
      <c r="L100" s="137">
        <f>L94</f>
        <v>7</v>
      </c>
      <c r="M100" s="137">
        <f>M94</f>
        <v>7</v>
      </c>
      <c r="N100" s="353">
        <f>N94</f>
        <v>7</v>
      </c>
      <c r="O100" s="127">
        <f t="shared" si="22"/>
        <v>21</v>
      </c>
      <c r="P100" s="104"/>
      <c r="Q100" s="104"/>
      <c r="R100" s="137">
        <f>R94</f>
        <v>7</v>
      </c>
      <c r="S100" s="137">
        <f>S94</f>
        <v>7</v>
      </c>
      <c r="T100" s="353"/>
      <c r="U100" s="127">
        <f>SUM(R100:T100)</f>
        <v>14</v>
      </c>
      <c r="V100" s="104"/>
      <c r="W100" s="104"/>
      <c r="X100" s="128">
        <f t="shared" si="20"/>
        <v>62</v>
      </c>
      <c r="Y100" s="52"/>
      <c r="Z100" s="52"/>
      <c r="AA100" s="120"/>
      <c r="AB100" s="52"/>
    </row>
    <row r="101" spans="3:28" ht="15.75" hidden="1" thickBot="1">
      <c r="C101" s="75"/>
      <c r="D101" s="129"/>
      <c r="E101" s="130" t="s">
        <v>782</v>
      </c>
      <c r="F101" s="138">
        <f>F94</f>
        <v>11</v>
      </c>
      <c r="G101" s="138">
        <f>G94</f>
        <v>9</v>
      </c>
      <c r="H101" s="143">
        <f>H94</f>
        <v>7</v>
      </c>
      <c r="I101" s="134">
        <f t="shared" si="21"/>
        <v>27</v>
      </c>
      <c r="J101" s="73">
        <f>I101*2</f>
        <v>54</v>
      </c>
      <c r="K101" s="73"/>
      <c r="L101" s="139">
        <f>L97</f>
        <v>10</v>
      </c>
      <c r="M101" s="139">
        <f>M97</f>
        <v>8</v>
      </c>
      <c r="N101" s="140">
        <f>N97</f>
        <v>8</v>
      </c>
      <c r="O101" s="134">
        <f t="shared" si="22"/>
        <v>26</v>
      </c>
      <c r="P101" s="73">
        <f>O101*2</f>
        <v>52</v>
      </c>
      <c r="Q101" s="73"/>
      <c r="R101" s="139">
        <f>R97</f>
        <v>10</v>
      </c>
      <c r="S101" s="139">
        <f>S97</f>
        <v>8</v>
      </c>
      <c r="T101" s="140"/>
      <c r="U101" s="134">
        <f>SUM(R101:T101)</f>
        <v>18</v>
      </c>
      <c r="V101" s="73">
        <f>U101*2</f>
        <v>36</v>
      </c>
      <c r="W101" s="73"/>
      <c r="X101" s="135">
        <f t="shared" si="20"/>
        <v>71</v>
      </c>
      <c r="Y101" s="52"/>
      <c r="Z101" s="52"/>
      <c r="AA101" s="120"/>
      <c r="AB101" s="52"/>
    </row>
    <row r="102" spans="3:28" ht="15.75" hidden="1" thickBot="1">
      <c r="C102" s="121"/>
      <c r="D102" s="122"/>
      <c r="E102" s="123" t="s">
        <v>783</v>
      </c>
      <c r="F102" s="401">
        <v>6</v>
      </c>
      <c r="G102" s="401"/>
      <c r="H102" s="401"/>
      <c r="I102" s="127">
        <f t="shared" si="21"/>
        <v>6</v>
      </c>
      <c r="J102" s="104">
        <f>I102*2</f>
        <v>12</v>
      </c>
      <c r="K102" s="104"/>
      <c r="L102" s="402">
        <v>6</v>
      </c>
      <c r="M102" s="401"/>
      <c r="N102" s="401"/>
      <c r="O102" s="127">
        <f t="shared" si="22"/>
        <v>6</v>
      </c>
      <c r="P102" s="104">
        <f>O102*2</f>
        <v>12</v>
      </c>
      <c r="Q102" s="104"/>
      <c r="R102" s="402">
        <v>6</v>
      </c>
      <c r="S102" s="401"/>
      <c r="T102" s="172"/>
      <c r="U102" s="127">
        <f>SUM(R102:T102)</f>
        <v>6</v>
      </c>
      <c r="V102" s="104">
        <f>U102*2</f>
        <v>12</v>
      </c>
      <c r="W102" s="104"/>
      <c r="X102" s="128">
        <f t="shared" si="20"/>
        <v>18</v>
      </c>
      <c r="Y102" s="52"/>
      <c r="Z102" s="52"/>
      <c r="AA102" s="120"/>
      <c r="AB102" s="52"/>
    </row>
    <row r="103" spans="3:28" ht="15.75" hidden="1" thickBot="1">
      <c r="C103" s="365"/>
      <c r="D103" s="144"/>
      <c r="E103" s="145" t="s">
        <v>784</v>
      </c>
      <c r="F103" s="414">
        <f>I95/6</f>
        <v>5.666666666666667</v>
      </c>
      <c r="G103" s="415"/>
      <c r="H103" s="415"/>
      <c r="I103" s="366">
        <f>F103</f>
        <v>5.666666666666667</v>
      </c>
      <c r="J103" s="73"/>
      <c r="K103" s="73">
        <f>ROUNDUP((F103*($D$55+$D$56)/1.25)*2+F103*4,0)</f>
        <v>103</v>
      </c>
      <c r="L103" s="414">
        <f>O95/6</f>
        <v>4.333333333333333</v>
      </c>
      <c r="M103" s="415"/>
      <c r="N103" s="415"/>
      <c r="O103" s="366">
        <f>L103</f>
        <v>4.333333333333333</v>
      </c>
      <c r="P103" s="73"/>
      <c r="Q103" s="73">
        <f>ROUNDUP((L103*($D$55+$D$56)/1.25)*2+L103*4,0)</f>
        <v>79</v>
      </c>
      <c r="R103" s="414">
        <f>U95/6</f>
        <v>3</v>
      </c>
      <c r="S103" s="416"/>
      <c r="T103" s="173"/>
      <c r="U103" s="366">
        <f>R103</f>
        <v>3</v>
      </c>
      <c r="V103" s="73"/>
      <c r="W103" s="73">
        <f>ROUNDUP((R103*($D$55+$D$56)/1.25)*2+R103*4,0)</f>
        <v>55</v>
      </c>
      <c r="X103" s="377">
        <f t="shared" si="20"/>
        <v>13</v>
      </c>
      <c r="Y103" s="52"/>
      <c r="Z103" s="52"/>
      <c r="AA103" s="120"/>
      <c r="AB103" s="52"/>
    </row>
    <row r="104" spans="3:28" hidden="1">
      <c r="C104" s="75"/>
      <c r="D104" s="129"/>
      <c r="E104" s="129"/>
      <c r="F104" s="357"/>
      <c r="G104" s="357"/>
      <c r="H104" s="357"/>
      <c r="I104" s="357"/>
      <c r="J104" s="73"/>
      <c r="K104" s="73"/>
      <c r="L104" s="357"/>
      <c r="M104" s="357"/>
      <c r="N104" s="357"/>
      <c r="O104" s="357"/>
      <c r="P104" s="73"/>
      <c r="Q104" s="73"/>
      <c r="R104" s="357"/>
      <c r="S104" s="357"/>
      <c r="T104" s="357"/>
      <c r="U104" s="357"/>
      <c r="V104" s="73"/>
      <c r="W104" s="73"/>
      <c r="X104" s="357"/>
      <c r="Y104" s="52"/>
      <c r="Z104" s="52"/>
      <c r="AA104" s="120"/>
      <c r="AB104" s="52"/>
    </row>
    <row r="105" spans="3:28" ht="15.75" hidden="1" thickBot="1">
      <c r="C105" s="112" t="s">
        <v>785</v>
      </c>
      <c r="D105" s="113"/>
      <c r="E105" s="114" t="s">
        <v>774</v>
      </c>
      <c r="F105" s="115">
        <v>44</v>
      </c>
      <c r="G105" s="116">
        <v>36</v>
      </c>
      <c r="H105" s="117">
        <v>28</v>
      </c>
      <c r="I105" s="118">
        <f>SUM(F105:H105)</f>
        <v>108</v>
      </c>
      <c r="J105" s="73"/>
      <c r="K105" s="73"/>
      <c r="L105" s="116">
        <v>28</v>
      </c>
      <c r="M105" s="116">
        <v>28</v>
      </c>
      <c r="N105" s="117">
        <v>28</v>
      </c>
      <c r="O105" s="118">
        <f>SUM(L105:N105)</f>
        <v>84</v>
      </c>
      <c r="P105" s="73"/>
      <c r="Q105" s="73"/>
      <c r="R105" s="116">
        <v>28</v>
      </c>
      <c r="S105" s="116">
        <v>28</v>
      </c>
      <c r="T105" s="117"/>
      <c r="U105" s="118">
        <f>SUM(R105:T105)</f>
        <v>56</v>
      </c>
      <c r="V105" s="73"/>
      <c r="W105" s="73"/>
      <c r="X105" s="119">
        <f t="shared" ref="X105:X115" si="27">SUM(I105,O105,U105)</f>
        <v>248</v>
      </c>
      <c r="Y105" s="52"/>
      <c r="Z105" s="52"/>
      <c r="AA105" s="120"/>
      <c r="AB105" s="52"/>
    </row>
    <row r="106" spans="3:28" ht="15.75" hidden="1" thickBot="1">
      <c r="C106" s="121"/>
      <c r="D106" s="122"/>
      <c r="E106" s="123" t="s">
        <v>775</v>
      </c>
      <c r="F106" s="124">
        <v>11</v>
      </c>
      <c r="G106" s="125">
        <v>9</v>
      </c>
      <c r="H106" s="126">
        <v>7</v>
      </c>
      <c r="I106" s="127">
        <f t="shared" ref="I106:I114" si="28">SUM(F106:H106)</f>
        <v>27</v>
      </c>
      <c r="J106" s="104"/>
      <c r="K106" s="104">
        <f>I106*5</f>
        <v>135</v>
      </c>
      <c r="L106" s="125">
        <v>7</v>
      </c>
      <c r="M106" s="125">
        <v>7</v>
      </c>
      <c r="N106" s="126">
        <v>7</v>
      </c>
      <c r="O106" s="127">
        <f t="shared" ref="O106:O114" si="29">SUM(L106:N106)</f>
        <v>21</v>
      </c>
      <c r="P106" s="104"/>
      <c r="Q106" s="104">
        <f>O106*5</f>
        <v>105</v>
      </c>
      <c r="R106" s="125">
        <v>7</v>
      </c>
      <c r="S106" s="125">
        <v>7</v>
      </c>
      <c r="T106" s="126"/>
      <c r="U106" s="127">
        <f t="shared" ref="U106:U114" si="30">SUM(R106:T106)</f>
        <v>14</v>
      </c>
      <c r="V106" s="104"/>
      <c r="W106" s="104">
        <f>U106*5</f>
        <v>70</v>
      </c>
      <c r="X106" s="128">
        <f t="shared" si="27"/>
        <v>62</v>
      </c>
      <c r="Y106" s="52"/>
      <c r="Z106" s="52"/>
      <c r="AA106" s="120"/>
      <c r="AB106" s="52"/>
    </row>
    <row r="107" spans="3:28" ht="15.75" hidden="1" thickBot="1">
      <c r="C107" s="75"/>
      <c r="D107" s="129"/>
      <c r="E107" s="130" t="s">
        <v>776</v>
      </c>
      <c r="F107" s="131">
        <v>15</v>
      </c>
      <c r="G107" s="132">
        <v>11</v>
      </c>
      <c r="H107" s="133">
        <v>8</v>
      </c>
      <c r="I107" s="134">
        <f t="shared" si="28"/>
        <v>34</v>
      </c>
      <c r="J107" s="73"/>
      <c r="K107" s="73"/>
      <c r="L107" s="132">
        <v>10</v>
      </c>
      <c r="M107" s="132">
        <v>8</v>
      </c>
      <c r="N107" s="133">
        <v>8</v>
      </c>
      <c r="O107" s="134">
        <f t="shared" si="29"/>
        <v>26</v>
      </c>
      <c r="P107" s="73"/>
      <c r="Q107" s="73"/>
      <c r="R107" s="132">
        <v>10</v>
      </c>
      <c r="S107" s="132">
        <v>8</v>
      </c>
      <c r="T107" s="133"/>
      <c r="U107" s="134">
        <f t="shared" si="30"/>
        <v>18</v>
      </c>
      <c r="V107" s="73"/>
      <c r="W107" s="73"/>
      <c r="X107" s="135">
        <f t="shared" si="27"/>
        <v>78</v>
      </c>
      <c r="Y107" s="52"/>
      <c r="Z107" s="52"/>
      <c r="AA107" s="120"/>
      <c r="AB107" s="52"/>
    </row>
    <row r="108" spans="3:28" ht="15.75" hidden="1" thickBot="1">
      <c r="C108" s="121"/>
      <c r="D108" s="122"/>
      <c r="E108" s="123" t="s">
        <v>777</v>
      </c>
      <c r="F108" s="136">
        <f t="shared" ref="F108:H109" si="31">F106</f>
        <v>11</v>
      </c>
      <c r="G108" s="137">
        <f t="shared" si="31"/>
        <v>9</v>
      </c>
      <c r="H108" s="353">
        <f t="shared" si="31"/>
        <v>7</v>
      </c>
      <c r="I108" s="127">
        <f t="shared" si="28"/>
        <v>27</v>
      </c>
      <c r="J108" s="104">
        <f>I108*4</f>
        <v>108</v>
      </c>
      <c r="K108" s="104"/>
      <c r="L108" s="137">
        <f t="shared" ref="L108:N109" si="32">L106</f>
        <v>7</v>
      </c>
      <c r="M108" s="137">
        <f t="shared" si="32"/>
        <v>7</v>
      </c>
      <c r="N108" s="353">
        <f t="shared" si="32"/>
        <v>7</v>
      </c>
      <c r="O108" s="127">
        <f t="shared" si="29"/>
        <v>21</v>
      </c>
      <c r="P108" s="104">
        <f>O108*4</f>
        <v>84</v>
      </c>
      <c r="Q108" s="104"/>
      <c r="R108" s="137">
        <f>R106</f>
        <v>7</v>
      </c>
      <c r="S108" s="137">
        <f>S106</f>
        <v>7</v>
      </c>
      <c r="T108" s="353"/>
      <c r="U108" s="127">
        <f t="shared" si="30"/>
        <v>14</v>
      </c>
      <c r="V108" s="104">
        <f>U108*4</f>
        <v>56</v>
      </c>
      <c r="W108" s="104"/>
      <c r="X108" s="128">
        <f t="shared" si="27"/>
        <v>62</v>
      </c>
      <c r="Y108" s="52"/>
      <c r="Z108" s="52"/>
      <c r="AA108" s="120"/>
      <c r="AB108" s="52"/>
    </row>
    <row r="109" spans="3:28" ht="15.75" hidden="1" thickBot="1">
      <c r="C109" s="75"/>
      <c r="D109" s="129"/>
      <c r="E109" s="130" t="s">
        <v>778</v>
      </c>
      <c r="F109" s="138">
        <f t="shared" si="31"/>
        <v>15</v>
      </c>
      <c r="G109" s="139">
        <f t="shared" si="31"/>
        <v>11</v>
      </c>
      <c r="H109" s="140">
        <f t="shared" si="31"/>
        <v>8</v>
      </c>
      <c r="I109" s="141">
        <f>SUM(F109:H109)/6</f>
        <v>5.666666666666667</v>
      </c>
      <c r="J109" s="142">
        <f>I109*4</f>
        <v>22.666666666666668</v>
      </c>
      <c r="K109" s="73"/>
      <c r="L109" s="139">
        <f t="shared" si="32"/>
        <v>10</v>
      </c>
      <c r="M109" s="139">
        <f t="shared" si="32"/>
        <v>8</v>
      </c>
      <c r="N109" s="140">
        <f t="shared" si="32"/>
        <v>8</v>
      </c>
      <c r="O109" s="141">
        <f>SUM(L109:N109)/6</f>
        <v>4.333333333333333</v>
      </c>
      <c r="P109" s="142">
        <f>O109*4</f>
        <v>17.333333333333332</v>
      </c>
      <c r="Q109" s="73"/>
      <c r="R109" s="139">
        <f>R107</f>
        <v>10</v>
      </c>
      <c r="S109" s="139">
        <f>S107</f>
        <v>8</v>
      </c>
      <c r="T109" s="140"/>
      <c r="U109" s="141">
        <f>SUM(R109:T109)/6</f>
        <v>3</v>
      </c>
      <c r="V109" s="142">
        <f>U109*4</f>
        <v>12</v>
      </c>
      <c r="W109" s="73"/>
      <c r="X109" s="135">
        <f t="shared" si="27"/>
        <v>13</v>
      </c>
      <c r="Y109" s="52"/>
      <c r="Z109" s="52"/>
      <c r="AA109" s="120"/>
      <c r="AB109" s="52"/>
    </row>
    <row r="110" spans="3:28" ht="15.75" hidden="1" thickBot="1">
      <c r="C110" s="121"/>
      <c r="D110" s="122"/>
      <c r="E110" s="123" t="s">
        <v>779</v>
      </c>
      <c r="F110" s="136">
        <f t="shared" ref="F110:H111" si="33">F106</f>
        <v>11</v>
      </c>
      <c r="G110" s="137">
        <f t="shared" si="33"/>
        <v>9</v>
      </c>
      <c r="H110" s="353">
        <f t="shared" si="33"/>
        <v>7</v>
      </c>
      <c r="I110" s="127">
        <f t="shared" si="28"/>
        <v>27</v>
      </c>
      <c r="J110" s="104"/>
      <c r="K110" s="104"/>
      <c r="L110" s="137">
        <f t="shared" ref="L110:N111" si="34">L106</f>
        <v>7</v>
      </c>
      <c r="M110" s="137">
        <f t="shared" si="34"/>
        <v>7</v>
      </c>
      <c r="N110" s="353">
        <f t="shared" si="34"/>
        <v>7</v>
      </c>
      <c r="O110" s="127">
        <f t="shared" si="29"/>
        <v>21</v>
      </c>
      <c r="P110" s="104"/>
      <c r="Q110" s="104"/>
      <c r="R110" s="137">
        <f>R106</f>
        <v>7</v>
      </c>
      <c r="S110" s="137">
        <f>S106</f>
        <v>7</v>
      </c>
      <c r="T110" s="353"/>
      <c r="U110" s="127">
        <f t="shared" si="30"/>
        <v>14</v>
      </c>
      <c r="V110" s="104"/>
      <c r="W110" s="104"/>
      <c r="X110" s="128">
        <f t="shared" si="27"/>
        <v>62</v>
      </c>
      <c r="Y110" s="52"/>
      <c r="Z110" s="52"/>
      <c r="AA110" s="120"/>
      <c r="AB110" s="52"/>
    </row>
    <row r="111" spans="3:28" ht="15.75" hidden="1" thickBot="1">
      <c r="C111" s="75"/>
      <c r="D111" s="129"/>
      <c r="E111" s="130" t="s">
        <v>780</v>
      </c>
      <c r="F111" s="138">
        <f t="shared" si="33"/>
        <v>15</v>
      </c>
      <c r="G111" s="138">
        <f t="shared" si="33"/>
        <v>11</v>
      </c>
      <c r="H111" s="143">
        <f t="shared" si="33"/>
        <v>8</v>
      </c>
      <c r="I111" s="134">
        <f t="shared" si="28"/>
        <v>34</v>
      </c>
      <c r="J111" s="73">
        <f>I111*2</f>
        <v>68</v>
      </c>
      <c r="K111" s="73"/>
      <c r="L111" s="139">
        <f t="shared" si="34"/>
        <v>10</v>
      </c>
      <c r="M111" s="139">
        <f t="shared" si="34"/>
        <v>8</v>
      </c>
      <c r="N111" s="140">
        <f t="shared" si="34"/>
        <v>8</v>
      </c>
      <c r="O111" s="134">
        <f t="shared" si="29"/>
        <v>26</v>
      </c>
      <c r="P111" s="73">
        <f>O111*2</f>
        <v>52</v>
      </c>
      <c r="Q111" s="73"/>
      <c r="R111" s="139">
        <f>R107</f>
        <v>10</v>
      </c>
      <c r="S111" s="139">
        <f>S107</f>
        <v>8</v>
      </c>
      <c r="T111" s="140"/>
      <c r="U111" s="134">
        <f t="shared" si="30"/>
        <v>18</v>
      </c>
      <c r="V111" s="73">
        <f>U111*2</f>
        <v>36</v>
      </c>
      <c r="W111" s="73"/>
      <c r="X111" s="135">
        <f t="shared" si="27"/>
        <v>78</v>
      </c>
      <c r="Y111" s="52"/>
      <c r="Z111" s="52"/>
      <c r="AA111" s="120"/>
      <c r="AB111" s="52"/>
    </row>
    <row r="112" spans="3:28" ht="15.75" hidden="1" thickBot="1">
      <c r="C112" s="121"/>
      <c r="D112" s="122"/>
      <c r="E112" s="123" t="s">
        <v>781</v>
      </c>
      <c r="F112" s="136">
        <f>F106</f>
        <v>11</v>
      </c>
      <c r="G112" s="136">
        <f>G106</f>
        <v>9</v>
      </c>
      <c r="H112" s="352">
        <f>H106</f>
        <v>7</v>
      </c>
      <c r="I112" s="127">
        <f t="shared" si="28"/>
        <v>27</v>
      </c>
      <c r="J112" s="104"/>
      <c r="K112" s="104"/>
      <c r="L112" s="137">
        <f>L106</f>
        <v>7</v>
      </c>
      <c r="M112" s="137">
        <f>M106</f>
        <v>7</v>
      </c>
      <c r="N112" s="353">
        <f>N106</f>
        <v>7</v>
      </c>
      <c r="O112" s="127">
        <f t="shared" si="29"/>
        <v>21</v>
      </c>
      <c r="P112" s="104"/>
      <c r="Q112" s="104"/>
      <c r="R112" s="137">
        <f>R106</f>
        <v>7</v>
      </c>
      <c r="S112" s="137">
        <f>S106</f>
        <v>7</v>
      </c>
      <c r="T112" s="353"/>
      <c r="U112" s="127">
        <f t="shared" si="30"/>
        <v>14</v>
      </c>
      <c r="V112" s="104"/>
      <c r="W112" s="104"/>
      <c r="X112" s="128">
        <f t="shared" si="27"/>
        <v>62</v>
      </c>
      <c r="Y112" s="52"/>
      <c r="Z112" s="52"/>
      <c r="AA112" s="120"/>
      <c r="AB112" s="52"/>
    </row>
    <row r="113" spans="3:31" ht="15.75" hidden="1" thickBot="1">
      <c r="C113" s="75"/>
      <c r="D113" s="129"/>
      <c r="E113" s="130" t="s">
        <v>782</v>
      </c>
      <c r="F113" s="138">
        <f>F106</f>
        <v>11</v>
      </c>
      <c r="G113" s="138">
        <f>G106</f>
        <v>9</v>
      </c>
      <c r="H113" s="143">
        <f>H106</f>
        <v>7</v>
      </c>
      <c r="I113" s="134">
        <f t="shared" si="28"/>
        <v>27</v>
      </c>
      <c r="J113" s="73">
        <f>I113*2</f>
        <v>54</v>
      </c>
      <c r="K113" s="73"/>
      <c r="L113" s="139">
        <f>L109</f>
        <v>10</v>
      </c>
      <c r="M113" s="139">
        <f>M109</f>
        <v>8</v>
      </c>
      <c r="N113" s="140">
        <f>N109</f>
        <v>8</v>
      </c>
      <c r="O113" s="134">
        <f t="shared" si="29"/>
        <v>26</v>
      </c>
      <c r="P113" s="73">
        <f>O113*2</f>
        <v>52</v>
      </c>
      <c r="Q113" s="73"/>
      <c r="R113" s="139">
        <f>R109</f>
        <v>10</v>
      </c>
      <c r="S113" s="139">
        <f>S109</f>
        <v>8</v>
      </c>
      <c r="T113" s="140"/>
      <c r="U113" s="134">
        <f t="shared" si="30"/>
        <v>18</v>
      </c>
      <c r="V113" s="73">
        <f>U113*2</f>
        <v>36</v>
      </c>
      <c r="W113" s="73"/>
      <c r="X113" s="135">
        <f t="shared" si="27"/>
        <v>71</v>
      </c>
      <c r="Y113" s="52"/>
      <c r="Z113" s="52"/>
      <c r="AA113" s="120"/>
      <c r="AB113" s="52"/>
    </row>
    <row r="114" spans="3:31" ht="15.75" hidden="1" thickBot="1">
      <c r="C114" s="369"/>
      <c r="D114" s="146"/>
      <c r="E114" s="147" t="s">
        <v>783</v>
      </c>
      <c r="F114" s="401">
        <v>6</v>
      </c>
      <c r="G114" s="401"/>
      <c r="H114" s="401"/>
      <c r="I114" s="127">
        <f t="shared" si="28"/>
        <v>6</v>
      </c>
      <c r="J114" s="104">
        <f>I114*2</f>
        <v>12</v>
      </c>
      <c r="K114" s="104"/>
      <c r="L114" s="402">
        <v>6</v>
      </c>
      <c r="M114" s="401"/>
      <c r="N114" s="401"/>
      <c r="O114" s="127">
        <f t="shared" si="29"/>
        <v>6</v>
      </c>
      <c r="P114" s="104">
        <f>O114*2</f>
        <v>12</v>
      </c>
      <c r="Q114" s="104"/>
      <c r="R114" s="402">
        <v>6</v>
      </c>
      <c r="S114" s="401"/>
      <c r="T114" s="172"/>
      <c r="U114" s="127">
        <f t="shared" si="30"/>
        <v>6</v>
      </c>
      <c r="V114" s="104">
        <f>U114*2</f>
        <v>12</v>
      </c>
      <c r="W114" s="104"/>
      <c r="X114" s="128">
        <f t="shared" si="27"/>
        <v>18</v>
      </c>
      <c r="Y114" s="52"/>
      <c r="Z114" s="52"/>
      <c r="AA114" s="120"/>
      <c r="AB114" s="52"/>
    </row>
    <row r="115" spans="3:31" ht="15.75" hidden="1" thickBot="1">
      <c r="C115" s="365"/>
      <c r="D115" s="144"/>
      <c r="E115" s="145" t="s">
        <v>784</v>
      </c>
      <c r="F115" s="414">
        <f>I107/6</f>
        <v>5.666666666666667</v>
      </c>
      <c r="G115" s="415"/>
      <c r="H115" s="415"/>
      <c r="I115" s="366">
        <f>F115</f>
        <v>5.666666666666667</v>
      </c>
      <c r="J115" s="73"/>
      <c r="K115" s="73">
        <f>ROUNDUP((F115*($D$55+$D$56)/1.25)*2+F115*4,0)</f>
        <v>103</v>
      </c>
      <c r="L115" s="414">
        <f>O107/6</f>
        <v>4.333333333333333</v>
      </c>
      <c r="M115" s="415"/>
      <c r="N115" s="415"/>
      <c r="O115" s="366">
        <f>L115</f>
        <v>4.333333333333333</v>
      </c>
      <c r="P115" s="73"/>
      <c r="Q115" s="73">
        <f>ROUNDUP((L115*($D$55+$D$56)/1.25)*2+L115*4,0)</f>
        <v>79</v>
      </c>
      <c r="R115" s="414">
        <f>U107/6</f>
        <v>3</v>
      </c>
      <c r="S115" s="416"/>
      <c r="T115" s="173"/>
      <c r="U115" s="366">
        <f>R115</f>
        <v>3</v>
      </c>
      <c r="V115" s="73"/>
      <c r="W115" s="73">
        <f>ROUNDUP((R115*($D$55+$D$56)/1.25)*2+R115*4,0)</f>
        <v>55</v>
      </c>
      <c r="X115" s="377">
        <f t="shared" si="27"/>
        <v>13</v>
      </c>
      <c r="Y115" s="52"/>
      <c r="Z115" s="52"/>
      <c r="AA115" s="120"/>
      <c r="AB115" s="52"/>
    </row>
    <row r="116" spans="3:31" hidden="1">
      <c r="C116" s="148"/>
      <c r="D116" s="129"/>
      <c r="E116" s="129"/>
      <c r="F116" s="149"/>
      <c r="G116" s="149"/>
      <c r="H116" s="149"/>
      <c r="I116" s="150" t="s">
        <v>786</v>
      </c>
      <c r="J116" s="150">
        <f>SUM(J93:J114)</f>
        <v>529.33333333333326</v>
      </c>
      <c r="K116" s="150">
        <f>SUM(K93:K115)</f>
        <v>476</v>
      </c>
      <c r="L116" s="149"/>
      <c r="M116" s="149"/>
      <c r="N116" s="149"/>
      <c r="O116" s="150" t="s">
        <v>786</v>
      </c>
      <c r="P116" s="150">
        <f>SUM(P93:P114)</f>
        <v>434.66666666666663</v>
      </c>
      <c r="Q116" s="150">
        <f>SUM(Q93:Q114)</f>
        <v>289</v>
      </c>
      <c r="R116" s="149"/>
      <c r="S116" s="149"/>
      <c r="T116" s="149"/>
      <c r="U116" s="150" t="s">
        <v>786</v>
      </c>
      <c r="V116" s="150">
        <f>SUM(V93:V114)</f>
        <v>304</v>
      </c>
      <c r="W116" s="150">
        <f>SUM(W93:W114)</f>
        <v>195</v>
      </c>
      <c r="X116" s="74"/>
      <c r="Y116" s="52"/>
      <c r="Z116" s="52"/>
      <c r="AA116" s="120"/>
      <c r="AB116" s="52"/>
    </row>
    <row r="117" spans="3:31" ht="35.450000000000003" hidden="1" customHeight="1">
      <c r="C117" s="417" t="s">
        <v>787</v>
      </c>
      <c r="D117" s="418"/>
      <c r="E117" s="418"/>
      <c r="F117" s="419">
        <f>(F103+F115)*($D$56*1.5+ $D$55*2.5)</f>
        <v>163.642</v>
      </c>
      <c r="G117" s="419"/>
      <c r="H117" s="419"/>
      <c r="I117" s="151" t="s">
        <v>788</v>
      </c>
      <c r="J117" s="73"/>
      <c r="K117" s="152"/>
      <c r="L117" s="419">
        <f>(L103+L115)*($D$56*1.5+ $D$55*2.5)</f>
        <v>125.13799999999999</v>
      </c>
      <c r="M117" s="419"/>
      <c r="N117" s="419"/>
      <c r="O117" s="151" t="s">
        <v>788</v>
      </c>
      <c r="P117" s="73"/>
      <c r="Q117" s="152"/>
      <c r="R117" s="419">
        <f>(R103+R115)*($D$56*1.5+ $D$55*2.5)</f>
        <v>86.634</v>
      </c>
      <c r="S117" s="419"/>
      <c r="T117" s="419"/>
      <c r="U117" s="151" t="s">
        <v>788</v>
      </c>
      <c r="V117" s="73"/>
      <c r="W117" s="152"/>
      <c r="X117" s="358">
        <f>SUM(F117,L117,R117)</f>
        <v>375.41399999999999</v>
      </c>
      <c r="Y117" s="151" t="s">
        <v>788</v>
      </c>
      <c r="Z117" s="52"/>
      <c r="AA117" s="120"/>
      <c r="AB117" s="52"/>
    </row>
    <row r="118" spans="3:31" ht="36" hidden="1" customHeight="1">
      <c r="C118" s="417" t="s">
        <v>789</v>
      </c>
      <c r="D118" s="418"/>
      <c r="E118" s="418"/>
      <c r="F118" s="419">
        <f>(9)*($D$58*1.2+$D$59*1.5+$D$60*2.5)</f>
        <v>39.4803</v>
      </c>
      <c r="G118" s="419"/>
      <c r="H118" s="419"/>
      <c r="I118" s="151" t="s">
        <v>788</v>
      </c>
      <c r="J118" s="357"/>
      <c r="K118" s="52"/>
      <c r="L118" s="419">
        <f>(6)*($D$58*1.2+$D$59*1.5+$D$60*2.5)</f>
        <v>26.3202</v>
      </c>
      <c r="M118" s="419"/>
      <c r="N118" s="419"/>
      <c r="O118" s="151" t="s">
        <v>788</v>
      </c>
      <c r="P118" s="357"/>
      <c r="Q118" s="52"/>
      <c r="R118" s="419">
        <f>(6)*($D$58*1.2+$D$59*1.5+$D$60*2.5)</f>
        <v>26.3202</v>
      </c>
      <c r="S118" s="419"/>
      <c r="T118" s="419"/>
      <c r="U118" s="151" t="s">
        <v>788</v>
      </c>
      <c r="V118" s="357"/>
      <c r="W118" s="52"/>
      <c r="X118" s="358">
        <f>SUM(F118,L118,R118)</f>
        <v>92.120699999999999</v>
      </c>
      <c r="Y118" s="151" t="s">
        <v>788</v>
      </c>
      <c r="Z118" s="52"/>
      <c r="AA118" s="120"/>
      <c r="AB118" s="52"/>
    </row>
    <row r="119" spans="3:31" ht="22.35" hidden="1" customHeight="1">
      <c r="C119" s="75"/>
      <c r="D119" s="129"/>
      <c r="E119" s="76"/>
      <c r="F119" s="71"/>
      <c r="G119" s="71"/>
      <c r="H119" s="71"/>
      <c r="I119" s="153"/>
      <c r="J119" s="357"/>
      <c r="K119" s="52"/>
      <c r="L119" s="71"/>
      <c r="M119" s="71"/>
      <c r="N119" s="71"/>
      <c r="O119" s="153"/>
      <c r="P119" s="357"/>
      <c r="Q119" s="52"/>
      <c r="R119" s="71"/>
      <c r="S119" s="71"/>
      <c r="T119" s="71"/>
      <c r="U119" s="151"/>
      <c r="V119" s="73"/>
      <c r="W119" s="154" t="s">
        <v>790</v>
      </c>
      <c r="X119" s="358">
        <f>SUM(X117:X118)</f>
        <v>467.53469999999999</v>
      </c>
      <c r="Y119" s="151" t="s">
        <v>788</v>
      </c>
      <c r="Z119" s="52"/>
      <c r="AA119" s="120"/>
      <c r="AB119" s="52"/>
    </row>
    <row r="120" spans="3:31" hidden="1">
      <c r="C120" s="75"/>
      <c r="D120" s="129"/>
      <c r="E120" s="129"/>
      <c r="F120" s="412"/>
      <c r="G120" s="413"/>
      <c r="H120" s="413"/>
      <c r="I120" s="357"/>
      <c r="J120" s="357"/>
      <c r="K120" s="52"/>
      <c r="L120" s="82" t="s">
        <v>791</v>
      </c>
      <c r="M120" s="357"/>
      <c r="N120" s="357"/>
      <c r="O120" s="357"/>
      <c r="P120" s="357"/>
      <c r="Q120" s="52"/>
      <c r="R120" s="412"/>
      <c r="S120" s="413"/>
      <c r="T120" s="413"/>
      <c r="U120" s="357"/>
      <c r="V120" s="357"/>
      <c r="W120" s="357"/>
      <c r="X120" s="153"/>
      <c r="Y120" s="357"/>
      <c r="Z120" s="52"/>
      <c r="AA120" s="120"/>
      <c r="AB120" s="52"/>
    </row>
    <row r="121" spans="3:31" hidden="1">
      <c r="C121" s="155" t="s">
        <v>792</v>
      </c>
      <c r="D121" s="129">
        <v>1.2</v>
      </c>
      <c r="E121" s="156" t="s">
        <v>793</v>
      </c>
      <c r="F121" s="410" t="s">
        <v>794</v>
      </c>
      <c r="G121" s="411"/>
      <c r="H121" s="411"/>
      <c r="I121" s="157" t="s">
        <v>795</v>
      </c>
      <c r="J121" s="357"/>
      <c r="K121" s="52"/>
      <c r="L121" s="412"/>
      <c r="M121" s="413"/>
      <c r="N121" s="413"/>
      <c r="O121" s="357"/>
      <c r="P121" s="357"/>
      <c r="Q121" s="52"/>
      <c r="R121" s="412"/>
      <c r="S121" s="413"/>
      <c r="T121" s="413"/>
      <c r="U121" s="357"/>
      <c r="V121" s="357"/>
      <c r="W121" s="357"/>
      <c r="X121" s="357"/>
      <c r="Y121" s="357"/>
      <c r="Z121" s="52"/>
      <c r="AA121" s="120"/>
      <c r="AB121" s="52"/>
    </row>
    <row r="122" spans="3:31" hidden="1">
      <c r="C122" s="155" t="s">
        <v>796</v>
      </c>
      <c r="D122" s="129">
        <v>7.6260000000000003</v>
      </c>
      <c r="E122" s="156" t="s">
        <v>793</v>
      </c>
      <c r="F122" s="412"/>
      <c r="G122" s="413"/>
      <c r="H122" s="413"/>
      <c r="I122" s="157" t="s">
        <v>797</v>
      </c>
      <c r="J122" s="357"/>
      <c r="K122" s="52"/>
      <c r="L122" s="412"/>
      <c r="M122" s="413"/>
      <c r="N122" s="413"/>
      <c r="O122" s="357"/>
      <c r="P122" s="357"/>
      <c r="Q122" s="52"/>
      <c r="R122" s="412"/>
      <c r="S122" s="413"/>
      <c r="T122" s="413"/>
      <c r="U122" s="357"/>
      <c r="V122" s="357"/>
      <c r="W122" s="357"/>
      <c r="X122" s="357"/>
      <c r="Y122" s="357"/>
      <c r="Z122" s="52"/>
      <c r="AA122" s="120"/>
      <c r="AB122" s="52"/>
    </row>
    <row r="123" spans="3:31" hidden="1">
      <c r="C123" s="75"/>
      <c r="D123" s="52"/>
      <c r="E123" s="52"/>
      <c r="F123" s="52"/>
      <c r="G123" s="52"/>
      <c r="H123" s="52"/>
      <c r="I123" s="158" t="s">
        <v>798</v>
      </c>
      <c r="J123" s="52"/>
      <c r="K123" s="52"/>
      <c r="L123" s="357"/>
      <c r="M123" s="357"/>
      <c r="N123" s="357"/>
      <c r="O123" s="52" t="s">
        <v>799</v>
      </c>
      <c r="P123" s="52"/>
      <c r="Q123" s="52"/>
      <c r="R123" s="357"/>
      <c r="S123" s="357"/>
      <c r="T123" s="357"/>
      <c r="U123" s="52" t="s">
        <v>799</v>
      </c>
      <c r="V123" s="52"/>
      <c r="W123" s="52"/>
      <c r="X123" s="159"/>
      <c r="Y123" s="159"/>
      <c r="Z123" s="52"/>
      <c r="AA123" s="120"/>
      <c r="AB123" s="52"/>
    </row>
    <row r="124" spans="3:31" hidden="1">
      <c r="C124" s="155" t="s">
        <v>800</v>
      </c>
      <c r="D124" s="52">
        <f>1.271</f>
        <v>1.2709999999999999</v>
      </c>
      <c r="E124" s="156" t="s">
        <v>801</v>
      </c>
      <c r="F124" s="52"/>
      <c r="G124" s="52"/>
      <c r="H124" s="52"/>
      <c r="I124" s="158"/>
      <c r="J124" s="52"/>
      <c r="K124" s="52"/>
      <c r="L124" s="357"/>
      <c r="M124" s="357"/>
      <c r="N124" s="357"/>
      <c r="O124" s="52"/>
      <c r="P124" s="52"/>
      <c r="Q124" s="52"/>
      <c r="R124" s="357"/>
      <c r="S124" s="357"/>
      <c r="T124" s="357"/>
      <c r="U124" s="52"/>
      <c r="V124" s="52"/>
      <c r="W124" s="52"/>
      <c r="X124" s="159"/>
      <c r="Y124" s="159"/>
      <c r="Z124" s="52"/>
      <c r="AA124" s="120"/>
      <c r="AB124" s="52"/>
    </row>
    <row r="125" spans="3:31" hidden="1">
      <c r="C125" s="155" t="s">
        <v>800</v>
      </c>
      <c r="D125" s="52">
        <f>1.491</f>
        <v>1.4910000000000001</v>
      </c>
      <c r="E125" s="156" t="s">
        <v>802</v>
      </c>
      <c r="F125" s="52"/>
      <c r="G125" s="52"/>
      <c r="H125" s="52"/>
      <c r="I125" s="158"/>
      <c r="J125" s="52"/>
      <c r="K125" s="52"/>
      <c r="L125" s="357"/>
      <c r="M125" s="357"/>
      <c r="N125" s="357"/>
      <c r="O125" s="52"/>
      <c r="P125" s="52"/>
      <c r="Q125" s="52"/>
      <c r="R125" s="357"/>
      <c r="S125" s="357"/>
      <c r="T125" s="357"/>
      <c r="U125" s="52"/>
      <c r="V125" s="52"/>
      <c r="W125" s="52"/>
      <c r="X125" s="159"/>
      <c r="Y125" s="159"/>
      <c r="Z125" s="52"/>
      <c r="AA125" s="120"/>
      <c r="AB125" s="52"/>
    </row>
    <row r="126" spans="3:31" hidden="1">
      <c r="C126" s="155" t="s">
        <v>803</v>
      </c>
      <c r="D126" s="52">
        <f>0.25</f>
        <v>0.25</v>
      </c>
      <c r="E126" s="174" t="s">
        <v>823</v>
      </c>
      <c r="F126" s="52"/>
      <c r="G126" s="52"/>
      <c r="H126" s="52"/>
      <c r="I126" s="158"/>
      <c r="J126" s="52"/>
      <c r="K126" s="52"/>
      <c r="L126" s="357"/>
      <c r="M126" s="357"/>
      <c r="N126" s="357"/>
      <c r="O126" s="52"/>
      <c r="P126" s="52"/>
      <c r="Q126" s="52"/>
      <c r="R126" s="357"/>
      <c r="S126" s="357"/>
      <c r="T126" s="357"/>
      <c r="U126" s="52"/>
      <c r="V126" s="52"/>
      <c r="W126" s="52"/>
      <c r="X126" s="159"/>
      <c r="Y126" s="159"/>
      <c r="Z126" s="52"/>
      <c r="AA126" s="120"/>
      <c r="AB126" s="52"/>
    </row>
    <row r="127" spans="3:31" hidden="1">
      <c r="C127" s="75"/>
      <c r="D127" s="52"/>
      <c r="E127" s="52"/>
      <c r="F127" s="52"/>
      <c r="G127" s="52"/>
      <c r="H127" s="52"/>
      <c r="I127" s="52"/>
      <c r="J127" s="52"/>
      <c r="K127" s="52"/>
      <c r="L127" s="357"/>
      <c r="M127" s="357"/>
      <c r="N127" s="357"/>
      <c r="O127" s="52"/>
      <c r="P127" s="52"/>
      <c r="Q127" s="52"/>
      <c r="R127" s="357"/>
      <c r="S127" s="357"/>
      <c r="T127" s="357"/>
      <c r="U127" s="52"/>
      <c r="V127" s="52"/>
      <c r="W127" s="52"/>
      <c r="X127" s="159"/>
      <c r="Y127" s="159"/>
      <c r="Z127" s="52"/>
      <c r="AA127" s="120"/>
      <c r="AC127" s="160"/>
      <c r="AE127" s="160" t="s">
        <v>805</v>
      </c>
    </row>
    <row r="128" spans="3:31" hidden="1">
      <c r="C128" s="75"/>
      <c r="D128" s="161" t="s">
        <v>806</v>
      </c>
      <c r="E128" s="158" t="s">
        <v>807</v>
      </c>
      <c r="F128" s="52"/>
      <c r="G128" s="52"/>
      <c r="H128" s="355" t="s">
        <v>808</v>
      </c>
      <c r="I128" s="52">
        <f>(I110+I98)/8</f>
        <v>6.75</v>
      </c>
      <c r="J128" s="356" t="s">
        <v>807</v>
      </c>
      <c r="K128" s="52">
        <f>ROUNDUP(MAX(I128,I130),0)</f>
        <v>9</v>
      </c>
      <c r="L128" s="157" t="s">
        <v>809</v>
      </c>
      <c r="M128" s="357"/>
      <c r="N128" s="357"/>
      <c r="O128" s="52">
        <f>(O110+O98)/8</f>
        <v>5.25</v>
      </c>
      <c r="P128" s="356" t="s">
        <v>807</v>
      </c>
      <c r="Q128" s="52">
        <f>ROUNDUP(MAX(O128,O130),0)</f>
        <v>7</v>
      </c>
      <c r="R128" s="157" t="s">
        <v>809</v>
      </c>
      <c r="S128" s="357"/>
      <c r="T128" s="357"/>
      <c r="U128" s="52">
        <f>(U110+U98)/8</f>
        <v>3.5</v>
      </c>
      <c r="V128" s="356" t="s">
        <v>807</v>
      </c>
      <c r="W128" s="52">
        <f>ROUNDUP(MAX(U128,U130),0)</f>
        <v>5</v>
      </c>
      <c r="X128" s="157" t="s">
        <v>809</v>
      </c>
      <c r="Y128" s="159"/>
      <c r="Z128" s="52"/>
      <c r="AA128" s="120"/>
      <c r="AB128" s="52">
        <f>SUM(K128,Q128,W128)</f>
        <v>21</v>
      </c>
      <c r="AC128" s="63" t="s">
        <v>810</v>
      </c>
    </row>
    <row r="129" spans="3:29" hidden="1">
      <c r="C129" s="75"/>
      <c r="D129" s="161" t="s">
        <v>811</v>
      </c>
      <c r="E129" s="158" t="s">
        <v>807</v>
      </c>
      <c r="F129" s="52"/>
      <c r="G129" s="52"/>
      <c r="H129" s="355" t="s">
        <v>812</v>
      </c>
      <c r="I129" s="52">
        <f>(I96+I97+I108+I109)/16</f>
        <v>4.083333333333333</v>
      </c>
      <c r="J129" s="356" t="s">
        <v>807</v>
      </c>
      <c r="K129" s="52">
        <f>ROUNDUP(I129,0)</f>
        <v>5</v>
      </c>
      <c r="L129" s="157" t="s">
        <v>813</v>
      </c>
      <c r="M129" s="357"/>
      <c r="N129" s="357"/>
      <c r="O129" s="52">
        <f>(O96+O97+O108+O109)/16</f>
        <v>3.1666666666666665</v>
      </c>
      <c r="P129" s="356" t="s">
        <v>807</v>
      </c>
      <c r="Q129" s="52">
        <f>ROUNDUP(O129,0)</f>
        <v>4</v>
      </c>
      <c r="R129" s="157" t="s">
        <v>813</v>
      </c>
      <c r="S129" s="357"/>
      <c r="T129" s="357"/>
      <c r="U129" s="52">
        <f>(U96+U97+U108+U109)/16</f>
        <v>2.125</v>
      </c>
      <c r="V129" s="356" t="s">
        <v>807</v>
      </c>
      <c r="W129" s="52">
        <f>ROUNDUP(U129,0)</f>
        <v>3</v>
      </c>
      <c r="X129" s="157" t="s">
        <v>813</v>
      </c>
      <c r="Y129" s="159"/>
      <c r="Z129" s="52"/>
      <c r="AA129" s="120"/>
      <c r="AB129" s="52">
        <f>SUM(K129,Q129,W129)</f>
        <v>12</v>
      </c>
      <c r="AC129" s="63" t="s">
        <v>814</v>
      </c>
    </row>
    <row r="130" spans="3:29" hidden="1">
      <c r="C130" s="75"/>
      <c r="D130" s="161" t="s">
        <v>815</v>
      </c>
      <c r="E130" s="158" t="s">
        <v>807</v>
      </c>
      <c r="F130" s="52"/>
      <c r="G130" s="52"/>
      <c r="H130" s="355" t="s">
        <v>816</v>
      </c>
      <c r="I130" s="52">
        <f>(I99+I111)/8</f>
        <v>8.5</v>
      </c>
      <c r="J130" s="356" t="s">
        <v>807</v>
      </c>
      <c r="K130" s="52"/>
      <c r="L130" s="357"/>
      <c r="M130" s="357"/>
      <c r="N130" s="357"/>
      <c r="O130" s="52">
        <f>(O99+O111)/8</f>
        <v>6.5</v>
      </c>
      <c r="P130" s="356" t="s">
        <v>807</v>
      </c>
      <c r="Q130" s="52"/>
      <c r="R130" s="357"/>
      <c r="S130" s="357"/>
      <c r="T130" s="357"/>
      <c r="U130" s="52">
        <f>(U99+U111)/8</f>
        <v>4.5</v>
      </c>
      <c r="V130" s="356" t="s">
        <v>807</v>
      </c>
      <c r="W130" s="52"/>
      <c r="X130" s="357"/>
      <c r="Y130" s="159"/>
      <c r="Z130" s="52"/>
      <c r="AA130" s="120"/>
      <c r="AB130" s="52"/>
    </row>
    <row r="131" spans="3:29" hidden="1">
      <c r="C131" s="75"/>
      <c r="D131" s="52"/>
      <c r="E131" s="52"/>
      <c r="F131" s="52"/>
      <c r="G131" s="52"/>
      <c r="H131" s="355" t="s">
        <v>818</v>
      </c>
      <c r="I131" s="52">
        <v>7</v>
      </c>
      <c r="J131" s="52"/>
      <c r="K131" s="52"/>
      <c r="L131" s="357"/>
      <c r="M131" s="357"/>
      <c r="N131" s="355" t="s">
        <v>818</v>
      </c>
      <c r="O131" s="52">
        <v>7</v>
      </c>
      <c r="P131" s="52"/>
      <c r="Q131" s="52"/>
      <c r="R131" s="357"/>
      <c r="S131" s="357"/>
      <c r="T131" s="355" t="s">
        <v>818</v>
      </c>
      <c r="U131" s="52">
        <v>7</v>
      </c>
      <c r="V131" s="52"/>
      <c r="W131" s="52"/>
      <c r="X131" s="159"/>
      <c r="Y131" s="159"/>
      <c r="Z131" s="52"/>
      <c r="AA131" s="120"/>
      <c r="AB131" s="52"/>
    </row>
    <row r="132" spans="3:29" ht="15.75" hidden="1" thickBot="1">
      <c r="C132" s="365"/>
      <c r="D132" s="66"/>
      <c r="E132" s="66"/>
      <c r="F132" s="66"/>
      <c r="G132" s="66"/>
      <c r="H132" s="163"/>
      <c r="I132" s="66"/>
      <c r="J132" s="66"/>
      <c r="K132" s="66"/>
      <c r="L132" s="164"/>
      <c r="M132" s="164"/>
      <c r="N132" s="164"/>
      <c r="O132" s="66"/>
      <c r="P132" s="66"/>
      <c r="Q132" s="66"/>
      <c r="R132" s="164"/>
      <c r="S132" s="164"/>
      <c r="T132" s="164"/>
      <c r="U132" s="66"/>
      <c r="V132" s="66"/>
      <c r="W132" s="66"/>
      <c r="X132" s="165"/>
      <c r="Y132" s="165"/>
      <c r="Z132" s="66"/>
      <c r="AA132" s="166"/>
      <c r="AB132" s="52"/>
    </row>
    <row r="133" spans="3:29" hidden="1"/>
    <row r="134" spans="3:29" ht="15.75">
      <c r="N134" s="209"/>
    </row>
    <row r="135" spans="3:29" ht="15.75">
      <c r="N135" s="176"/>
    </row>
  </sheetData>
  <sheetProtection selectLockedCells="1" selectUnlockedCells="1"/>
  <mergeCells count="217">
    <mergeCell ref="F5:H5"/>
    <mergeCell ref="L5:N5"/>
    <mergeCell ref="R5:T5"/>
    <mergeCell ref="F6:H6"/>
    <mergeCell ref="L6:N6"/>
    <mergeCell ref="R6:T6"/>
    <mergeCell ref="J3:K4"/>
    <mergeCell ref="L3:L4"/>
    <mergeCell ref="M3:M4"/>
    <mergeCell ref="O3:O4"/>
    <mergeCell ref="P3:P4"/>
    <mergeCell ref="Q3:Q4"/>
    <mergeCell ref="L7:N7"/>
    <mergeCell ref="E10:E11"/>
    <mergeCell ref="F10:F11"/>
    <mergeCell ref="G10:G11"/>
    <mergeCell ref="H10:H11"/>
    <mergeCell ref="N10:N11"/>
    <mergeCell ref="M10:M11"/>
    <mergeCell ref="L10:L11"/>
    <mergeCell ref="T10:T11"/>
    <mergeCell ref="S10:S11"/>
    <mergeCell ref="R10:R11"/>
    <mergeCell ref="F7:H7"/>
    <mergeCell ref="R12:R13"/>
    <mergeCell ref="E14:E15"/>
    <mergeCell ref="F14:F15"/>
    <mergeCell ref="G14:G15"/>
    <mergeCell ref="H14:H15"/>
    <mergeCell ref="N14:N15"/>
    <mergeCell ref="M14:M15"/>
    <mergeCell ref="L14:L15"/>
    <mergeCell ref="T14:T15"/>
    <mergeCell ref="S14:S15"/>
    <mergeCell ref="R14:R15"/>
    <mergeCell ref="E12:E13"/>
    <mergeCell ref="F12:F13"/>
    <mergeCell ref="G12:G13"/>
    <mergeCell ref="H12:H13"/>
    <mergeCell ref="N12:N13"/>
    <mergeCell ref="M12:M13"/>
    <mergeCell ref="L12:L13"/>
    <mergeCell ref="T12:T13"/>
    <mergeCell ref="S12:S13"/>
    <mergeCell ref="R16:R17"/>
    <mergeCell ref="E18:E19"/>
    <mergeCell ref="F18:F19"/>
    <mergeCell ref="G18:G19"/>
    <mergeCell ref="H18:H19"/>
    <mergeCell ref="N18:N19"/>
    <mergeCell ref="M18:M19"/>
    <mergeCell ref="L18:L19"/>
    <mergeCell ref="T18:T19"/>
    <mergeCell ref="S18:S19"/>
    <mergeCell ref="R18:R19"/>
    <mergeCell ref="E16:E17"/>
    <mergeCell ref="F16:F17"/>
    <mergeCell ref="G16:G17"/>
    <mergeCell ref="H16:H17"/>
    <mergeCell ref="N16:N17"/>
    <mergeCell ref="M16:M17"/>
    <mergeCell ref="L16:L17"/>
    <mergeCell ref="T16:T17"/>
    <mergeCell ref="S16:S17"/>
    <mergeCell ref="F36:H36"/>
    <mergeCell ref="L36:N36"/>
    <mergeCell ref="R36:T36"/>
    <mergeCell ref="S20:S21"/>
    <mergeCell ref="R20:R21"/>
    <mergeCell ref="E22:E23"/>
    <mergeCell ref="G22:G23"/>
    <mergeCell ref="M22:M23"/>
    <mergeCell ref="L22:L23"/>
    <mergeCell ref="S22:S23"/>
    <mergeCell ref="R22:R23"/>
    <mergeCell ref="E20:E21"/>
    <mergeCell ref="F20:F21"/>
    <mergeCell ref="G20:G21"/>
    <mergeCell ref="H20:H21"/>
    <mergeCell ref="N20:N21"/>
    <mergeCell ref="M20:M21"/>
    <mergeCell ref="L20:L21"/>
    <mergeCell ref="T20:T21"/>
    <mergeCell ref="F25:H25"/>
    <mergeCell ref="L25:N25"/>
    <mergeCell ref="R25:T25"/>
    <mergeCell ref="F22:F23"/>
    <mergeCell ref="F49:H49"/>
    <mergeCell ref="L49:N49"/>
    <mergeCell ref="R49:T49"/>
    <mergeCell ref="C51:E51"/>
    <mergeCell ref="F51:H51"/>
    <mergeCell ref="L51:N51"/>
    <mergeCell ref="R51:T51"/>
    <mergeCell ref="F37:H37"/>
    <mergeCell ref="L37:N37"/>
    <mergeCell ref="R37:T37"/>
    <mergeCell ref="F48:H48"/>
    <mergeCell ref="L48:N48"/>
    <mergeCell ref="R48:T48"/>
    <mergeCell ref="F55:H55"/>
    <mergeCell ref="L55:N55"/>
    <mergeCell ref="R55:T55"/>
    <mergeCell ref="F56:H56"/>
    <mergeCell ref="L56:N56"/>
    <mergeCell ref="R56:T56"/>
    <mergeCell ref="C52:E52"/>
    <mergeCell ref="F52:H52"/>
    <mergeCell ref="L52:N52"/>
    <mergeCell ref="R52:T52"/>
    <mergeCell ref="F54:H54"/>
    <mergeCell ref="R54:T54"/>
    <mergeCell ref="P69:P70"/>
    <mergeCell ref="Q69:Q70"/>
    <mergeCell ref="E76:E77"/>
    <mergeCell ref="G76:G77"/>
    <mergeCell ref="H76:H77"/>
    <mergeCell ref="L76:L77"/>
    <mergeCell ref="M76:M77"/>
    <mergeCell ref="N76:N77"/>
    <mergeCell ref="R76:R77"/>
    <mergeCell ref="L73:N73"/>
    <mergeCell ref="F73:H73"/>
    <mergeCell ref="F71:H71"/>
    <mergeCell ref="L71:N71"/>
    <mergeCell ref="R71:T71"/>
    <mergeCell ref="F72:H72"/>
    <mergeCell ref="L72:N72"/>
    <mergeCell ref="R72:T72"/>
    <mergeCell ref="J69:K70"/>
    <mergeCell ref="L69:L70"/>
    <mergeCell ref="M69:M70"/>
    <mergeCell ref="O69:O70"/>
    <mergeCell ref="S76:S77"/>
    <mergeCell ref="T76:T77"/>
    <mergeCell ref="T78:T79"/>
    <mergeCell ref="E78:E79"/>
    <mergeCell ref="G78:G79"/>
    <mergeCell ref="H78:H79"/>
    <mergeCell ref="L78:L79"/>
    <mergeCell ref="M78:M79"/>
    <mergeCell ref="N78:N79"/>
    <mergeCell ref="R78:R79"/>
    <mergeCell ref="S78:S79"/>
    <mergeCell ref="E80:E81"/>
    <mergeCell ref="G80:G81"/>
    <mergeCell ref="H80:H81"/>
    <mergeCell ref="L80:L81"/>
    <mergeCell ref="M80:M81"/>
    <mergeCell ref="N80:N81"/>
    <mergeCell ref="R80:R81"/>
    <mergeCell ref="S80:S81"/>
    <mergeCell ref="T80:T81"/>
    <mergeCell ref="T82:T83"/>
    <mergeCell ref="E84:E85"/>
    <mergeCell ref="G84:G85"/>
    <mergeCell ref="H84:H85"/>
    <mergeCell ref="L84:L85"/>
    <mergeCell ref="M84:M85"/>
    <mergeCell ref="N84:N85"/>
    <mergeCell ref="R84:R85"/>
    <mergeCell ref="S84:S85"/>
    <mergeCell ref="T84:T85"/>
    <mergeCell ref="E82:E83"/>
    <mergeCell ref="G82:G83"/>
    <mergeCell ref="H82:H83"/>
    <mergeCell ref="L82:L83"/>
    <mergeCell ref="M82:M83"/>
    <mergeCell ref="N82:N83"/>
    <mergeCell ref="R82:R83"/>
    <mergeCell ref="S82:S83"/>
    <mergeCell ref="E88:E89"/>
    <mergeCell ref="G88:G89"/>
    <mergeCell ref="M88:M89"/>
    <mergeCell ref="S88:S89"/>
    <mergeCell ref="E86:E87"/>
    <mergeCell ref="G86:G87"/>
    <mergeCell ref="H86:H87"/>
    <mergeCell ref="L86:L87"/>
    <mergeCell ref="M86:M87"/>
    <mergeCell ref="N86:N87"/>
    <mergeCell ref="R86:R87"/>
    <mergeCell ref="R88:R89"/>
    <mergeCell ref="L88:L89"/>
    <mergeCell ref="C118:E118"/>
    <mergeCell ref="F118:H118"/>
    <mergeCell ref="L118:N118"/>
    <mergeCell ref="R118:T118"/>
    <mergeCell ref="F120:H120"/>
    <mergeCell ref="R120:T120"/>
    <mergeCell ref="F115:H115"/>
    <mergeCell ref="L115:N115"/>
    <mergeCell ref="R115:S115"/>
    <mergeCell ref="C117:E117"/>
    <mergeCell ref="F117:H117"/>
    <mergeCell ref="L117:N117"/>
    <mergeCell ref="R117:T117"/>
    <mergeCell ref="F122:H122"/>
    <mergeCell ref="L122:N122"/>
    <mergeCell ref="R122:T122"/>
    <mergeCell ref="F103:H103"/>
    <mergeCell ref="L103:N103"/>
    <mergeCell ref="R103:S103"/>
    <mergeCell ref="F114:H114"/>
    <mergeCell ref="L114:N114"/>
    <mergeCell ref="R114:S114"/>
    <mergeCell ref="F102:H102"/>
    <mergeCell ref="L102:N102"/>
    <mergeCell ref="R102:S102"/>
    <mergeCell ref="S86:S87"/>
    <mergeCell ref="T86:T87"/>
    <mergeCell ref="F91:H91"/>
    <mergeCell ref="L91:N91"/>
    <mergeCell ref="R91:T91"/>
    <mergeCell ref="F121:H121"/>
    <mergeCell ref="L121:N121"/>
    <mergeCell ref="R121:T121"/>
  </mergeCells>
  <pageMargins left="0.25" right="0.25" top="0.75" bottom="0.75" header="0.51180555555555596" footer="0.51180555555555596"/>
  <pageSetup paperSize="17" scale="63" firstPageNumber="0" fitToHeight="0" orientation="landscape"/>
  <headerFooter alignWithMargins="0"/>
  <rowBreaks count="1" manualBreakCount="1">
    <brk id="66" max="26" man="1"/>
  </rowBreaks>
  <colBreaks count="1" manualBreakCount="1">
    <brk id="28" max="1048575" man="1"/>
  </colBreaks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K23"/>
  <sheetViews>
    <sheetView workbookViewId="0"/>
  </sheetViews>
  <sheetFormatPr defaultColWidth="11" defaultRowHeight="15.75"/>
  <sheetData>
    <row r="2" spans="2:11">
      <c r="B2" s="176" t="s">
        <v>841</v>
      </c>
      <c r="F2" s="209" t="s">
        <v>842</v>
      </c>
    </row>
    <row r="3" spans="2:11">
      <c r="B3" s="176"/>
      <c r="F3" s="176" t="s">
        <v>843</v>
      </c>
      <c r="I3" s="176"/>
    </row>
    <row r="4" spans="2:11" ht="16.5" thickBot="1"/>
    <row r="5" spans="2:11" ht="16.5" thickBot="1">
      <c r="C5" s="487" t="s">
        <v>731</v>
      </c>
      <c r="D5" s="489" t="s">
        <v>732</v>
      </c>
      <c r="E5" s="546" t="s">
        <v>734</v>
      </c>
      <c r="F5" s="470" t="s">
        <v>735</v>
      </c>
    </row>
    <row r="6" spans="2:11" ht="16.5" thickBot="1">
      <c r="C6" s="488"/>
      <c r="D6" s="490"/>
      <c r="E6" s="547"/>
      <c r="F6" s="471"/>
    </row>
    <row r="7" spans="2:11" ht="16.5" thickBot="1">
      <c r="E7" s="206"/>
      <c r="F7" s="207"/>
      <c r="G7" s="208"/>
    </row>
    <row r="8" spans="2:11" ht="17.25" thickTop="1" thickBot="1">
      <c r="B8" s="89"/>
      <c r="C8" s="221">
        <v>8</v>
      </c>
      <c r="D8" s="222">
        <v>7</v>
      </c>
      <c r="E8" s="223">
        <v>6</v>
      </c>
      <c r="F8" s="221">
        <v>5</v>
      </c>
      <c r="G8" s="222">
        <v>4</v>
      </c>
      <c r="H8" s="223">
        <v>3</v>
      </c>
      <c r="I8" s="221">
        <v>2</v>
      </c>
      <c r="J8" s="222">
        <v>1</v>
      </c>
      <c r="K8" s="223">
        <v>0</v>
      </c>
    </row>
    <row r="9" spans="2:11" ht="16.5" thickTop="1">
      <c r="B9" s="420">
        <v>0</v>
      </c>
      <c r="C9" s="498" t="s">
        <v>840</v>
      </c>
      <c r="D9" s="525" t="s">
        <v>840</v>
      </c>
      <c r="E9" s="513" t="s">
        <v>840</v>
      </c>
      <c r="F9" s="498" t="s">
        <v>840</v>
      </c>
      <c r="G9" s="513" t="s">
        <v>840</v>
      </c>
      <c r="H9" s="531" t="s">
        <v>840</v>
      </c>
      <c r="I9" s="498" t="s">
        <v>840</v>
      </c>
      <c r="J9" s="525" t="s">
        <v>840</v>
      </c>
      <c r="K9" s="531" t="s">
        <v>840</v>
      </c>
    </row>
    <row r="10" spans="2:11" ht="16.5" thickBot="1">
      <c r="B10" s="420"/>
      <c r="C10" s="499"/>
      <c r="D10" s="549"/>
      <c r="E10" s="514"/>
      <c r="F10" s="502"/>
      <c r="G10" s="517"/>
      <c r="H10" s="532"/>
      <c r="I10" s="502"/>
      <c r="J10" s="526"/>
      <c r="K10" s="545"/>
    </row>
    <row r="11" spans="2:11" ht="16.5" thickTop="1">
      <c r="B11" s="548">
        <v>1</v>
      </c>
      <c r="C11" s="500" t="s">
        <v>839</v>
      </c>
      <c r="D11" s="523" t="s">
        <v>839</v>
      </c>
      <c r="E11" s="515"/>
      <c r="F11" s="500" t="s">
        <v>839</v>
      </c>
      <c r="G11" s="523" t="s">
        <v>839</v>
      </c>
      <c r="H11" s="533"/>
      <c r="I11" s="500" t="s">
        <v>839</v>
      </c>
      <c r="J11" s="527" t="s">
        <v>839</v>
      </c>
      <c r="K11" s="523" t="s">
        <v>840</v>
      </c>
    </row>
    <row r="12" spans="2:11" ht="16.5" thickBot="1">
      <c r="B12" s="548"/>
      <c r="C12" s="501"/>
      <c r="D12" s="524"/>
      <c r="E12" s="516"/>
      <c r="F12" s="501"/>
      <c r="G12" s="524"/>
      <c r="H12" s="534"/>
      <c r="I12" s="522"/>
      <c r="J12" s="528"/>
      <c r="K12" s="536"/>
    </row>
    <row r="13" spans="2:11" ht="16.5" thickTop="1">
      <c r="B13" s="548">
        <v>2</v>
      </c>
      <c r="C13" s="498" t="s">
        <v>839</v>
      </c>
      <c r="D13" s="525" t="s">
        <v>839</v>
      </c>
      <c r="E13" s="513" t="s">
        <v>839</v>
      </c>
      <c r="F13" s="498" t="s">
        <v>839</v>
      </c>
      <c r="G13" s="525" t="s">
        <v>839</v>
      </c>
      <c r="H13" s="531" t="s">
        <v>839</v>
      </c>
      <c r="I13" s="498" t="s">
        <v>839</v>
      </c>
      <c r="J13" s="525" t="s">
        <v>839</v>
      </c>
      <c r="K13" s="531" t="s">
        <v>839</v>
      </c>
    </row>
    <row r="14" spans="2:11">
      <c r="B14" s="548"/>
      <c r="C14" s="502"/>
      <c r="D14" s="526"/>
      <c r="E14" s="517"/>
      <c r="F14" s="502"/>
      <c r="G14" s="526"/>
      <c r="H14" s="535"/>
      <c r="I14" s="502"/>
      <c r="J14" s="526"/>
      <c r="K14" s="535"/>
    </row>
    <row r="15" spans="2:11">
      <c r="B15" s="548">
        <v>3</v>
      </c>
      <c r="C15" s="500" t="s">
        <v>838</v>
      </c>
      <c r="D15" s="527" t="s">
        <v>838</v>
      </c>
      <c r="E15" s="518" t="s">
        <v>839</v>
      </c>
      <c r="F15" s="500" t="s">
        <v>838</v>
      </c>
      <c r="G15" s="527" t="s">
        <v>838</v>
      </c>
      <c r="H15" s="523" t="s">
        <v>839</v>
      </c>
      <c r="I15" s="500" t="s">
        <v>838</v>
      </c>
      <c r="J15" s="527" t="s">
        <v>838</v>
      </c>
      <c r="K15" s="523" t="s">
        <v>839</v>
      </c>
    </row>
    <row r="16" spans="2:11" ht="16.5" thickBot="1">
      <c r="B16" s="548"/>
      <c r="C16" s="501"/>
      <c r="D16" s="550"/>
      <c r="E16" s="519"/>
      <c r="F16" s="522"/>
      <c r="G16" s="528"/>
      <c r="H16" s="536"/>
      <c r="I16" s="522"/>
      <c r="J16" s="528"/>
      <c r="K16" s="536"/>
    </row>
    <row r="17" spans="2:11" ht="16.5" thickTop="1">
      <c r="B17" s="548">
        <v>4</v>
      </c>
      <c r="C17" s="503" t="s">
        <v>838</v>
      </c>
      <c r="D17" s="509" t="s">
        <v>838</v>
      </c>
      <c r="E17" s="520" t="s">
        <v>838</v>
      </c>
      <c r="F17" s="503" t="s">
        <v>838</v>
      </c>
      <c r="G17" s="509" t="s">
        <v>838</v>
      </c>
      <c r="H17" s="537" t="s">
        <v>838</v>
      </c>
      <c r="I17" s="498" t="s">
        <v>838</v>
      </c>
      <c r="J17" s="525" t="s">
        <v>838</v>
      </c>
      <c r="K17" s="531" t="s">
        <v>838</v>
      </c>
    </row>
    <row r="18" spans="2:11" ht="16.5" thickBot="1">
      <c r="B18" s="548"/>
      <c r="C18" s="504"/>
      <c r="D18" s="510"/>
      <c r="E18" s="521"/>
      <c r="F18" s="504"/>
      <c r="G18" s="510"/>
      <c r="H18" s="538"/>
      <c r="I18" s="499"/>
      <c r="J18" s="497"/>
      <c r="K18" s="532"/>
    </row>
    <row r="19" spans="2:11" ht="16.5" thickTop="1">
      <c r="B19" s="420">
        <v>5</v>
      </c>
      <c r="C19" s="505" t="s">
        <v>837</v>
      </c>
      <c r="D19" s="511" t="s">
        <v>837</v>
      </c>
      <c r="E19" s="518" t="s">
        <v>838</v>
      </c>
      <c r="F19" s="505" t="s">
        <v>837</v>
      </c>
      <c r="G19" s="511" t="s">
        <v>837</v>
      </c>
      <c r="H19" s="523" t="s">
        <v>838</v>
      </c>
      <c r="I19" s="543" t="s">
        <v>837</v>
      </c>
      <c r="J19" s="541" t="s">
        <v>837</v>
      </c>
      <c r="K19" s="539" t="s">
        <v>838</v>
      </c>
    </row>
    <row r="20" spans="2:11" ht="16.5" thickBot="1">
      <c r="B20" s="420"/>
      <c r="C20" s="506"/>
      <c r="D20" s="512"/>
      <c r="E20" s="519"/>
      <c r="F20" s="506"/>
      <c r="G20" s="512"/>
      <c r="H20" s="524"/>
      <c r="I20" s="544"/>
      <c r="J20" s="542"/>
      <c r="K20" s="540"/>
    </row>
    <row r="21" spans="2:11" ht="17.25" thickTop="1" thickBot="1">
      <c r="B21" s="548">
        <v>6</v>
      </c>
      <c r="C21" s="507" t="s">
        <v>837</v>
      </c>
      <c r="D21" s="496" t="s">
        <v>837</v>
      </c>
      <c r="E21" s="205" t="s">
        <v>837</v>
      </c>
      <c r="F21" s="507" t="s">
        <v>837</v>
      </c>
      <c r="G21" s="496" t="s">
        <v>837</v>
      </c>
      <c r="H21" s="205" t="s">
        <v>837</v>
      </c>
      <c r="I21" s="507" t="s">
        <v>837</v>
      </c>
      <c r="J21" s="529" t="s">
        <v>837</v>
      </c>
      <c r="K21" s="219" t="s">
        <v>837</v>
      </c>
    </row>
    <row r="22" spans="2:11" ht="17.25" thickTop="1" thickBot="1">
      <c r="B22" s="548"/>
      <c r="C22" s="508"/>
      <c r="D22" s="497"/>
      <c r="E22" s="224" t="s">
        <v>837</v>
      </c>
      <c r="F22" s="508"/>
      <c r="G22" s="497"/>
      <c r="H22" s="224" t="s">
        <v>837</v>
      </c>
      <c r="I22" s="508"/>
      <c r="J22" s="530"/>
      <c r="K22" s="220" t="s">
        <v>837</v>
      </c>
    </row>
    <row r="23" spans="2:11" ht="16.5" thickTop="1">
      <c r="B23" s="99" t="s">
        <v>764</v>
      </c>
      <c r="C23" s="100" t="s">
        <v>766</v>
      </c>
      <c r="D23" s="100" t="s">
        <v>766</v>
      </c>
      <c r="E23" s="100" t="s">
        <v>766</v>
      </c>
      <c r="F23" s="100" t="s">
        <v>766</v>
      </c>
      <c r="G23" s="100" t="s">
        <v>766</v>
      </c>
      <c r="H23" s="100" t="s">
        <v>766</v>
      </c>
      <c r="I23" s="100" t="s">
        <v>765</v>
      </c>
      <c r="J23" s="100" t="s">
        <v>15</v>
      </c>
      <c r="K23" s="100" t="s">
        <v>18</v>
      </c>
    </row>
  </sheetData>
  <mergeCells count="71">
    <mergeCell ref="C5:C6"/>
    <mergeCell ref="D5:D6"/>
    <mergeCell ref="F5:F6"/>
    <mergeCell ref="E5:E6"/>
    <mergeCell ref="B21:B22"/>
    <mergeCell ref="B19:B20"/>
    <mergeCell ref="B17:B18"/>
    <mergeCell ref="B15:B16"/>
    <mergeCell ref="B13:B14"/>
    <mergeCell ref="B11:B12"/>
    <mergeCell ref="B9:B10"/>
    <mergeCell ref="E19:E20"/>
    <mergeCell ref="D9:D10"/>
    <mergeCell ref="D11:D12"/>
    <mergeCell ref="D13:D14"/>
    <mergeCell ref="D15:D16"/>
    <mergeCell ref="K9:K10"/>
    <mergeCell ref="J9:J10"/>
    <mergeCell ref="I9:I10"/>
    <mergeCell ref="K11:K12"/>
    <mergeCell ref="J11:J12"/>
    <mergeCell ref="I11:I12"/>
    <mergeCell ref="K13:K14"/>
    <mergeCell ref="J13:J14"/>
    <mergeCell ref="I13:I14"/>
    <mergeCell ref="K15:K16"/>
    <mergeCell ref="J15:J16"/>
    <mergeCell ref="I15:I16"/>
    <mergeCell ref="K17:K18"/>
    <mergeCell ref="J17:J18"/>
    <mergeCell ref="I17:I18"/>
    <mergeCell ref="K19:K20"/>
    <mergeCell ref="J19:J20"/>
    <mergeCell ref="I19:I20"/>
    <mergeCell ref="J21:J22"/>
    <mergeCell ref="I21:I22"/>
    <mergeCell ref="H9:H10"/>
    <mergeCell ref="H11:H12"/>
    <mergeCell ref="H13:H14"/>
    <mergeCell ref="H15:H16"/>
    <mergeCell ref="H17:H18"/>
    <mergeCell ref="H19:H20"/>
    <mergeCell ref="G19:G20"/>
    <mergeCell ref="G21:G22"/>
    <mergeCell ref="F9:F10"/>
    <mergeCell ref="F11:F12"/>
    <mergeCell ref="F13:F14"/>
    <mergeCell ref="F15:F16"/>
    <mergeCell ref="F17:F18"/>
    <mergeCell ref="F19:F20"/>
    <mergeCell ref="F21:F22"/>
    <mergeCell ref="G9:G10"/>
    <mergeCell ref="G11:G12"/>
    <mergeCell ref="G13:G14"/>
    <mergeCell ref="G15:G16"/>
    <mergeCell ref="G17:G18"/>
    <mergeCell ref="E9:E10"/>
    <mergeCell ref="E11:E12"/>
    <mergeCell ref="E13:E14"/>
    <mergeCell ref="E15:E16"/>
    <mergeCell ref="E17:E18"/>
    <mergeCell ref="D21:D22"/>
    <mergeCell ref="C9:C10"/>
    <mergeCell ref="C11:C12"/>
    <mergeCell ref="C13:C14"/>
    <mergeCell ref="C15:C16"/>
    <mergeCell ref="C17:C18"/>
    <mergeCell ref="C19:C20"/>
    <mergeCell ref="C21:C22"/>
    <mergeCell ref="D17:D18"/>
    <mergeCell ref="D19:D20"/>
  </mergeCells>
  <pageMargins left="0.75" right="0.75" top="1" bottom="1" header="0.5" footer="0.5"/>
  <pageSetup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AR405"/>
  <sheetViews>
    <sheetView zoomScale="85" zoomScaleNormal="85" workbookViewId="0"/>
  </sheetViews>
  <sheetFormatPr defaultColWidth="11" defaultRowHeight="15.75"/>
  <cols>
    <col min="1" max="1" width="2.875" style="3" customWidth="1"/>
    <col min="2" max="2" width="6.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75" style="1" customWidth="1"/>
    <col min="7" max="7" width="7.875" style="1" bestFit="1" customWidth="1"/>
    <col min="8" max="10" width="7.875" style="1" customWidth="1"/>
    <col min="11" max="11" width="7.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5" thickBot="1"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/>
    </row>
    <row r="2" spans="2:44" s="4" customFormat="1" ht="16.5">
      <c r="D2" s="43" t="s">
        <v>852</v>
      </c>
      <c r="E2" s="551" t="s">
        <v>955</v>
      </c>
      <c r="F2" s="551"/>
      <c r="G2" s="552" t="s">
        <v>719</v>
      </c>
      <c r="H2" s="552"/>
      <c r="I2" s="552"/>
      <c r="J2" s="40"/>
      <c r="L2" s="177"/>
      <c r="M2" s="178"/>
      <c r="N2" s="180"/>
      <c r="O2" s="179"/>
      <c r="P2" s="180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80"/>
      <c r="AM2" s="180"/>
      <c r="AN2" s="180"/>
      <c r="AO2" s="181"/>
      <c r="AP2" s="177"/>
      <c r="AQ2" s="182"/>
      <c r="AR2"/>
    </row>
    <row r="3" spans="2:44" s="1" customFormat="1">
      <c r="D3"/>
      <c r="E3" s="40"/>
      <c r="F3" s="40"/>
      <c r="G3" s="40"/>
      <c r="H3" s="40"/>
      <c r="I3" s="40"/>
      <c r="J3" s="40"/>
      <c r="L3" s="177"/>
      <c r="M3" s="183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5"/>
      <c r="AP3" s="177"/>
      <c r="AQ3" s="186"/>
      <c r="AR3"/>
    </row>
    <row r="4" spans="2:44" s="6" customFormat="1" ht="16.5" thickBot="1">
      <c r="B4" s="553" t="s">
        <v>722</v>
      </c>
      <c r="C4" s="554"/>
      <c r="D4" s="554"/>
      <c r="E4" s="554"/>
      <c r="F4" s="554"/>
      <c r="G4" s="554"/>
      <c r="H4" s="554"/>
      <c r="I4" s="554"/>
      <c r="J4" s="554"/>
      <c r="K4" s="555"/>
      <c r="L4" s="177"/>
      <c r="M4" s="187"/>
      <c r="N4" s="184"/>
      <c r="O4" s="184"/>
      <c r="P4" s="184"/>
      <c r="Q4" s="184"/>
      <c r="R4" s="16" t="s">
        <v>13</v>
      </c>
      <c r="S4" s="16"/>
      <c r="T4" s="16" t="s">
        <v>14</v>
      </c>
      <c r="U4" s="16"/>
      <c r="V4" s="16" t="s">
        <v>13</v>
      </c>
      <c r="W4" s="16"/>
      <c r="X4" s="16" t="s">
        <v>14</v>
      </c>
      <c r="Y4" s="16"/>
      <c r="Z4" s="16" t="s">
        <v>13</v>
      </c>
      <c r="AA4" s="16"/>
      <c r="AB4" s="16" t="s">
        <v>14</v>
      </c>
      <c r="AC4" s="16"/>
      <c r="AD4" s="16" t="s">
        <v>13</v>
      </c>
      <c r="AE4" s="16"/>
      <c r="AF4" s="16" t="s">
        <v>14</v>
      </c>
      <c r="AG4" s="16"/>
      <c r="AH4" s="16" t="s">
        <v>13</v>
      </c>
      <c r="AI4" s="16"/>
      <c r="AJ4" s="16" t="s">
        <v>14</v>
      </c>
      <c r="AK4" s="16"/>
      <c r="AL4" s="16" t="s">
        <v>13</v>
      </c>
      <c r="AM4" s="16"/>
      <c r="AN4" s="16" t="s">
        <v>14</v>
      </c>
      <c r="AO4" s="185"/>
      <c r="AP4" s="177"/>
      <c r="AQ4" s="182" t="s">
        <v>710</v>
      </c>
      <c r="AR4"/>
    </row>
    <row r="5" spans="2:44" s="12" customFormat="1" ht="32.25" thickBot="1">
      <c r="B5" s="41" t="s">
        <v>19</v>
      </c>
      <c r="C5" s="7" t="s">
        <v>442</v>
      </c>
      <c r="D5" s="8" t="s">
        <v>2</v>
      </c>
      <c r="E5" s="8" t="s">
        <v>1</v>
      </c>
      <c r="F5" s="9"/>
      <c r="G5" s="9" t="s">
        <v>953</v>
      </c>
      <c r="H5" s="10" t="s">
        <v>3</v>
      </c>
      <c r="I5" s="10"/>
      <c r="J5" s="10"/>
      <c r="K5" s="11"/>
      <c r="L5" s="177"/>
      <c r="M5" s="187"/>
      <c r="N5" s="184"/>
      <c r="O5" s="184"/>
      <c r="P5" s="184"/>
      <c r="Q5" s="188"/>
      <c r="R5" s="175">
        <v>5</v>
      </c>
      <c r="S5" s="175"/>
      <c r="T5" s="175">
        <v>5</v>
      </c>
      <c r="U5" s="175"/>
      <c r="V5" s="175">
        <v>4</v>
      </c>
      <c r="W5" s="175"/>
      <c r="X5" s="175">
        <v>4</v>
      </c>
      <c r="Y5" s="175"/>
      <c r="Z5" s="175">
        <v>3</v>
      </c>
      <c r="AA5" s="175"/>
      <c r="AB5" s="175">
        <v>3</v>
      </c>
      <c r="AC5" s="175"/>
      <c r="AD5" s="175">
        <v>2</v>
      </c>
      <c r="AE5" s="175"/>
      <c r="AF5" s="175">
        <v>2</v>
      </c>
      <c r="AG5" s="175"/>
      <c r="AH5" s="175">
        <v>1</v>
      </c>
      <c r="AI5" s="175"/>
      <c r="AJ5" s="175">
        <v>1</v>
      </c>
      <c r="AK5" s="175"/>
      <c r="AL5" s="175">
        <v>0</v>
      </c>
      <c r="AM5" s="175"/>
      <c r="AN5" s="175">
        <v>0</v>
      </c>
      <c r="AO5" s="185"/>
      <c r="AP5" s="177"/>
      <c r="AQ5" s="254" t="s">
        <v>711</v>
      </c>
      <c r="AR5"/>
    </row>
    <row r="6" spans="2:44" ht="16.5" thickBot="1">
      <c r="B6" s="42">
        <v>199</v>
      </c>
      <c r="C6" s="293" t="s">
        <v>118</v>
      </c>
      <c r="D6" s="294" t="s">
        <v>677</v>
      </c>
      <c r="E6" s="322" t="s">
        <v>865</v>
      </c>
      <c r="F6" s="296"/>
      <c r="G6" s="322" t="s">
        <v>985</v>
      </c>
      <c r="H6" s="334" t="s">
        <v>890</v>
      </c>
      <c r="I6" s="296"/>
      <c r="J6" s="296"/>
      <c r="K6" s="297"/>
      <c r="L6" s="177"/>
      <c r="M6" s="187"/>
      <c r="N6" s="184"/>
      <c r="O6" s="184"/>
      <c r="P6" s="184"/>
      <c r="Q6" s="184"/>
      <c r="R6" s="189"/>
      <c r="S6" s="184"/>
      <c r="T6" s="189"/>
      <c r="U6" s="184"/>
      <c r="V6" s="189"/>
      <c r="W6" s="184"/>
      <c r="X6" s="189"/>
      <c r="Y6" s="184"/>
      <c r="Z6" s="189"/>
      <c r="AA6" s="184"/>
      <c r="AB6" s="189"/>
      <c r="AC6" s="184"/>
      <c r="AD6" s="189"/>
      <c r="AE6" s="184"/>
      <c r="AF6" s="265"/>
      <c r="AG6" s="184"/>
      <c r="AH6" s="189"/>
      <c r="AI6" s="184"/>
      <c r="AJ6" s="265"/>
      <c r="AK6" s="184"/>
      <c r="AL6" s="189"/>
      <c r="AM6" s="184"/>
      <c r="AN6" s="265"/>
      <c r="AO6" s="185"/>
      <c r="AP6" s="177"/>
      <c r="AQ6" s="186"/>
      <c r="AR6"/>
    </row>
    <row r="7" spans="2:44" ht="16.5" thickBot="1">
      <c r="B7" s="42">
        <v>200</v>
      </c>
      <c r="C7" s="21" t="s">
        <v>119</v>
      </c>
      <c r="D7" s="22" t="s">
        <v>699</v>
      </c>
      <c r="E7" s="323" t="s">
        <v>865</v>
      </c>
      <c r="F7" s="5"/>
      <c r="G7" s="323" t="s">
        <v>986</v>
      </c>
      <c r="H7" s="304" t="s">
        <v>890</v>
      </c>
      <c r="I7" s="5"/>
      <c r="J7" s="5"/>
      <c r="K7" s="14"/>
      <c r="L7" s="177"/>
      <c r="M7" s="187"/>
      <c r="N7" s="184"/>
      <c r="O7" s="184"/>
      <c r="P7" s="184"/>
      <c r="Q7" s="184"/>
      <c r="R7" s="191"/>
      <c r="S7" s="184"/>
      <c r="T7" s="191"/>
      <c r="U7" s="184"/>
      <c r="V7" s="191"/>
      <c r="W7" s="184"/>
      <c r="X7" s="191"/>
      <c r="Y7" s="184"/>
      <c r="Z7" s="191"/>
      <c r="AA7" s="184"/>
      <c r="AB7" s="191"/>
      <c r="AC7" s="184"/>
      <c r="AD7" s="191"/>
      <c r="AE7" s="184"/>
      <c r="AF7" s="266"/>
      <c r="AG7" s="184"/>
      <c r="AH7" s="191"/>
      <c r="AI7" s="184"/>
      <c r="AJ7" s="266"/>
      <c r="AK7" s="184"/>
      <c r="AL7" s="191"/>
      <c r="AM7" s="184"/>
      <c r="AN7" s="266"/>
      <c r="AO7" s="185"/>
      <c r="AP7" s="177"/>
      <c r="AQ7" s="186"/>
      <c r="AR7"/>
    </row>
    <row r="8" spans="2:44" ht="16.5" thickBot="1">
      <c r="B8" s="42">
        <v>207</v>
      </c>
      <c r="C8" s="21" t="s">
        <v>126</v>
      </c>
      <c r="D8" s="22" t="s">
        <v>632</v>
      </c>
      <c r="E8" s="323" t="s">
        <v>865</v>
      </c>
      <c r="F8" s="5"/>
      <c r="G8" s="323" t="s">
        <v>983</v>
      </c>
      <c r="H8" s="304" t="s">
        <v>890</v>
      </c>
      <c r="I8" s="5"/>
      <c r="J8" s="5"/>
      <c r="K8" s="14"/>
      <c r="L8" s="177"/>
      <c r="M8" s="187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5"/>
      <c r="AP8" s="177"/>
      <c r="AQ8" s="186"/>
      <c r="AR8"/>
    </row>
    <row r="9" spans="2:44" ht="16.5" thickBot="1">
      <c r="B9" s="42">
        <v>208</v>
      </c>
      <c r="C9" s="21" t="s">
        <v>127</v>
      </c>
      <c r="D9" s="22" t="s">
        <v>655</v>
      </c>
      <c r="E9" s="323" t="s">
        <v>865</v>
      </c>
      <c r="F9" s="5"/>
      <c r="G9" s="323" t="s">
        <v>984</v>
      </c>
      <c r="H9" s="304" t="s">
        <v>890</v>
      </c>
      <c r="I9" s="5"/>
      <c r="J9" s="5"/>
      <c r="K9" s="14"/>
      <c r="L9" s="177"/>
      <c r="M9" s="187"/>
      <c r="N9" s="184"/>
      <c r="O9" s="184"/>
      <c r="P9" s="184"/>
      <c r="Q9" s="184"/>
      <c r="R9" s="189"/>
      <c r="S9" s="184"/>
      <c r="T9" s="189"/>
      <c r="U9" s="184"/>
      <c r="V9" s="189"/>
      <c r="W9" s="184"/>
      <c r="X9" s="189"/>
      <c r="Y9" s="184"/>
      <c r="Z9" s="189"/>
      <c r="AA9" s="184"/>
      <c r="AB9" s="189"/>
      <c r="AC9" s="184"/>
      <c r="AD9" s="189"/>
      <c r="AE9" s="184"/>
      <c r="AF9" s="265"/>
      <c r="AG9" s="184"/>
      <c r="AH9" s="189"/>
      <c r="AI9" s="184"/>
      <c r="AJ9" s="265"/>
      <c r="AK9" s="184"/>
      <c r="AL9" s="189"/>
      <c r="AM9" s="184"/>
      <c r="AN9" s="265"/>
      <c r="AO9" s="185"/>
      <c r="AP9" s="177"/>
      <c r="AQ9" s="186"/>
      <c r="AR9"/>
    </row>
    <row r="10" spans="2:44" ht="16.5" thickBot="1">
      <c r="B10" s="42">
        <v>228</v>
      </c>
      <c r="C10" s="21" t="s">
        <v>147</v>
      </c>
      <c r="D10" s="22" t="s">
        <v>657</v>
      </c>
      <c r="E10" s="323" t="s">
        <v>865</v>
      </c>
      <c r="F10" s="5"/>
      <c r="G10" s="323" t="s">
        <v>981</v>
      </c>
      <c r="H10" s="304" t="s">
        <v>890</v>
      </c>
      <c r="I10" s="5"/>
      <c r="J10" s="5"/>
      <c r="K10" s="14"/>
      <c r="L10" s="177"/>
      <c r="M10" s="187"/>
      <c r="N10" s="184"/>
      <c r="O10" s="184"/>
      <c r="P10" s="184"/>
      <c r="Q10" s="184"/>
      <c r="R10" s="191"/>
      <c r="S10" s="184"/>
      <c r="T10" s="191"/>
      <c r="U10" s="184"/>
      <c r="V10" s="191"/>
      <c r="W10" s="184"/>
      <c r="X10" s="191"/>
      <c r="Y10" s="184"/>
      <c r="Z10" s="191"/>
      <c r="AA10" s="184"/>
      <c r="AB10" s="191"/>
      <c r="AC10" s="184"/>
      <c r="AD10" s="191"/>
      <c r="AE10" s="184"/>
      <c r="AF10" s="266"/>
      <c r="AG10" s="184"/>
      <c r="AH10" s="191"/>
      <c r="AI10" s="184"/>
      <c r="AJ10" s="266"/>
      <c r="AK10" s="184"/>
      <c r="AL10" s="252"/>
      <c r="AM10" s="184"/>
      <c r="AN10" s="266"/>
      <c r="AO10" s="192"/>
      <c r="AP10" s="177"/>
      <c r="AQ10" s="186"/>
      <c r="AR10"/>
    </row>
    <row r="11" spans="2:44" ht="16.5" thickBot="1">
      <c r="B11" s="42">
        <v>227</v>
      </c>
      <c r="C11" s="21" t="s">
        <v>146</v>
      </c>
      <c r="D11" s="22" t="s">
        <v>634</v>
      </c>
      <c r="E11" s="323" t="s">
        <v>865</v>
      </c>
      <c r="F11" s="5"/>
      <c r="G11" s="323" t="s">
        <v>982</v>
      </c>
      <c r="H11" s="304" t="s">
        <v>890</v>
      </c>
      <c r="I11" s="5"/>
      <c r="J11" s="5"/>
      <c r="K11" s="14"/>
      <c r="L11" s="177"/>
      <c r="M11" s="187"/>
      <c r="N11" s="184"/>
      <c r="O11" s="184"/>
      <c r="P11" s="184"/>
      <c r="Q11" s="184"/>
      <c r="R11" s="556">
        <v>11</v>
      </c>
      <c r="S11" s="556"/>
      <c r="T11" s="556">
        <v>10</v>
      </c>
      <c r="U11" s="556"/>
      <c r="V11" s="184">
        <v>9</v>
      </c>
      <c r="W11" s="184"/>
      <c r="X11" s="184">
        <v>8</v>
      </c>
      <c r="Y11" s="184"/>
      <c r="Z11" s="184">
        <v>7</v>
      </c>
      <c r="AA11" s="184"/>
      <c r="AB11" s="184">
        <v>6</v>
      </c>
      <c r="AC11" s="184"/>
      <c r="AD11" s="184">
        <v>5</v>
      </c>
      <c r="AE11" s="184"/>
      <c r="AF11" s="184">
        <v>4</v>
      </c>
      <c r="AG11" s="184"/>
      <c r="AH11" s="249">
        <v>3</v>
      </c>
      <c r="AI11" s="249"/>
      <c r="AJ11" s="249">
        <v>2</v>
      </c>
      <c r="AK11" s="250"/>
      <c r="AL11" s="250">
        <v>1</v>
      </c>
      <c r="AM11" s="249"/>
      <c r="AN11" s="249">
        <v>0</v>
      </c>
      <c r="AO11" s="192"/>
      <c r="AP11" s="177"/>
      <c r="AQ11" s="186"/>
      <c r="AR11"/>
    </row>
    <row r="12" spans="2:44" ht="16.5" thickBot="1">
      <c r="B12" s="260">
        <v>189</v>
      </c>
      <c r="C12" s="261" t="s">
        <v>108</v>
      </c>
      <c r="D12" s="262" t="s">
        <v>676</v>
      </c>
      <c r="E12" s="325" t="s">
        <v>865</v>
      </c>
      <c r="F12" s="212"/>
      <c r="G12" s="325" t="s">
        <v>980</v>
      </c>
      <c r="H12" s="304" t="s">
        <v>890</v>
      </c>
      <c r="I12" s="212"/>
      <c r="J12" s="212"/>
      <c r="K12" s="263"/>
      <c r="L12" s="177"/>
      <c r="M12" s="187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92"/>
      <c r="AP12" s="193"/>
      <c r="AQ12" s="186"/>
      <c r="AR12"/>
    </row>
    <row r="13" spans="2:44" ht="16.5" thickBot="1">
      <c r="B13" s="260">
        <v>190</v>
      </c>
      <c r="C13" s="261" t="s">
        <v>109</v>
      </c>
      <c r="D13" s="262" t="s">
        <v>698</v>
      </c>
      <c r="E13" s="325" t="s">
        <v>865</v>
      </c>
      <c r="F13" s="212"/>
      <c r="G13" s="325" t="s">
        <v>4</v>
      </c>
      <c r="H13" s="304" t="s">
        <v>890</v>
      </c>
      <c r="I13" s="212"/>
      <c r="J13" s="212"/>
      <c r="K13" s="263"/>
      <c r="L13" s="177"/>
      <c r="M13" s="187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92"/>
      <c r="AP13" s="193"/>
      <c r="AQ13" s="186"/>
      <c r="AR13"/>
    </row>
    <row r="14" spans="2:44" ht="16.5" thickBot="1">
      <c r="B14" s="213">
        <v>179</v>
      </c>
      <c r="C14" s="214" t="s">
        <v>98</v>
      </c>
      <c r="D14" s="215" t="s">
        <v>675</v>
      </c>
      <c r="E14" s="359"/>
      <c r="F14" s="216"/>
      <c r="G14" s="359"/>
      <c r="H14" s="304"/>
      <c r="I14" s="216"/>
      <c r="J14" s="216"/>
      <c r="K14" s="217"/>
      <c r="L14" s="177"/>
      <c r="M14" s="187"/>
      <c r="N14" s="184"/>
      <c r="O14" s="184"/>
      <c r="P14" s="16" t="s">
        <v>13</v>
      </c>
      <c r="Q14" s="16"/>
      <c r="R14" s="16" t="s">
        <v>13</v>
      </c>
      <c r="S14" s="16"/>
      <c r="T14" s="16" t="s">
        <v>14</v>
      </c>
      <c r="U14" s="16"/>
      <c r="V14" s="16" t="s">
        <v>14</v>
      </c>
      <c r="W14" s="16"/>
      <c r="X14" s="16" t="s">
        <v>13</v>
      </c>
      <c r="Y14" s="16"/>
      <c r="Z14" s="16" t="s">
        <v>13</v>
      </c>
      <c r="AA14" s="16"/>
      <c r="AB14" s="16" t="s">
        <v>14</v>
      </c>
      <c r="AC14" s="16"/>
      <c r="AD14" s="16" t="s">
        <v>14</v>
      </c>
      <c r="AE14" s="16"/>
      <c r="AF14" s="16" t="s">
        <v>13</v>
      </c>
      <c r="AG14" s="16"/>
      <c r="AH14" s="16" t="s">
        <v>13</v>
      </c>
      <c r="AI14" s="16"/>
      <c r="AJ14" s="16" t="s">
        <v>14</v>
      </c>
      <c r="AK14" s="16"/>
      <c r="AL14" s="16" t="s">
        <v>14</v>
      </c>
      <c r="AM14" s="184"/>
      <c r="AN14" s="184"/>
      <c r="AO14" s="192"/>
      <c r="AP14" s="193"/>
      <c r="AQ14" s="182" t="s">
        <v>710</v>
      </c>
      <c r="AR14"/>
    </row>
    <row r="15" spans="2:44" ht="16.5" thickBot="1">
      <c r="B15" s="213">
        <v>180</v>
      </c>
      <c r="C15" s="214" t="s">
        <v>99</v>
      </c>
      <c r="D15" s="215" t="s">
        <v>697</v>
      </c>
      <c r="E15" s="359"/>
      <c r="F15" s="216"/>
      <c r="G15" s="359"/>
      <c r="H15" s="304"/>
      <c r="I15" s="216"/>
      <c r="J15" s="216"/>
      <c r="K15" s="217"/>
      <c r="L15" s="177"/>
      <c r="M15" s="187"/>
      <c r="N15" s="184"/>
      <c r="O15" s="184"/>
      <c r="P15" s="16">
        <v>2</v>
      </c>
      <c r="Q15" s="16"/>
      <c r="R15" s="16">
        <v>2</v>
      </c>
      <c r="S15" s="16"/>
      <c r="T15" s="16">
        <v>2</v>
      </c>
      <c r="U15" s="16"/>
      <c r="V15" s="16">
        <v>2</v>
      </c>
      <c r="W15" s="16"/>
      <c r="X15" s="16">
        <v>1</v>
      </c>
      <c r="Y15" s="16"/>
      <c r="Z15" s="16">
        <v>1</v>
      </c>
      <c r="AA15" s="16"/>
      <c r="AB15" s="16">
        <v>1</v>
      </c>
      <c r="AC15" s="16"/>
      <c r="AD15" s="16">
        <v>1</v>
      </c>
      <c r="AE15" s="16"/>
      <c r="AF15" s="16">
        <v>0</v>
      </c>
      <c r="AG15" s="16"/>
      <c r="AH15" s="16">
        <v>0</v>
      </c>
      <c r="AI15" s="16"/>
      <c r="AJ15" s="16">
        <v>0</v>
      </c>
      <c r="AK15" s="16"/>
      <c r="AL15" s="16">
        <v>0</v>
      </c>
      <c r="AM15" s="184"/>
      <c r="AN15" s="184"/>
      <c r="AO15" s="192"/>
      <c r="AP15" s="193"/>
      <c r="AQ15" s="182" t="s">
        <v>713</v>
      </c>
      <c r="AR15"/>
    </row>
    <row r="16" spans="2:44" ht="16.5" thickBot="1">
      <c r="B16" s="42">
        <v>197</v>
      </c>
      <c r="C16" s="21" t="s">
        <v>116</v>
      </c>
      <c r="D16" s="22" t="s">
        <v>631</v>
      </c>
      <c r="E16" s="323" t="s">
        <v>865</v>
      </c>
      <c r="F16" s="5"/>
      <c r="G16" s="323" t="s">
        <v>993</v>
      </c>
      <c r="H16" s="304" t="s">
        <v>890</v>
      </c>
      <c r="I16" s="5"/>
      <c r="J16" s="5"/>
      <c r="K16" s="14"/>
      <c r="L16" s="177"/>
      <c r="M16" s="187"/>
      <c r="N16" s="184"/>
      <c r="O16" s="184"/>
      <c r="P16" s="16" t="s">
        <v>17</v>
      </c>
      <c r="Q16" s="16"/>
      <c r="R16" s="16" t="s">
        <v>13</v>
      </c>
      <c r="S16" s="16"/>
      <c r="T16" s="16" t="s">
        <v>13</v>
      </c>
      <c r="U16" s="16"/>
      <c r="V16" s="16" t="s">
        <v>17</v>
      </c>
      <c r="W16" s="16"/>
      <c r="X16" s="16" t="s">
        <v>17</v>
      </c>
      <c r="Y16" s="16"/>
      <c r="Z16" s="16" t="s">
        <v>13</v>
      </c>
      <c r="AA16" s="16"/>
      <c r="AB16" s="16" t="s">
        <v>13</v>
      </c>
      <c r="AC16" s="16"/>
      <c r="AD16" s="16" t="s">
        <v>17</v>
      </c>
      <c r="AE16" s="16"/>
      <c r="AF16" s="16" t="s">
        <v>17</v>
      </c>
      <c r="AG16" s="16"/>
      <c r="AH16" s="16" t="s">
        <v>13</v>
      </c>
      <c r="AI16" s="16"/>
      <c r="AJ16" s="16" t="s">
        <v>13</v>
      </c>
      <c r="AK16" s="16"/>
      <c r="AL16" s="16" t="s">
        <v>17</v>
      </c>
      <c r="AM16" s="184"/>
      <c r="AN16" s="184"/>
      <c r="AO16" s="192"/>
      <c r="AP16" s="193"/>
      <c r="AQ16" s="182" t="s">
        <v>954</v>
      </c>
      <c r="AR16"/>
    </row>
    <row r="17" spans="2:44" ht="16.5" thickBot="1">
      <c r="B17" s="42">
        <v>198</v>
      </c>
      <c r="C17" s="21" t="s">
        <v>117</v>
      </c>
      <c r="D17" s="22" t="s">
        <v>654</v>
      </c>
      <c r="E17" s="323" t="s">
        <v>865</v>
      </c>
      <c r="F17" s="5"/>
      <c r="G17" s="323" t="s">
        <v>8</v>
      </c>
      <c r="H17" s="304" t="s">
        <v>890</v>
      </c>
      <c r="I17" s="5"/>
      <c r="J17" s="5"/>
      <c r="K17" s="14"/>
      <c r="L17" s="177"/>
      <c r="M17" s="187"/>
      <c r="N17" s="184"/>
      <c r="O17" s="16"/>
      <c r="P17" s="244">
        <v>11</v>
      </c>
      <c r="Q17" s="35"/>
      <c r="R17" s="244">
        <v>10</v>
      </c>
      <c r="S17" s="35"/>
      <c r="T17" s="244">
        <v>9</v>
      </c>
      <c r="U17" s="35"/>
      <c r="V17" s="244">
        <v>8</v>
      </c>
      <c r="W17" s="35"/>
      <c r="X17" s="244">
        <v>7</v>
      </c>
      <c r="Y17" s="35"/>
      <c r="Z17" s="244">
        <v>6</v>
      </c>
      <c r="AA17" s="35"/>
      <c r="AB17" s="244">
        <v>5</v>
      </c>
      <c r="AC17" s="35"/>
      <c r="AD17" s="244">
        <v>4</v>
      </c>
      <c r="AE17" s="35"/>
      <c r="AF17" s="244">
        <v>3</v>
      </c>
      <c r="AG17" s="35"/>
      <c r="AH17" s="244">
        <v>2</v>
      </c>
      <c r="AI17" s="35"/>
      <c r="AJ17" s="244">
        <v>1</v>
      </c>
      <c r="AK17" s="35"/>
      <c r="AL17" s="255">
        <v>0</v>
      </c>
      <c r="AM17" s="184"/>
      <c r="AN17" s="184"/>
      <c r="AO17" s="192"/>
      <c r="AP17" s="193"/>
      <c r="AQ17" s="182" t="s">
        <v>964</v>
      </c>
      <c r="AR17"/>
    </row>
    <row r="18" spans="2:44" s="1" customFormat="1" ht="16.5" thickBot="1">
      <c r="B18" s="42">
        <v>210</v>
      </c>
      <c r="C18" s="21" t="s">
        <v>129</v>
      </c>
      <c r="D18" s="22" t="s">
        <v>700</v>
      </c>
      <c r="E18" s="323" t="s">
        <v>865</v>
      </c>
      <c r="F18" s="5"/>
      <c r="G18" s="323" t="s">
        <v>991</v>
      </c>
      <c r="H18" s="304" t="s">
        <v>890</v>
      </c>
      <c r="I18" s="5"/>
      <c r="J18" s="5"/>
      <c r="K18" s="14"/>
      <c r="L18" s="177"/>
      <c r="M18" s="187"/>
      <c r="N18" s="184"/>
      <c r="O18" s="16"/>
      <c r="P18" s="246">
        <v>11</v>
      </c>
      <c r="Q18" s="35"/>
      <c r="R18" s="246">
        <v>10</v>
      </c>
      <c r="S18" s="35"/>
      <c r="T18" s="246">
        <v>9</v>
      </c>
      <c r="U18" s="35"/>
      <c r="V18" s="246">
        <v>8</v>
      </c>
      <c r="W18" s="35"/>
      <c r="X18" s="246">
        <v>7</v>
      </c>
      <c r="Y18" s="35"/>
      <c r="Z18" s="246">
        <v>6</v>
      </c>
      <c r="AA18" s="35"/>
      <c r="AB18" s="246">
        <v>5</v>
      </c>
      <c r="AC18" s="35"/>
      <c r="AD18" s="246">
        <v>4</v>
      </c>
      <c r="AE18" s="35"/>
      <c r="AF18" s="246">
        <v>3</v>
      </c>
      <c r="AG18" s="35"/>
      <c r="AH18" s="246">
        <v>2</v>
      </c>
      <c r="AI18" s="35"/>
      <c r="AJ18" s="246">
        <v>1</v>
      </c>
      <c r="AK18" s="35"/>
      <c r="AL18" s="256">
        <v>0</v>
      </c>
      <c r="AM18" s="184"/>
      <c r="AN18" s="184"/>
      <c r="AO18" s="192"/>
      <c r="AP18" s="193"/>
      <c r="AQ18" s="186"/>
      <c r="AR18"/>
    </row>
    <row r="19" spans="2:44" s="1" customFormat="1" ht="16.5" thickBot="1">
      <c r="B19" s="42">
        <v>209</v>
      </c>
      <c r="C19" s="21" t="s">
        <v>128</v>
      </c>
      <c r="D19" s="22" t="s">
        <v>678</v>
      </c>
      <c r="E19" s="323" t="s">
        <v>865</v>
      </c>
      <c r="F19" s="5"/>
      <c r="G19" s="323" t="s">
        <v>992</v>
      </c>
      <c r="H19" s="304" t="s">
        <v>890</v>
      </c>
      <c r="I19" s="5"/>
      <c r="J19" s="5"/>
      <c r="K19" s="14"/>
      <c r="L19" s="177"/>
      <c r="M19" s="194"/>
      <c r="N19" s="195"/>
      <c r="O19" s="195"/>
      <c r="P19" s="563">
        <v>11</v>
      </c>
      <c r="Q19" s="563"/>
      <c r="R19" s="563">
        <v>10</v>
      </c>
      <c r="S19" s="563"/>
      <c r="T19" s="195">
        <v>9</v>
      </c>
      <c r="U19" s="195"/>
      <c r="V19" s="195">
        <v>8</v>
      </c>
      <c r="W19" s="195"/>
      <c r="X19" s="195">
        <v>7</v>
      </c>
      <c r="Y19" s="195"/>
      <c r="Z19" s="195">
        <v>6</v>
      </c>
      <c r="AA19" s="195"/>
      <c r="AB19" s="195">
        <v>5</v>
      </c>
      <c r="AC19" s="195"/>
      <c r="AD19" s="195">
        <v>4</v>
      </c>
      <c r="AE19" s="195"/>
      <c r="AF19" s="195">
        <v>3</v>
      </c>
      <c r="AG19" s="195"/>
      <c r="AH19" s="195">
        <v>2</v>
      </c>
      <c r="AI19" s="195"/>
      <c r="AJ19" s="253">
        <v>1</v>
      </c>
      <c r="AK19" s="253"/>
      <c r="AL19" s="253">
        <v>0</v>
      </c>
      <c r="AM19" s="253"/>
      <c r="AN19" s="195"/>
      <c r="AO19" s="196"/>
      <c r="AP19" s="193"/>
      <c r="AQ19" s="186"/>
      <c r="AR19"/>
    </row>
    <row r="20" spans="2:44" s="1" customFormat="1" ht="16.5" thickBot="1">
      <c r="B20" s="42">
        <v>217</v>
      </c>
      <c r="C20" s="21" t="s">
        <v>136</v>
      </c>
      <c r="D20" s="22" t="s">
        <v>633</v>
      </c>
      <c r="E20" s="323" t="s">
        <v>865</v>
      </c>
      <c r="F20" s="5"/>
      <c r="G20" s="323" t="s">
        <v>989</v>
      </c>
      <c r="H20" s="304" t="s">
        <v>890</v>
      </c>
      <c r="I20" s="5"/>
      <c r="J20" s="5"/>
      <c r="K20" s="14"/>
      <c r="L20" s="558" t="s">
        <v>864</v>
      </c>
      <c r="M20" s="559"/>
      <c r="N20" s="559"/>
      <c r="O20" s="559"/>
      <c r="P20" s="559"/>
      <c r="Q20" s="559"/>
      <c r="R20" s="559"/>
      <c r="S20" s="559"/>
      <c r="T20" s="559"/>
      <c r="U20" s="559"/>
      <c r="V20" s="559"/>
      <c r="W20" s="559"/>
      <c r="X20" s="559"/>
      <c r="Y20" s="559"/>
      <c r="Z20" s="559"/>
      <c r="AA20" s="559"/>
      <c r="AB20" s="559"/>
      <c r="AC20" s="559"/>
      <c r="AD20" s="559"/>
      <c r="AE20" s="559"/>
      <c r="AF20" s="559"/>
      <c r="AG20" s="559"/>
      <c r="AH20" s="559"/>
      <c r="AI20" s="559"/>
      <c r="AJ20" s="559"/>
      <c r="AK20" s="559"/>
      <c r="AL20" s="559"/>
      <c r="AM20" s="559"/>
      <c r="AN20" s="559"/>
      <c r="AO20" s="559"/>
      <c r="AP20" s="559"/>
      <c r="AQ20" s="186"/>
      <c r="AR20"/>
    </row>
    <row r="21" spans="2:44" s="1" customFormat="1" ht="16.5" thickBot="1">
      <c r="B21" s="42">
        <v>218</v>
      </c>
      <c r="C21" s="21" t="s">
        <v>137</v>
      </c>
      <c r="D21" s="22" t="s">
        <v>656</v>
      </c>
      <c r="E21" s="323" t="s">
        <v>865</v>
      </c>
      <c r="F21" s="5"/>
      <c r="G21" s="323" t="s">
        <v>990</v>
      </c>
      <c r="H21" s="304" t="s">
        <v>890</v>
      </c>
      <c r="I21" s="5"/>
      <c r="J21" s="5"/>
      <c r="K21" s="14"/>
      <c r="L21" s="560" t="s">
        <v>721</v>
      </c>
      <c r="M21" s="561"/>
      <c r="N21" s="561"/>
      <c r="O21" s="561"/>
      <c r="P21" s="561"/>
      <c r="Q21" s="561"/>
      <c r="R21" s="561"/>
      <c r="S21" s="561"/>
      <c r="T21" s="561"/>
      <c r="U21" s="561"/>
      <c r="V21" s="561"/>
      <c r="W21" s="561"/>
      <c r="X21" s="561"/>
      <c r="Y21" s="561"/>
      <c r="Z21" s="561"/>
      <c r="AA21" s="561"/>
      <c r="AB21" s="561"/>
      <c r="AC21" s="561"/>
      <c r="AD21" s="561"/>
      <c r="AE21" s="561"/>
      <c r="AF21" s="561"/>
      <c r="AG21" s="561"/>
      <c r="AH21" s="561"/>
      <c r="AI21" s="561"/>
      <c r="AJ21" s="561"/>
      <c r="AK21" s="561"/>
      <c r="AL21" s="561"/>
      <c r="AM21" s="561"/>
      <c r="AN21" s="561"/>
      <c r="AO21" s="561"/>
      <c r="AP21" s="561"/>
      <c r="AQ21" s="193"/>
      <c r="AR21"/>
    </row>
    <row r="22" spans="2:44" s="1" customFormat="1" ht="16.5" thickBot="1">
      <c r="B22" s="260">
        <v>177</v>
      </c>
      <c r="C22" s="261" t="s">
        <v>96</v>
      </c>
      <c r="D22" s="262" t="s">
        <v>629</v>
      </c>
      <c r="E22" s="325" t="s">
        <v>865</v>
      </c>
      <c r="F22" s="212"/>
      <c r="G22" s="325" t="s">
        <v>987</v>
      </c>
      <c r="H22" s="304" t="s">
        <v>890</v>
      </c>
      <c r="I22" s="212"/>
      <c r="J22" s="212"/>
      <c r="K22" s="263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 ht="16.5" thickBot="1">
      <c r="B23" s="260">
        <v>187</v>
      </c>
      <c r="C23" s="261" t="s">
        <v>106</v>
      </c>
      <c r="D23" s="262" t="s">
        <v>630</v>
      </c>
      <c r="E23" s="325" t="s">
        <v>865</v>
      </c>
      <c r="F23" s="212"/>
      <c r="G23" s="325" t="s">
        <v>988</v>
      </c>
      <c r="H23" s="304" t="s">
        <v>890</v>
      </c>
      <c r="I23" s="212"/>
      <c r="J23" s="212"/>
      <c r="K23" s="263"/>
      <c r="L23"/>
      <c r="M23" s="562" t="s">
        <v>836</v>
      </c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2"/>
      <c r="AP23"/>
      <c r="AQ23"/>
      <c r="AR23"/>
    </row>
    <row r="24" spans="2:44" s="1" customFormat="1" ht="16.5" thickBot="1">
      <c r="B24" s="213">
        <v>178</v>
      </c>
      <c r="C24" s="214" t="s">
        <v>97</v>
      </c>
      <c r="D24" s="215" t="s">
        <v>652</v>
      </c>
      <c r="E24" s="359"/>
      <c r="F24" s="216"/>
      <c r="G24" s="216"/>
      <c r="H24" s="318"/>
      <c r="I24" s="216"/>
      <c r="J24" s="216"/>
      <c r="K24" s="217"/>
      <c r="L24"/>
      <c r="M24" s="557" t="s">
        <v>883</v>
      </c>
      <c r="N24" s="557"/>
      <c r="O24" s="557"/>
      <c r="P24" s="557"/>
      <c r="Q24" s="557"/>
      <c r="R24" s="557"/>
      <c r="S24" s="557"/>
      <c r="T24" s="557"/>
      <c r="U24" s="557"/>
      <c r="V24" s="557"/>
      <c r="W24" s="557"/>
      <c r="X24" s="557"/>
      <c r="Y24" s="557"/>
      <c r="Z24" s="557"/>
      <c r="AA24" s="557"/>
      <c r="AB24" s="557"/>
      <c r="AC24" s="557"/>
      <c r="AD24" s="557"/>
      <c r="AE24" s="557"/>
      <c r="AF24" s="557"/>
      <c r="AG24" s="557"/>
      <c r="AH24" s="557"/>
      <c r="AI24" s="557"/>
      <c r="AJ24" s="557"/>
      <c r="AK24" s="557"/>
      <c r="AL24" s="557"/>
      <c r="AM24" s="557"/>
      <c r="AN24" s="557"/>
      <c r="AO24" s="557"/>
      <c r="AP24"/>
      <c r="AQ24"/>
      <c r="AR24"/>
    </row>
    <row r="25" spans="2:44" s="1" customFormat="1">
      <c r="B25" s="213">
        <v>188</v>
      </c>
      <c r="C25" s="214" t="s">
        <v>107</v>
      </c>
      <c r="D25" s="215" t="s">
        <v>653</v>
      </c>
      <c r="E25" s="359"/>
      <c r="F25" s="216"/>
      <c r="G25" s="216"/>
      <c r="H25" s="318"/>
      <c r="I25" s="216"/>
      <c r="J25" s="216"/>
      <c r="K25" s="217"/>
      <c r="L25"/>
      <c r="M25" s="557"/>
      <c r="N25" s="557"/>
      <c r="O25" s="557"/>
      <c r="P25" s="557"/>
      <c r="Q25" s="557"/>
      <c r="R25" s="557"/>
      <c r="S25" s="557"/>
      <c r="T25" s="557"/>
      <c r="U25" s="557"/>
      <c r="V25" s="557"/>
      <c r="W25" s="557"/>
      <c r="X25" s="557"/>
      <c r="Y25" s="557"/>
      <c r="Z25" s="557"/>
      <c r="AA25" s="557"/>
      <c r="AB25" s="557"/>
      <c r="AC25" s="557"/>
      <c r="AD25" s="557"/>
      <c r="AE25" s="557"/>
      <c r="AF25" s="557"/>
      <c r="AG25" s="557"/>
      <c r="AH25" s="557"/>
      <c r="AI25" s="557"/>
      <c r="AJ25" s="557"/>
      <c r="AK25" s="557"/>
      <c r="AL25" s="557"/>
      <c r="AM25" s="557"/>
      <c r="AN25" s="557"/>
      <c r="AO25" s="557"/>
      <c r="AP25"/>
      <c r="AQ25"/>
      <c r="AR25"/>
    </row>
    <row r="26" spans="2:44" s="1" customFormat="1">
      <c r="B26" s="42">
        <v>277</v>
      </c>
      <c r="C26" s="21" t="s">
        <v>196</v>
      </c>
      <c r="D26" s="22" t="s">
        <v>635</v>
      </c>
      <c r="E26" s="323" t="s">
        <v>865</v>
      </c>
      <c r="F26" s="5"/>
      <c r="G26" s="323" t="s">
        <v>1000</v>
      </c>
      <c r="H26" s="335" t="s">
        <v>885</v>
      </c>
      <c r="I26" s="5"/>
      <c r="J26" s="5"/>
      <c r="K26" s="14"/>
      <c r="L26"/>
      <c r="M26" s="379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42">
        <v>278</v>
      </c>
      <c r="C27" s="21" t="s">
        <v>197</v>
      </c>
      <c r="D27" s="22" t="s">
        <v>658</v>
      </c>
      <c r="E27" s="323" t="s">
        <v>865</v>
      </c>
      <c r="F27" s="5"/>
      <c r="G27" s="323" t="s">
        <v>1001</v>
      </c>
      <c r="H27" s="305" t="s">
        <v>885</v>
      </c>
      <c r="I27" s="5"/>
      <c r="J27" s="5"/>
      <c r="K27" s="14"/>
      <c r="L27"/>
      <c r="M27" s="379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42">
        <v>287</v>
      </c>
      <c r="C28" s="21" t="s">
        <v>206</v>
      </c>
      <c r="D28" s="22" t="s">
        <v>636</v>
      </c>
      <c r="E28" s="323" t="s">
        <v>865</v>
      </c>
      <c r="F28" s="5"/>
      <c r="G28" s="323" t="s">
        <v>998</v>
      </c>
      <c r="H28" s="305" t="s">
        <v>885</v>
      </c>
      <c r="I28" s="5"/>
      <c r="J28" s="5"/>
      <c r="K28" s="14"/>
      <c r="L28"/>
      <c r="M28" s="379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42">
        <v>288</v>
      </c>
      <c r="C29" s="21" t="s">
        <v>207</v>
      </c>
      <c r="D29" s="22" t="s">
        <v>659</v>
      </c>
      <c r="E29" s="323" t="s">
        <v>865</v>
      </c>
      <c r="F29" s="5"/>
      <c r="G29" s="323" t="s">
        <v>999</v>
      </c>
      <c r="H29" s="305" t="s">
        <v>885</v>
      </c>
      <c r="I29" s="5"/>
      <c r="J29" s="5"/>
      <c r="K29" s="14"/>
      <c r="L29"/>
      <c r="M29" s="37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42">
        <v>297</v>
      </c>
      <c r="C30" s="21" t="s">
        <v>216</v>
      </c>
      <c r="D30" s="22" t="s">
        <v>637</v>
      </c>
      <c r="E30" s="323" t="s">
        <v>865</v>
      </c>
      <c r="F30" s="5"/>
      <c r="G30" s="323" t="s">
        <v>996</v>
      </c>
      <c r="H30" s="305" t="s">
        <v>885</v>
      </c>
      <c r="I30" s="5"/>
      <c r="J30" s="5"/>
      <c r="K30" s="14"/>
      <c r="L30"/>
      <c r="M30" s="379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42">
        <v>298</v>
      </c>
      <c r="C31" s="21" t="s">
        <v>217</v>
      </c>
      <c r="D31" s="22" t="s">
        <v>660</v>
      </c>
      <c r="E31" s="323" t="s">
        <v>865</v>
      </c>
      <c r="F31" s="5"/>
      <c r="G31" s="323" t="s">
        <v>997</v>
      </c>
      <c r="H31" s="305" t="s">
        <v>885</v>
      </c>
      <c r="I31" s="5"/>
      <c r="J31" s="5"/>
      <c r="K31" s="14"/>
      <c r="L31"/>
      <c r="M31" s="379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0">
        <v>307</v>
      </c>
      <c r="C32" s="261" t="s">
        <v>226</v>
      </c>
      <c r="D32" s="262" t="s">
        <v>638</v>
      </c>
      <c r="E32" s="325" t="s">
        <v>865</v>
      </c>
      <c r="F32" s="212"/>
      <c r="G32" s="325" t="s">
        <v>994</v>
      </c>
      <c r="H32" s="305" t="s">
        <v>885</v>
      </c>
      <c r="I32" s="212"/>
      <c r="J32" s="212"/>
      <c r="K32" s="263"/>
      <c r="L32"/>
      <c r="M32" s="379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0">
        <v>308</v>
      </c>
      <c r="C33" s="261" t="s">
        <v>227</v>
      </c>
      <c r="D33" s="262" t="s">
        <v>661</v>
      </c>
      <c r="E33" s="325" t="s">
        <v>865</v>
      </c>
      <c r="F33" s="212"/>
      <c r="G33" s="325" t="s">
        <v>995</v>
      </c>
      <c r="H33" s="305" t="s">
        <v>885</v>
      </c>
      <c r="I33" s="212"/>
      <c r="J33" s="212"/>
      <c r="K33" s="263"/>
      <c r="L33"/>
      <c r="M33" s="379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13">
        <v>317</v>
      </c>
      <c r="C34" s="214" t="s">
        <v>236</v>
      </c>
      <c r="D34" s="215" t="s">
        <v>639</v>
      </c>
      <c r="E34" s="359"/>
      <c r="F34" s="216"/>
      <c r="G34" s="216"/>
      <c r="H34" s="305"/>
      <c r="I34" s="216"/>
      <c r="J34" s="216"/>
      <c r="K34" s="217"/>
      <c r="L34"/>
      <c r="M34" s="379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13">
        <v>318</v>
      </c>
      <c r="C35" s="214" t="s">
        <v>237</v>
      </c>
      <c r="D35" s="215" t="s">
        <v>662</v>
      </c>
      <c r="E35" s="359"/>
      <c r="F35" s="216"/>
      <c r="G35" s="216"/>
      <c r="H35" s="305"/>
      <c r="I35" s="216"/>
      <c r="J35" s="216"/>
      <c r="K35" s="217"/>
      <c r="L35"/>
      <c r="M35" s="379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42">
        <v>279</v>
      </c>
      <c r="C36" s="21" t="s">
        <v>198</v>
      </c>
      <c r="D36" s="22" t="s">
        <v>679</v>
      </c>
      <c r="E36" s="323" t="s">
        <v>865</v>
      </c>
      <c r="F36" s="5"/>
      <c r="G36" s="323" t="s">
        <v>1002</v>
      </c>
      <c r="H36" s="305" t="s">
        <v>885</v>
      </c>
      <c r="I36" s="5"/>
      <c r="J36" s="5"/>
      <c r="K36" s="14"/>
      <c r="L36"/>
      <c r="M36" s="379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42">
        <v>280</v>
      </c>
      <c r="C37" s="21" t="s">
        <v>199</v>
      </c>
      <c r="D37" s="22" t="s">
        <v>701</v>
      </c>
      <c r="E37" s="323" t="s">
        <v>865</v>
      </c>
      <c r="F37" s="5"/>
      <c r="G37" s="323" t="s">
        <v>1003</v>
      </c>
      <c r="H37" s="305" t="s">
        <v>885</v>
      </c>
      <c r="I37" s="5"/>
      <c r="J37" s="5"/>
      <c r="K37" s="14"/>
      <c r="L37"/>
      <c r="M37" s="379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42">
        <v>289</v>
      </c>
      <c r="C38" s="21" t="s">
        <v>208</v>
      </c>
      <c r="D38" s="22" t="s">
        <v>680</v>
      </c>
      <c r="E38" s="323" t="s">
        <v>865</v>
      </c>
      <c r="F38" s="5"/>
      <c r="G38" s="323" t="s">
        <v>1004</v>
      </c>
      <c r="H38" s="305" t="s">
        <v>885</v>
      </c>
      <c r="I38" s="5"/>
      <c r="J38" s="5"/>
      <c r="K38" s="14"/>
      <c r="L38"/>
      <c r="M38" s="379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42">
        <v>290</v>
      </c>
      <c r="C39" s="21" t="s">
        <v>209</v>
      </c>
      <c r="D39" s="22" t="s">
        <v>702</v>
      </c>
      <c r="E39" s="323" t="s">
        <v>865</v>
      </c>
      <c r="F39" s="5"/>
      <c r="G39" s="323" t="s">
        <v>1005</v>
      </c>
      <c r="H39" s="305" t="s">
        <v>885</v>
      </c>
      <c r="I39" s="5"/>
      <c r="J39" s="5"/>
      <c r="K39" s="14"/>
      <c r="L39"/>
      <c r="M39" s="37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42">
        <v>299</v>
      </c>
      <c r="C40" s="21" t="s">
        <v>218</v>
      </c>
      <c r="D40" s="22" t="s">
        <v>681</v>
      </c>
      <c r="E40" s="323" t="s">
        <v>865</v>
      </c>
      <c r="F40" s="5"/>
      <c r="G40" s="323" t="s">
        <v>1008</v>
      </c>
      <c r="H40" s="305" t="s">
        <v>885</v>
      </c>
      <c r="I40" s="5"/>
      <c r="J40" s="5"/>
      <c r="K40" s="14"/>
      <c r="L40"/>
      <c r="M40" s="379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42">
        <v>300</v>
      </c>
      <c r="C41" s="21" t="s">
        <v>219</v>
      </c>
      <c r="D41" s="22" t="s">
        <v>703</v>
      </c>
      <c r="E41" s="323" t="s">
        <v>865</v>
      </c>
      <c r="F41" s="5"/>
      <c r="G41" s="323" t="s">
        <v>1009</v>
      </c>
      <c r="H41" s="305" t="s">
        <v>885</v>
      </c>
      <c r="I41" s="5"/>
      <c r="J41" s="5"/>
      <c r="K41" s="14"/>
      <c r="L41"/>
      <c r="M41" s="379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0">
        <v>309</v>
      </c>
      <c r="C42" s="261" t="s">
        <v>228</v>
      </c>
      <c r="D42" s="262" t="s">
        <v>682</v>
      </c>
      <c r="E42" s="325" t="s">
        <v>865</v>
      </c>
      <c r="F42" s="212"/>
      <c r="G42" s="325" t="s">
        <v>1006</v>
      </c>
      <c r="H42" s="305" t="s">
        <v>885</v>
      </c>
      <c r="I42" s="212"/>
      <c r="J42" s="212"/>
      <c r="K42" s="263"/>
      <c r="L42" s="3"/>
      <c r="M42" s="380"/>
    </row>
    <row r="43" spans="2:44" s="1" customFormat="1">
      <c r="B43" s="260">
        <v>310</v>
      </c>
      <c r="C43" s="261" t="s">
        <v>229</v>
      </c>
      <c r="D43" s="262" t="s">
        <v>704</v>
      </c>
      <c r="E43" s="325" t="s">
        <v>865</v>
      </c>
      <c r="F43" s="212"/>
      <c r="G43" s="325" t="s">
        <v>1007</v>
      </c>
      <c r="H43" s="305" t="s">
        <v>885</v>
      </c>
      <c r="I43" s="212"/>
      <c r="J43" s="212"/>
      <c r="K43" s="263"/>
      <c r="L43" s="3"/>
      <c r="M43" s="380"/>
    </row>
    <row r="44" spans="2:44" s="1" customFormat="1">
      <c r="B44" s="213">
        <v>319</v>
      </c>
      <c r="C44" s="214" t="s">
        <v>238</v>
      </c>
      <c r="D44" s="215" t="s">
        <v>683</v>
      </c>
      <c r="E44" s="199"/>
      <c r="F44" s="216"/>
      <c r="G44" s="216"/>
      <c r="H44" s="306"/>
      <c r="I44" s="216"/>
      <c r="J44" s="216"/>
      <c r="K44" s="217"/>
      <c r="L44" s="3"/>
      <c r="M44" s="380"/>
    </row>
    <row r="45" spans="2:44" s="1" customFormat="1">
      <c r="B45" s="213">
        <v>320</v>
      </c>
      <c r="C45" s="214" t="s">
        <v>239</v>
      </c>
      <c r="D45" s="215" t="s">
        <v>705</v>
      </c>
      <c r="E45" s="199"/>
      <c r="F45" s="216"/>
      <c r="G45" s="216"/>
      <c r="H45" s="306"/>
      <c r="I45" s="216"/>
      <c r="J45" s="216"/>
      <c r="K45" s="217"/>
      <c r="L45" s="3"/>
      <c r="M45" s="380"/>
    </row>
    <row r="46" spans="2:44" s="1" customFormat="1">
      <c r="B46" s="260">
        <v>37</v>
      </c>
      <c r="C46" s="261" t="s">
        <v>373</v>
      </c>
      <c r="D46" s="262" t="s">
        <v>622</v>
      </c>
      <c r="E46" s="325" t="s">
        <v>866</v>
      </c>
      <c r="F46" s="212"/>
      <c r="G46" s="325" t="s">
        <v>985</v>
      </c>
      <c r="H46" s="335" t="s">
        <v>911</v>
      </c>
      <c r="I46" s="212"/>
      <c r="J46" s="212"/>
      <c r="K46" s="263"/>
      <c r="L46" s="3"/>
      <c r="M46" s="380"/>
    </row>
    <row r="47" spans="2:44" s="1" customFormat="1">
      <c r="B47" s="260">
        <v>27</v>
      </c>
      <c r="C47" s="261" t="s">
        <v>363</v>
      </c>
      <c r="D47" s="262" t="s">
        <v>623</v>
      </c>
      <c r="E47" s="325" t="s">
        <v>866</v>
      </c>
      <c r="F47" s="212"/>
      <c r="G47" s="325" t="s">
        <v>986</v>
      </c>
      <c r="H47" s="310" t="s">
        <v>911</v>
      </c>
      <c r="I47" s="212"/>
      <c r="J47" s="212"/>
      <c r="K47" s="263"/>
      <c r="L47" s="3"/>
      <c r="M47" s="380"/>
    </row>
    <row r="48" spans="2:44">
      <c r="B48" s="260">
        <v>18</v>
      </c>
      <c r="C48" s="261" t="s">
        <v>354</v>
      </c>
      <c r="D48" s="262" t="s">
        <v>643</v>
      </c>
      <c r="E48" s="325" t="s">
        <v>866</v>
      </c>
      <c r="F48" s="212"/>
      <c r="G48" s="325" t="s">
        <v>983</v>
      </c>
      <c r="H48" s="310" t="s">
        <v>911</v>
      </c>
      <c r="I48" s="212"/>
      <c r="J48" s="212"/>
      <c r="K48" s="263"/>
      <c r="M48" s="381"/>
    </row>
    <row r="49" spans="2:13">
      <c r="B49" s="260">
        <v>8</v>
      </c>
      <c r="C49" s="261" t="s">
        <v>344</v>
      </c>
      <c r="D49" s="262" t="s">
        <v>644</v>
      </c>
      <c r="E49" s="325" t="s">
        <v>866</v>
      </c>
      <c r="F49" s="212"/>
      <c r="G49" s="325" t="s">
        <v>984</v>
      </c>
      <c r="H49" s="310" t="s">
        <v>911</v>
      </c>
      <c r="I49" s="212"/>
      <c r="J49" s="212"/>
      <c r="K49" s="263"/>
      <c r="M49" s="381"/>
    </row>
    <row r="50" spans="2:13">
      <c r="B50" s="260">
        <v>10</v>
      </c>
      <c r="C50" s="261" t="s">
        <v>346</v>
      </c>
      <c r="D50" s="262" t="s">
        <v>666</v>
      </c>
      <c r="E50" s="325" t="s">
        <v>866</v>
      </c>
      <c r="F50" s="212"/>
      <c r="G50" s="325" t="s">
        <v>981</v>
      </c>
      <c r="H50" s="310" t="s">
        <v>911</v>
      </c>
      <c r="I50" s="212"/>
      <c r="J50" s="212"/>
      <c r="K50" s="263"/>
      <c r="M50" s="381"/>
    </row>
    <row r="51" spans="2:13">
      <c r="B51" s="260">
        <v>9</v>
      </c>
      <c r="C51" s="261" t="s">
        <v>345</v>
      </c>
      <c r="D51" s="262" t="s">
        <v>688</v>
      </c>
      <c r="E51" s="325" t="s">
        <v>866</v>
      </c>
      <c r="F51" s="212"/>
      <c r="G51" s="325" t="s">
        <v>982</v>
      </c>
      <c r="H51" s="310" t="s">
        <v>911</v>
      </c>
      <c r="I51" s="212"/>
      <c r="J51" s="212"/>
      <c r="K51" s="263"/>
      <c r="M51" s="381"/>
    </row>
    <row r="52" spans="2:13">
      <c r="B52" s="260">
        <v>7</v>
      </c>
      <c r="C52" s="261" t="s">
        <v>343</v>
      </c>
      <c r="D52" s="262" t="s">
        <v>621</v>
      </c>
      <c r="E52" s="325" t="s">
        <v>866</v>
      </c>
      <c r="F52" s="212"/>
      <c r="G52" s="325" t="s">
        <v>980</v>
      </c>
      <c r="H52" s="310" t="s">
        <v>911</v>
      </c>
      <c r="I52" s="212"/>
      <c r="J52" s="212"/>
      <c r="K52" s="263"/>
      <c r="M52" s="381"/>
    </row>
    <row r="53" spans="2:13">
      <c r="B53" s="260">
        <v>17</v>
      </c>
      <c r="C53" s="261" t="s">
        <v>353</v>
      </c>
      <c r="D53" s="262" t="s">
        <v>620</v>
      </c>
      <c r="E53" s="325" t="s">
        <v>866</v>
      </c>
      <c r="F53" s="212"/>
      <c r="G53" s="325" t="s">
        <v>4</v>
      </c>
      <c r="H53" s="310" t="s">
        <v>911</v>
      </c>
      <c r="I53" s="212"/>
      <c r="J53" s="212"/>
      <c r="K53" s="263"/>
      <c r="M53" s="381"/>
    </row>
    <row r="54" spans="2:13">
      <c r="B54" s="213">
        <v>6</v>
      </c>
      <c r="C54" s="214" t="s">
        <v>342</v>
      </c>
      <c r="D54" s="215" t="s">
        <v>611</v>
      </c>
      <c r="E54" s="359"/>
      <c r="F54" s="216"/>
      <c r="G54" s="359"/>
      <c r="H54" s="310"/>
      <c r="I54" s="216"/>
      <c r="J54" s="216"/>
      <c r="K54" s="217"/>
      <c r="M54" s="381"/>
    </row>
    <row r="55" spans="2:13">
      <c r="B55" s="213">
        <v>16</v>
      </c>
      <c r="C55" s="214" t="s">
        <v>352</v>
      </c>
      <c r="D55" s="215" t="s">
        <v>610</v>
      </c>
      <c r="E55" s="359"/>
      <c r="F55" s="216"/>
      <c r="G55" s="359"/>
      <c r="H55" s="310"/>
      <c r="I55" s="216"/>
      <c r="J55" s="216"/>
      <c r="K55" s="217"/>
      <c r="M55" s="381"/>
    </row>
    <row r="56" spans="2:13">
      <c r="B56" s="260">
        <v>60</v>
      </c>
      <c r="C56" s="261" t="s">
        <v>396</v>
      </c>
      <c r="D56" s="264" t="s">
        <v>669</v>
      </c>
      <c r="E56" s="325" t="s">
        <v>866</v>
      </c>
      <c r="F56" s="212"/>
      <c r="G56" s="325" t="s">
        <v>993</v>
      </c>
      <c r="H56" s="310" t="s">
        <v>911</v>
      </c>
      <c r="I56" s="212"/>
      <c r="J56" s="212"/>
      <c r="K56" s="263"/>
      <c r="M56" s="381"/>
    </row>
    <row r="57" spans="2:13">
      <c r="B57" s="260">
        <v>59</v>
      </c>
      <c r="C57" s="261" t="s">
        <v>395</v>
      </c>
      <c r="D57" s="264" t="s">
        <v>691</v>
      </c>
      <c r="E57" s="325" t="s">
        <v>866</v>
      </c>
      <c r="F57" s="212"/>
      <c r="G57" s="325" t="s">
        <v>8</v>
      </c>
      <c r="H57" s="310" t="s">
        <v>911</v>
      </c>
      <c r="I57" s="212"/>
      <c r="J57" s="212"/>
      <c r="K57" s="263"/>
      <c r="M57" s="381"/>
    </row>
    <row r="58" spans="2:13">
      <c r="B58" s="260">
        <v>28</v>
      </c>
      <c r="C58" s="261" t="s">
        <v>364</v>
      </c>
      <c r="D58" s="262" t="s">
        <v>646</v>
      </c>
      <c r="E58" s="325" t="s">
        <v>866</v>
      </c>
      <c r="F58" s="212"/>
      <c r="G58" s="325" t="s">
        <v>991</v>
      </c>
      <c r="H58" s="310" t="s">
        <v>911</v>
      </c>
      <c r="I58" s="212"/>
      <c r="J58" s="212"/>
      <c r="K58" s="263"/>
      <c r="M58" s="381"/>
    </row>
    <row r="59" spans="2:13">
      <c r="B59" s="260">
        <v>38</v>
      </c>
      <c r="C59" s="261" t="s">
        <v>374</v>
      </c>
      <c r="D59" s="262" t="s">
        <v>645</v>
      </c>
      <c r="E59" s="325" t="s">
        <v>866</v>
      </c>
      <c r="F59" s="212"/>
      <c r="G59" s="325" t="s">
        <v>992</v>
      </c>
      <c r="H59" s="310" t="s">
        <v>911</v>
      </c>
      <c r="I59" s="212"/>
      <c r="J59" s="212"/>
      <c r="K59" s="263"/>
      <c r="M59" s="381"/>
    </row>
    <row r="60" spans="2:13">
      <c r="B60" s="260">
        <v>49</v>
      </c>
      <c r="C60" s="261" t="s">
        <v>385</v>
      </c>
      <c r="D60" s="264" t="s">
        <v>690</v>
      </c>
      <c r="E60" s="325" t="s">
        <v>866</v>
      </c>
      <c r="F60" s="212"/>
      <c r="G60" s="325" t="s">
        <v>989</v>
      </c>
      <c r="H60" s="310" t="s">
        <v>911</v>
      </c>
      <c r="I60" s="212"/>
      <c r="J60" s="212"/>
      <c r="K60" s="263"/>
      <c r="M60" s="381"/>
    </row>
    <row r="61" spans="2:13">
      <c r="B61" s="260">
        <v>50</v>
      </c>
      <c r="C61" s="261" t="s">
        <v>386</v>
      </c>
      <c r="D61" s="264" t="s">
        <v>668</v>
      </c>
      <c r="E61" s="325" t="s">
        <v>866</v>
      </c>
      <c r="F61" s="212"/>
      <c r="G61" s="325" t="s">
        <v>990</v>
      </c>
      <c r="H61" s="310" t="s">
        <v>911</v>
      </c>
      <c r="I61" s="212"/>
      <c r="J61" s="212"/>
      <c r="K61" s="263"/>
      <c r="M61" s="381"/>
    </row>
    <row r="62" spans="2:13">
      <c r="B62" s="260">
        <v>19</v>
      </c>
      <c r="C62" s="261" t="s">
        <v>355</v>
      </c>
      <c r="D62" s="262" t="s">
        <v>689</v>
      </c>
      <c r="E62" s="325" t="s">
        <v>866</v>
      </c>
      <c r="F62" s="212"/>
      <c r="G62" s="325" t="s">
        <v>987</v>
      </c>
      <c r="H62" s="310" t="s">
        <v>911</v>
      </c>
      <c r="I62" s="212"/>
      <c r="J62" s="212"/>
      <c r="K62" s="263"/>
      <c r="M62" s="381"/>
    </row>
    <row r="63" spans="2:13">
      <c r="B63" s="260">
        <v>20</v>
      </c>
      <c r="C63" s="261" t="s">
        <v>356</v>
      </c>
      <c r="D63" s="262" t="s">
        <v>667</v>
      </c>
      <c r="E63" s="325" t="s">
        <v>866</v>
      </c>
      <c r="F63" s="212"/>
      <c r="G63" s="325" t="s">
        <v>988</v>
      </c>
      <c r="H63" s="310" t="s">
        <v>911</v>
      </c>
      <c r="I63" s="212"/>
      <c r="J63" s="212"/>
      <c r="K63" s="263"/>
      <c r="M63" s="381"/>
    </row>
    <row r="64" spans="2:13">
      <c r="B64" s="213">
        <v>26</v>
      </c>
      <c r="C64" s="214" t="s">
        <v>362</v>
      </c>
      <c r="D64" s="215" t="s">
        <v>613</v>
      </c>
      <c r="E64" s="199"/>
      <c r="F64" s="216"/>
      <c r="G64" s="216"/>
      <c r="H64" s="306"/>
      <c r="I64" s="216"/>
      <c r="J64" s="216"/>
      <c r="K64" s="217"/>
      <c r="M64" s="381"/>
    </row>
    <row r="65" spans="2:13">
      <c r="B65" s="213">
        <v>36</v>
      </c>
      <c r="C65" s="214" t="s">
        <v>372</v>
      </c>
      <c r="D65" s="215" t="s">
        <v>612</v>
      </c>
      <c r="E65" s="199"/>
      <c r="F65" s="216"/>
      <c r="G65" s="216"/>
      <c r="H65" s="306"/>
      <c r="I65" s="216"/>
      <c r="J65" s="216"/>
      <c r="K65" s="217"/>
      <c r="M65" s="381"/>
    </row>
    <row r="66" spans="2:13">
      <c r="B66" s="260">
        <v>118</v>
      </c>
      <c r="C66" s="261" t="s">
        <v>37</v>
      </c>
      <c r="D66" s="262" t="s">
        <v>624</v>
      </c>
      <c r="E66" s="325" t="s">
        <v>866</v>
      </c>
      <c r="F66" s="212"/>
      <c r="G66" s="325" t="s">
        <v>1000</v>
      </c>
      <c r="H66" s="336" t="s">
        <v>892</v>
      </c>
      <c r="I66" s="212"/>
      <c r="J66" s="212"/>
      <c r="K66" s="263"/>
      <c r="M66" s="381"/>
    </row>
    <row r="67" spans="2:13">
      <c r="B67" s="260">
        <v>117</v>
      </c>
      <c r="C67" s="261" t="s">
        <v>36</v>
      </c>
      <c r="D67" s="262" t="s">
        <v>647</v>
      </c>
      <c r="E67" s="325" t="s">
        <v>866</v>
      </c>
      <c r="F67" s="212"/>
      <c r="G67" s="325" t="s">
        <v>1001</v>
      </c>
      <c r="H67" s="307" t="s">
        <v>892</v>
      </c>
      <c r="I67" s="212"/>
      <c r="J67" s="212"/>
      <c r="K67" s="263"/>
      <c r="M67" s="381"/>
    </row>
    <row r="68" spans="2:13">
      <c r="B68" s="260">
        <v>148</v>
      </c>
      <c r="C68" s="261" t="s">
        <v>67</v>
      </c>
      <c r="D68" s="262" t="s">
        <v>626</v>
      </c>
      <c r="E68" s="325" t="s">
        <v>866</v>
      </c>
      <c r="F68" s="212"/>
      <c r="G68" s="325" t="s">
        <v>998</v>
      </c>
      <c r="H68" s="307" t="s">
        <v>892</v>
      </c>
      <c r="I68" s="212"/>
      <c r="J68" s="212"/>
      <c r="K68" s="263"/>
      <c r="M68" s="381"/>
    </row>
    <row r="69" spans="2:13">
      <c r="B69" s="260">
        <v>147</v>
      </c>
      <c r="C69" s="261" t="s">
        <v>66</v>
      </c>
      <c r="D69" s="262" t="s">
        <v>649</v>
      </c>
      <c r="E69" s="325" t="s">
        <v>866</v>
      </c>
      <c r="F69" s="212"/>
      <c r="G69" s="325" t="s">
        <v>999</v>
      </c>
      <c r="H69" s="307" t="s">
        <v>892</v>
      </c>
      <c r="I69" s="212"/>
      <c r="J69" s="212"/>
      <c r="K69" s="263"/>
      <c r="M69" s="381"/>
    </row>
    <row r="70" spans="2:13">
      <c r="B70" s="260">
        <v>168</v>
      </c>
      <c r="C70" s="261" t="s">
        <v>87</v>
      </c>
      <c r="D70" s="262" t="s">
        <v>628</v>
      </c>
      <c r="E70" s="325" t="s">
        <v>866</v>
      </c>
      <c r="F70" s="212"/>
      <c r="G70" s="325" t="s">
        <v>996</v>
      </c>
      <c r="H70" s="307" t="s">
        <v>892</v>
      </c>
      <c r="I70" s="212"/>
      <c r="J70" s="212"/>
      <c r="K70" s="263"/>
      <c r="M70" s="381"/>
    </row>
    <row r="71" spans="2:13">
      <c r="B71" s="260">
        <v>167</v>
      </c>
      <c r="C71" s="261" t="s">
        <v>86</v>
      </c>
      <c r="D71" s="262" t="s">
        <v>651</v>
      </c>
      <c r="E71" s="325" t="s">
        <v>866</v>
      </c>
      <c r="F71" s="212"/>
      <c r="G71" s="325" t="s">
        <v>997</v>
      </c>
      <c r="H71" s="307" t="s">
        <v>892</v>
      </c>
      <c r="I71" s="212"/>
      <c r="J71" s="212"/>
      <c r="K71" s="263"/>
      <c r="M71" s="381"/>
    </row>
    <row r="72" spans="2:13">
      <c r="B72" s="260">
        <v>170</v>
      </c>
      <c r="C72" s="261" t="s">
        <v>89</v>
      </c>
      <c r="D72" s="262" t="s">
        <v>674</v>
      </c>
      <c r="E72" s="325" t="s">
        <v>866</v>
      </c>
      <c r="F72" s="212"/>
      <c r="G72" s="325" t="s">
        <v>994</v>
      </c>
      <c r="H72" s="307" t="s">
        <v>892</v>
      </c>
      <c r="I72" s="212"/>
      <c r="J72" s="212"/>
      <c r="K72" s="263"/>
      <c r="M72" s="381"/>
    </row>
    <row r="73" spans="2:13">
      <c r="B73" s="260">
        <v>169</v>
      </c>
      <c r="C73" s="261" t="s">
        <v>88</v>
      </c>
      <c r="D73" s="262" t="s">
        <v>696</v>
      </c>
      <c r="E73" s="325" t="s">
        <v>866</v>
      </c>
      <c r="F73" s="212"/>
      <c r="G73" s="325" t="s">
        <v>995</v>
      </c>
      <c r="H73" s="307" t="s">
        <v>892</v>
      </c>
      <c r="I73" s="212"/>
      <c r="J73" s="212"/>
      <c r="K73" s="263"/>
      <c r="M73" s="381"/>
    </row>
    <row r="74" spans="2:13">
      <c r="B74" s="213">
        <v>158</v>
      </c>
      <c r="C74" s="214" t="s">
        <v>77</v>
      </c>
      <c r="D74" s="215" t="s">
        <v>627</v>
      </c>
      <c r="E74" s="359"/>
      <c r="F74" s="216"/>
      <c r="G74" s="216"/>
      <c r="H74" s="307"/>
      <c r="I74" s="216"/>
      <c r="J74" s="216"/>
      <c r="K74" s="217"/>
      <c r="M74" s="381"/>
    </row>
    <row r="75" spans="2:13">
      <c r="B75" s="213">
        <v>157</v>
      </c>
      <c r="C75" s="214" t="s">
        <v>76</v>
      </c>
      <c r="D75" s="215" t="s">
        <v>650</v>
      </c>
      <c r="E75" s="359"/>
      <c r="F75" s="216"/>
      <c r="G75" s="216"/>
      <c r="H75" s="307"/>
      <c r="I75" s="216"/>
      <c r="J75" s="216"/>
      <c r="K75" s="217"/>
      <c r="M75" s="381"/>
    </row>
    <row r="76" spans="2:13">
      <c r="B76" s="260">
        <v>129</v>
      </c>
      <c r="C76" s="261" t="s">
        <v>48</v>
      </c>
      <c r="D76" s="262" t="s">
        <v>692</v>
      </c>
      <c r="E76" s="325" t="s">
        <v>866</v>
      </c>
      <c r="F76" s="212"/>
      <c r="G76" s="325" t="s">
        <v>1002</v>
      </c>
      <c r="H76" s="307" t="s">
        <v>892</v>
      </c>
      <c r="I76" s="212"/>
      <c r="J76" s="212"/>
      <c r="K76" s="263"/>
      <c r="M76" s="381"/>
    </row>
    <row r="77" spans="2:13">
      <c r="B77" s="260">
        <v>130</v>
      </c>
      <c r="C77" s="261" t="s">
        <v>49</v>
      </c>
      <c r="D77" s="262" t="s">
        <v>670</v>
      </c>
      <c r="E77" s="325" t="s">
        <v>866</v>
      </c>
      <c r="F77" s="212"/>
      <c r="G77" s="325" t="s">
        <v>1003</v>
      </c>
      <c r="H77" s="307" t="s">
        <v>892</v>
      </c>
      <c r="I77" s="212"/>
      <c r="J77" s="212"/>
      <c r="K77" s="263"/>
      <c r="M77" s="381"/>
    </row>
    <row r="78" spans="2:13">
      <c r="B78" s="260">
        <v>139</v>
      </c>
      <c r="C78" s="261" t="s">
        <v>58</v>
      </c>
      <c r="D78" s="262" t="s">
        <v>693</v>
      </c>
      <c r="E78" s="325" t="s">
        <v>866</v>
      </c>
      <c r="F78" s="212"/>
      <c r="G78" s="325" t="s">
        <v>1004</v>
      </c>
      <c r="H78" s="307" t="s">
        <v>892</v>
      </c>
      <c r="I78" s="212"/>
      <c r="J78" s="212"/>
      <c r="K78" s="263"/>
      <c r="M78" s="381"/>
    </row>
    <row r="79" spans="2:13">
      <c r="B79" s="260">
        <v>140</v>
      </c>
      <c r="C79" s="261" t="s">
        <v>59</v>
      </c>
      <c r="D79" s="262" t="s">
        <v>671</v>
      </c>
      <c r="E79" s="325" t="s">
        <v>866</v>
      </c>
      <c r="F79" s="212"/>
      <c r="G79" s="325" t="s">
        <v>1005</v>
      </c>
      <c r="H79" s="307" t="s">
        <v>892</v>
      </c>
      <c r="I79" s="212"/>
      <c r="J79" s="212"/>
      <c r="K79" s="263"/>
      <c r="M79" s="381"/>
    </row>
    <row r="80" spans="2:13">
      <c r="B80" s="260">
        <v>138</v>
      </c>
      <c r="C80" s="261" t="s">
        <v>57</v>
      </c>
      <c r="D80" s="262" t="s">
        <v>625</v>
      </c>
      <c r="E80" s="325" t="s">
        <v>866</v>
      </c>
      <c r="F80" s="212"/>
      <c r="G80" s="325" t="s">
        <v>1008</v>
      </c>
      <c r="H80" s="307" t="s">
        <v>892</v>
      </c>
      <c r="I80" s="212"/>
      <c r="J80" s="212"/>
      <c r="K80" s="263"/>
      <c r="M80" s="381"/>
    </row>
    <row r="81" spans="2:13">
      <c r="B81" s="260">
        <v>137</v>
      </c>
      <c r="C81" s="261" t="s">
        <v>56</v>
      </c>
      <c r="D81" s="262" t="s">
        <v>648</v>
      </c>
      <c r="E81" s="325" t="s">
        <v>866</v>
      </c>
      <c r="F81" s="212"/>
      <c r="G81" s="325" t="s">
        <v>1009</v>
      </c>
      <c r="H81" s="307" t="s">
        <v>892</v>
      </c>
      <c r="I81" s="212"/>
      <c r="J81" s="212"/>
      <c r="K81" s="263"/>
      <c r="M81" s="381"/>
    </row>
    <row r="82" spans="2:13">
      <c r="B82" s="260">
        <v>150</v>
      </c>
      <c r="C82" s="261" t="s">
        <v>69</v>
      </c>
      <c r="D82" s="262" t="s">
        <v>672</v>
      </c>
      <c r="E82" s="325" t="s">
        <v>866</v>
      </c>
      <c r="F82" s="212"/>
      <c r="G82" s="386" t="s">
        <v>1006</v>
      </c>
      <c r="H82" s="307" t="s">
        <v>892</v>
      </c>
      <c r="I82" s="212"/>
      <c r="J82" s="212"/>
      <c r="K82" s="263"/>
      <c r="M82" s="381"/>
    </row>
    <row r="83" spans="2:13">
      <c r="B83" s="260">
        <v>149</v>
      </c>
      <c r="C83" s="261" t="s">
        <v>68</v>
      </c>
      <c r="D83" s="262" t="s">
        <v>694</v>
      </c>
      <c r="E83" s="325" t="s">
        <v>866</v>
      </c>
      <c r="F83" s="212"/>
      <c r="G83" s="386" t="s">
        <v>1007</v>
      </c>
      <c r="H83" s="307" t="s">
        <v>892</v>
      </c>
      <c r="I83" s="212"/>
      <c r="J83" s="212"/>
      <c r="K83" s="263"/>
      <c r="M83" s="381"/>
    </row>
    <row r="84" spans="2:13">
      <c r="B84" s="213">
        <v>160</v>
      </c>
      <c r="C84" s="214" t="s">
        <v>79</v>
      </c>
      <c r="D84" s="215" t="s">
        <v>673</v>
      </c>
      <c r="E84" s="199"/>
      <c r="F84" s="216"/>
      <c r="G84" s="216"/>
      <c r="H84" s="306"/>
      <c r="I84" s="216"/>
      <c r="J84" s="216"/>
      <c r="K84" s="217"/>
    </row>
    <row r="85" spans="2:13">
      <c r="B85" s="213">
        <v>159</v>
      </c>
      <c r="C85" s="214" t="s">
        <v>78</v>
      </c>
      <c r="D85" s="215" t="s">
        <v>695</v>
      </c>
      <c r="E85" s="199"/>
      <c r="F85" s="216"/>
      <c r="G85" s="216"/>
      <c r="H85" s="306"/>
      <c r="I85" s="216"/>
      <c r="J85" s="216"/>
      <c r="K85" s="217"/>
    </row>
    <row r="86" spans="2:13">
      <c r="B86" s="260">
        <v>128</v>
      </c>
      <c r="C86" s="261" t="s">
        <v>47</v>
      </c>
      <c r="D86" s="326" t="s">
        <v>507</v>
      </c>
      <c r="E86" s="325" t="s">
        <v>866</v>
      </c>
      <c r="F86" s="325"/>
      <c r="G86" s="325" t="s">
        <v>226</v>
      </c>
      <c r="H86" s="308"/>
      <c r="I86" s="212"/>
      <c r="J86" s="212"/>
      <c r="K86" s="263"/>
    </row>
    <row r="87" spans="2:13">
      <c r="B87" s="260">
        <v>127</v>
      </c>
      <c r="C87" s="261" t="s">
        <v>46</v>
      </c>
      <c r="D87" s="326" t="s">
        <v>497</v>
      </c>
      <c r="E87" s="325" t="s">
        <v>866</v>
      </c>
      <c r="F87" s="325"/>
      <c r="G87" s="325" t="s">
        <v>236</v>
      </c>
      <c r="H87" s="308"/>
      <c r="I87" s="212"/>
      <c r="J87" s="212"/>
      <c r="K87" s="263"/>
    </row>
    <row r="88" spans="2:13">
      <c r="B88" s="260">
        <v>79</v>
      </c>
      <c r="C88" s="261" t="s">
        <v>415</v>
      </c>
      <c r="D88" s="264" t="s">
        <v>490</v>
      </c>
      <c r="E88" s="212"/>
      <c r="F88" s="212"/>
      <c r="G88" s="212"/>
      <c r="H88" s="308"/>
      <c r="I88" s="212"/>
      <c r="J88" s="212"/>
      <c r="K88" s="263"/>
    </row>
    <row r="89" spans="2:13">
      <c r="B89" s="260">
        <v>78</v>
      </c>
      <c r="C89" s="261" t="s">
        <v>414</v>
      </c>
      <c r="D89" s="350" t="s">
        <v>498</v>
      </c>
      <c r="E89" s="325" t="s">
        <v>866</v>
      </c>
      <c r="F89" s="325"/>
      <c r="G89" s="351" t="s">
        <v>1034</v>
      </c>
      <c r="H89" s="308"/>
      <c r="I89" s="212"/>
      <c r="J89" s="212"/>
      <c r="K89" s="263"/>
    </row>
    <row r="90" spans="2:13">
      <c r="B90" s="260">
        <v>88</v>
      </c>
      <c r="C90" s="261" t="s">
        <v>424</v>
      </c>
      <c r="D90" s="262" t="s">
        <v>499</v>
      </c>
      <c r="E90" s="212"/>
      <c r="F90" s="212"/>
      <c r="G90" s="212"/>
      <c r="H90" s="308"/>
      <c r="I90" s="212"/>
      <c r="J90" s="212"/>
      <c r="K90" s="263"/>
    </row>
    <row r="91" spans="2:13">
      <c r="B91" s="260">
        <v>89</v>
      </c>
      <c r="C91" s="261" t="s">
        <v>425</v>
      </c>
      <c r="D91" s="326" t="s">
        <v>491</v>
      </c>
      <c r="E91" s="325" t="s">
        <v>866</v>
      </c>
      <c r="F91" s="325"/>
      <c r="G91" s="351" t="s">
        <v>1035</v>
      </c>
      <c r="H91" s="308"/>
      <c r="I91" s="212"/>
      <c r="J91" s="212"/>
      <c r="K91" s="263"/>
    </row>
    <row r="92" spans="2:13">
      <c r="B92" s="260">
        <v>47</v>
      </c>
      <c r="C92" s="261" t="s">
        <v>383</v>
      </c>
      <c r="D92" s="264" t="s">
        <v>474</v>
      </c>
      <c r="E92" s="212"/>
      <c r="F92" s="212"/>
      <c r="G92" s="212"/>
      <c r="H92" s="308"/>
      <c r="I92" s="212"/>
      <c r="J92" s="212"/>
      <c r="K92" s="263"/>
    </row>
    <row r="93" spans="2:13">
      <c r="B93" s="260">
        <v>57</v>
      </c>
      <c r="C93" s="261" t="s">
        <v>393</v>
      </c>
      <c r="D93" s="264" t="s">
        <v>474</v>
      </c>
      <c r="E93" s="212"/>
      <c r="F93" s="212"/>
      <c r="G93" s="212"/>
      <c r="H93" s="308"/>
      <c r="I93" s="212"/>
      <c r="J93" s="212"/>
      <c r="K93" s="263"/>
    </row>
    <row r="94" spans="2:13">
      <c r="B94" s="260">
        <v>67</v>
      </c>
      <c r="C94" s="261" t="s">
        <v>403</v>
      </c>
      <c r="D94" s="264" t="s">
        <v>474</v>
      </c>
      <c r="E94" s="212"/>
      <c r="F94" s="212"/>
      <c r="G94" s="212"/>
      <c r="H94" s="308"/>
      <c r="I94" s="212"/>
      <c r="J94" s="212"/>
      <c r="K94" s="263"/>
    </row>
    <row r="95" spans="2:13">
      <c r="B95" s="260">
        <v>77</v>
      </c>
      <c r="C95" s="261" t="s">
        <v>413</v>
      </c>
      <c r="D95" s="264" t="s">
        <v>474</v>
      </c>
      <c r="E95" s="212"/>
      <c r="F95" s="212"/>
      <c r="G95" s="212"/>
      <c r="H95" s="308"/>
      <c r="I95" s="212"/>
      <c r="J95" s="212"/>
      <c r="K95" s="263"/>
    </row>
    <row r="96" spans="2:13">
      <c r="B96" s="260">
        <v>87</v>
      </c>
      <c r="C96" s="261" t="s">
        <v>423</v>
      </c>
      <c r="D96" s="262" t="s">
        <v>474</v>
      </c>
      <c r="E96" s="212"/>
      <c r="F96" s="212"/>
      <c r="G96" s="212"/>
      <c r="H96" s="308"/>
      <c r="I96" s="212"/>
      <c r="J96" s="212"/>
      <c r="K96" s="263"/>
    </row>
    <row r="97" spans="2:11">
      <c r="B97" s="260">
        <v>48</v>
      </c>
      <c r="C97" s="261" t="s">
        <v>384</v>
      </c>
      <c r="D97" s="264" t="s">
        <v>474</v>
      </c>
      <c r="E97" s="212"/>
      <c r="F97" s="212"/>
      <c r="G97" s="212"/>
      <c r="H97" s="308"/>
      <c r="I97" s="212"/>
      <c r="J97" s="212"/>
      <c r="K97" s="263"/>
    </row>
    <row r="98" spans="2:11">
      <c r="B98" s="260">
        <v>58</v>
      </c>
      <c r="C98" s="261" t="s">
        <v>394</v>
      </c>
      <c r="D98" s="264" t="s">
        <v>474</v>
      </c>
      <c r="E98" s="212"/>
      <c r="F98" s="212"/>
      <c r="G98" s="212"/>
      <c r="H98" s="308"/>
      <c r="I98" s="212"/>
      <c r="J98" s="212"/>
      <c r="K98" s="263"/>
    </row>
    <row r="99" spans="2:11">
      <c r="B99" s="260">
        <v>68</v>
      </c>
      <c r="C99" s="261" t="s">
        <v>404</v>
      </c>
      <c r="D99" s="264" t="s">
        <v>474</v>
      </c>
      <c r="E99" s="212"/>
      <c r="F99" s="212"/>
      <c r="G99" s="212"/>
      <c r="H99" s="308"/>
      <c r="I99" s="212"/>
      <c r="J99" s="212"/>
      <c r="K99" s="263"/>
    </row>
    <row r="100" spans="2:11">
      <c r="B100" s="260">
        <v>69</v>
      </c>
      <c r="C100" s="261" t="s">
        <v>405</v>
      </c>
      <c r="D100" s="264" t="s">
        <v>474</v>
      </c>
      <c r="E100" s="212"/>
      <c r="F100" s="212"/>
      <c r="G100" s="212"/>
      <c r="H100" s="308"/>
      <c r="I100" s="212"/>
      <c r="J100" s="212"/>
      <c r="K100" s="263"/>
    </row>
    <row r="101" spans="2:11">
      <c r="B101" s="260">
        <v>70</v>
      </c>
      <c r="C101" s="261" t="s">
        <v>406</v>
      </c>
      <c r="D101" s="264" t="s">
        <v>508</v>
      </c>
      <c r="E101" s="212"/>
      <c r="F101" s="212"/>
      <c r="G101" s="212"/>
      <c r="H101" s="308"/>
      <c r="I101" s="212"/>
      <c r="J101" s="212"/>
      <c r="K101" s="263"/>
    </row>
    <row r="102" spans="2:11">
      <c r="B102" s="260">
        <v>80</v>
      </c>
      <c r="C102" s="261" t="s">
        <v>416</v>
      </c>
      <c r="D102" s="264" t="s">
        <v>510</v>
      </c>
      <c r="E102" s="212"/>
      <c r="F102" s="212"/>
      <c r="G102" s="212"/>
      <c r="H102" s="308"/>
      <c r="I102" s="212"/>
      <c r="J102" s="212"/>
      <c r="K102" s="263"/>
    </row>
    <row r="103" spans="2:11">
      <c r="B103" s="260">
        <v>90</v>
      </c>
      <c r="C103" s="261" t="s">
        <v>426</v>
      </c>
      <c r="D103" s="262" t="s">
        <v>509</v>
      </c>
      <c r="E103" s="212"/>
      <c r="F103" s="212"/>
      <c r="G103" s="212"/>
      <c r="H103" s="308"/>
      <c r="I103" s="212"/>
      <c r="J103" s="212"/>
      <c r="K103" s="263"/>
    </row>
    <row r="104" spans="2:11">
      <c r="B104" s="260">
        <v>106</v>
      </c>
      <c r="C104" s="261" t="s">
        <v>25</v>
      </c>
      <c r="D104" s="262" t="s">
        <v>482</v>
      </c>
      <c r="E104" s="212"/>
      <c r="F104" s="212"/>
      <c r="G104" s="212"/>
      <c r="H104" s="308"/>
      <c r="I104" s="212"/>
      <c r="J104" s="212"/>
      <c r="K104" s="263"/>
    </row>
    <row r="105" spans="2:11">
      <c r="B105" s="260">
        <v>116</v>
      </c>
      <c r="C105" s="261" t="s">
        <v>35</v>
      </c>
      <c r="D105" s="262" t="s">
        <v>482</v>
      </c>
      <c r="E105" s="212"/>
      <c r="F105" s="212"/>
      <c r="G105" s="212"/>
      <c r="H105" s="308"/>
      <c r="I105" s="212"/>
      <c r="J105" s="212"/>
      <c r="K105" s="263"/>
    </row>
    <row r="106" spans="2:11">
      <c r="B106" s="260">
        <v>126</v>
      </c>
      <c r="C106" s="261" t="s">
        <v>45</v>
      </c>
      <c r="D106" s="262" t="s">
        <v>482</v>
      </c>
      <c r="E106" s="212"/>
      <c r="F106" s="212"/>
      <c r="G106" s="212"/>
      <c r="H106" s="308"/>
      <c r="I106" s="212"/>
      <c r="J106" s="212"/>
      <c r="K106" s="263"/>
    </row>
    <row r="107" spans="2:11">
      <c r="B107" s="260">
        <v>136</v>
      </c>
      <c r="C107" s="261" t="s">
        <v>55</v>
      </c>
      <c r="D107" s="262" t="s">
        <v>482</v>
      </c>
      <c r="E107" s="212"/>
      <c r="F107" s="212"/>
      <c r="G107" s="212"/>
      <c r="H107" s="308"/>
      <c r="I107" s="212"/>
      <c r="J107" s="212"/>
      <c r="K107" s="263"/>
    </row>
    <row r="108" spans="2:11">
      <c r="B108" s="260">
        <v>97</v>
      </c>
      <c r="C108" s="261" t="s">
        <v>9</v>
      </c>
      <c r="D108" s="262" t="s">
        <v>482</v>
      </c>
      <c r="E108" s="212"/>
      <c r="F108" s="212"/>
      <c r="G108" s="212"/>
      <c r="H108" s="308"/>
      <c r="I108" s="212"/>
      <c r="J108" s="212"/>
      <c r="K108" s="263"/>
    </row>
    <row r="109" spans="2:11">
      <c r="B109" s="260">
        <v>107</v>
      </c>
      <c r="C109" s="261" t="s">
        <v>26</v>
      </c>
      <c r="D109" s="262" t="s">
        <v>482</v>
      </c>
      <c r="E109" s="212"/>
      <c r="F109" s="212"/>
      <c r="G109" s="212"/>
      <c r="H109" s="308"/>
      <c r="I109" s="212"/>
      <c r="J109" s="212"/>
      <c r="K109" s="263"/>
    </row>
    <row r="110" spans="2:11">
      <c r="B110" s="260">
        <v>98</v>
      </c>
      <c r="C110" s="261" t="s">
        <v>10</v>
      </c>
      <c r="D110" s="262" t="s">
        <v>482</v>
      </c>
      <c r="E110" s="212"/>
      <c r="F110" s="212"/>
      <c r="G110" s="212"/>
      <c r="H110" s="308"/>
      <c r="I110" s="212"/>
      <c r="J110" s="212"/>
      <c r="K110" s="263"/>
    </row>
    <row r="111" spans="2:11">
      <c r="B111" s="260">
        <v>108</v>
      </c>
      <c r="C111" s="261" t="s">
        <v>27</v>
      </c>
      <c r="D111" s="262" t="s">
        <v>482</v>
      </c>
      <c r="E111" s="212"/>
      <c r="F111" s="212"/>
      <c r="G111" s="212"/>
      <c r="H111" s="308"/>
      <c r="I111" s="212"/>
      <c r="J111" s="212"/>
      <c r="K111" s="263"/>
    </row>
    <row r="112" spans="2:11">
      <c r="B112" s="260">
        <v>109</v>
      </c>
      <c r="C112" s="261" t="s">
        <v>28</v>
      </c>
      <c r="D112" s="262" t="s">
        <v>482</v>
      </c>
      <c r="E112" s="212"/>
      <c r="F112" s="212"/>
      <c r="G112" s="212"/>
      <c r="H112" s="308"/>
      <c r="I112" s="212"/>
      <c r="J112" s="212"/>
      <c r="K112" s="263"/>
    </row>
    <row r="113" spans="2:11">
      <c r="B113" s="260">
        <v>100</v>
      </c>
      <c r="C113" s="261" t="s">
        <v>12</v>
      </c>
      <c r="D113" s="262" t="s">
        <v>482</v>
      </c>
      <c r="E113" s="212"/>
      <c r="F113" s="212"/>
      <c r="G113" s="212"/>
      <c r="H113" s="308"/>
      <c r="I113" s="212"/>
      <c r="J113" s="212"/>
      <c r="K113" s="263"/>
    </row>
    <row r="114" spans="2:11">
      <c r="B114" s="260">
        <v>110</v>
      </c>
      <c r="C114" s="261" t="s">
        <v>29</v>
      </c>
      <c r="D114" s="262" t="s">
        <v>482</v>
      </c>
      <c r="E114" s="212"/>
      <c r="F114" s="212"/>
      <c r="G114" s="212"/>
      <c r="H114" s="308"/>
      <c r="I114" s="212"/>
      <c r="J114" s="212"/>
      <c r="K114" s="263"/>
    </row>
    <row r="115" spans="2:11">
      <c r="B115" s="260">
        <v>30</v>
      </c>
      <c r="C115" s="261" t="s">
        <v>366</v>
      </c>
      <c r="D115" s="262" t="s">
        <v>511</v>
      </c>
      <c r="E115" s="212"/>
      <c r="F115" s="212"/>
      <c r="G115" s="212"/>
      <c r="H115" s="308"/>
      <c r="I115" s="212"/>
      <c r="J115" s="212"/>
      <c r="K115" s="263"/>
    </row>
    <row r="116" spans="2:11">
      <c r="B116" s="260">
        <v>29</v>
      </c>
      <c r="C116" s="261" t="s">
        <v>365</v>
      </c>
      <c r="D116" s="326" t="s">
        <v>500</v>
      </c>
      <c r="E116" s="325" t="s">
        <v>866</v>
      </c>
      <c r="F116" s="325"/>
      <c r="G116" s="325" t="s">
        <v>147</v>
      </c>
      <c r="H116" s="308"/>
      <c r="I116" s="212"/>
      <c r="J116" s="212"/>
      <c r="K116" s="263"/>
    </row>
    <row r="117" spans="2:11">
      <c r="B117" s="260">
        <v>39</v>
      </c>
      <c r="C117" s="261" t="s">
        <v>375</v>
      </c>
      <c r="D117" s="326" t="s">
        <v>483</v>
      </c>
      <c r="E117" s="325" t="s">
        <v>866</v>
      </c>
      <c r="F117" s="212"/>
      <c r="G117" s="329" t="s">
        <v>247</v>
      </c>
      <c r="H117" s="308"/>
      <c r="I117" s="212"/>
      <c r="J117" s="212"/>
      <c r="K117" s="263"/>
    </row>
    <row r="118" spans="2:11">
      <c r="B118" s="260">
        <v>40</v>
      </c>
      <c r="C118" s="261" t="s">
        <v>376</v>
      </c>
      <c r="D118" s="326" t="s">
        <v>492</v>
      </c>
      <c r="E118" s="325" t="s">
        <v>866</v>
      </c>
      <c r="F118" s="212"/>
      <c r="G118" s="329" t="s">
        <v>257</v>
      </c>
      <c r="H118" s="308"/>
      <c r="I118" s="212"/>
      <c r="J118" s="212"/>
      <c r="K118" s="263"/>
    </row>
    <row r="119" spans="2:11">
      <c r="B119" s="260">
        <v>119</v>
      </c>
      <c r="C119" s="261" t="s">
        <v>38</v>
      </c>
      <c r="D119" s="326" t="s">
        <v>506</v>
      </c>
      <c r="E119" s="325" t="s">
        <v>866</v>
      </c>
      <c r="F119" s="325"/>
      <c r="G119" s="333"/>
      <c r="H119" s="308"/>
      <c r="I119" s="212"/>
      <c r="J119" s="212"/>
      <c r="K119" s="263"/>
    </row>
    <row r="120" spans="2:11">
      <c r="B120" s="260">
        <v>120</v>
      </c>
      <c r="C120" s="261" t="s">
        <v>39</v>
      </c>
      <c r="D120" s="326" t="s">
        <v>496</v>
      </c>
      <c r="E120" s="325" t="s">
        <v>866</v>
      </c>
      <c r="F120" s="325"/>
      <c r="G120" s="329" t="s">
        <v>1033</v>
      </c>
      <c r="H120" s="308"/>
      <c r="I120" s="212"/>
      <c r="J120" s="212"/>
      <c r="K120" s="263"/>
    </row>
    <row r="121" spans="2:11">
      <c r="B121" s="42">
        <v>267</v>
      </c>
      <c r="C121" s="21" t="s">
        <v>186</v>
      </c>
      <c r="D121" s="22" t="s">
        <v>485</v>
      </c>
      <c r="E121" s="323" t="s">
        <v>865</v>
      </c>
      <c r="F121" s="323"/>
      <c r="G121" s="320" t="s">
        <v>226</v>
      </c>
      <c r="H121" s="305"/>
      <c r="I121" s="5"/>
      <c r="J121" s="5"/>
      <c r="K121" s="14"/>
    </row>
    <row r="122" spans="2:11">
      <c r="B122" s="42">
        <v>268</v>
      </c>
      <c r="C122" s="21" t="s">
        <v>187</v>
      </c>
      <c r="D122" s="22" t="s">
        <v>494</v>
      </c>
      <c r="E122" s="323" t="s">
        <v>865</v>
      </c>
      <c r="F122" s="323"/>
      <c r="G122" s="320" t="s">
        <v>236</v>
      </c>
      <c r="H122" s="305"/>
      <c r="I122" s="5"/>
      <c r="J122" s="5"/>
      <c r="K122" s="14"/>
    </row>
    <row r="123" spans="2:11">
      <c r="B123" s="42">
        <v>258</v>
      </c>
      <c r="C123" s="21" t="s">
        <v>177</v>
      </c>
      <c r="D123" s="22" t="s">
        <v>493</v>
      </c>
      <c r="E123" s="5"/>
      <c r="F123" s="5"/>
      <c r="G123" s="5"/>
      <c r="H123" s="305"/>
      <c r="I123" s="5"/>
      <c r="J123" s="5"/>
      <c r="K123" s="14"/>
    </row>
    <row r="124" spans="2:11">
      <c r="B124" s="42">
        <v>257</v>
      </c>
      <c r="C124" s="21" t="s">
        <v>176</v>
      </c>
      <c r="D124" s="327" t="s">
        <v>484</v>
      </c>
      <c r="E124" s="323" t="s">
        <v>865</v>
      </c>
      <c r="F124" s="323"/>
      <c r="G124" s="320" t="s">
        <v>1034</v>
      </c>
      <c r="H124" s="305"/>
      <c r="I124" s="5"/>
      <c r="J124" s="5"/>
      <c r="K124" s="14"/>
    </row>
    <row r="125" spans="2:11">
      <c r="B125" s="42">
        <v>260</v>
      </c>
      <c r="C125" s="21" t="s">
        <v>179</v>
      </c>
      <c r="D125" s="22" t="s">
        <v>516</v>
      </c>
      <c r="E125" s="5"/>
      <c r="F125" s="5"/>
      <c r="G125" s="5"/>
      <c r="H125" s="305"/>
      <c r="I125" s="5"/>
      <c r="J125" s="5"/>
      <c r="K125" s="14"/>
    </row>
    <row r="126" spans="2:11">
      <c r="B126" s="42">
        <v>259</v>
      </c>
      <c r="C126" s="21" t="s">
        <v>178</v>
      </c>
      <c r="D126" s="327" t="s">
        <v>504</v>
      </c>
      <c r="E126" s="323" t="s">
        <v>865</v>
      </c>
      <c r="F126" s="323"/>
      <c r="G126" s="320" t="s">
        <v>1035</v>
      </c>
      <c r="H126" s="305"/>
      <c r="I126" s="5"/>
      <c r="J126" s="5"/>
      <c r="K126" s="14"/>
    </row>
    <row r="127" spans="2:11">
      <c r="B127" s="42">
        <v>206</v>
      </c>
      <c r="C127" s="21" t="s">
        <v>125</v>
      </c>
      <c r="D127" s="22" t="s">
        <v>475</v>
      </c>
      <c r="E127" s="5"/>
      <c r="F127" s="5"/>
      <c r="G127" s="5"/>
      <c r="H127" s="305"/>
      <c r="I127" s="5"/>
      <c r="J127" s="5"/>
      <c r="K127" s="14"/>
    </row>
    <row r="128" spans="2:11">
      <c r="B128" s="42">
        <v>216</v>
      </c>
      <c r="C128" s="21" t="s">
        <v>135</v>
      </c>
      <c r="D128" s="22" t="s">
        <v>475</v>
      </c>
      <c r="E128" s="5"/>
      <c r="F128" s="5"/>
      <c r="G128" s="5"/>
      <c r="H128" s="305"/>
      <c r="I128" s="5"/>
      <c r="J128" s="5"/>
      <c r="K128" s="14"/>
    </row>
    <row r="129" spans="2:11">
      <c r="B129" s="42">
        <v>226</v>
      </c>
      <c r="C129" s="21" t="s">
        <v>145</v>
      </c>
      <c r="D129" s="22" t="s">
        <v>475</v>
      </c>
      <c r="E129" s="5"/>
      <c r="F129" s="5"/>
      <c r="G129" s="5"/>
      <c r="H129" s="305"/>
      <c r="I129" s="5"/>
      <c r="J129" s="5"/>
      <c r="K129" s="14"/>
    </row>
    <row r="130" spans="2:11">
      <c r="B130" s="42">
        <v>236</v>
      </c>
      <c r="C130" s="21" t="s">
        <v>155</v>
      </c>
      <c r="D130" s="22" t="s">
        <v>475</v>
      </c>
      <c r="E130" s="5"/>
      <c r="F130" s="5"/>
      <c r="G130" s="5"/>
      <c r="H130" s="305"/>
      <c r="I130" s="5"/>
      <c r="J130" s="5"/>
      <c r="K130" s="14"/>
    </row>
    <row r="131" spans="2:11">
      <c r="B131" s="42">
        <v>246</v>
      </c>
      <c r="C131" s="21" t="s">
        <v>165</v>
      </c>
      <c r="D131" s="22" t="s">
        <v>475</v>
      </c>
      <c r="E131" s="5"/>
      <c r="F131" s="5"/>
      <c r="G131" s="5"/>
      <c r="H131" s="305"/>
      <c r="I131" s="5"/>
      <c r="J131" s="5"/>
      <c r="K131" s="14"/>
    </row>
    <row r="132" spans="2:11">
      <c r="B132" s="42">
        <v>256</v>
      </c>
      <c r="C132" s="21" t="s">
        <v>175</v>
      </c>
      <c r="D132" s="22" t="s">
        <v>475</v>
      </c>
      <c r="E132" s="5"/>
      <c r="F132" s="5"/>
      <c r="G132" s="5"/>
      <c r="H132" s="305"/>
      <c r="I132" s="5"/>
      <c r="J132" s="5"/>
      <c r="K132" s="14"/>
    </row>
    <row r="133" spans="2:11">
      <c r="B133" s="42">
        <v>237</v>
      </c>
      <c r="C133" s="21" t="s">
        <v>156</v>
      </c>
      <c r="D133" s="22" t="s">
        <v>475</v>
      </c>
      <c r="E133" s="5"/>
      <c r="F133" s="5"/>
      <c r="G133" s="5"/>
      <c r="H133" s="305"/>
      <c r="I133" s="5"/>
      <c r="J133" s="5"/>
      <c r="K133" s="14"/>
    </row>
    <row r="134" spans="2:11">
      <c r="B134" s="42">
        <v>247</v>
      </c>
      <c r="C134" s="21" t="s">
        <v>166</v>
      </c>
      <c r="D134" s="22" t="s">
        <v>475</v>
      </c>
      <c r="E134" s="5"/>
      <c r="F134" s="5"/>
      <c r="G134" s="5"/>
      <c r="H134" s="305"/>
      <c r="I134" s="5"/>
      <c r="J134" s="5"/>
      <c r="K134" s="14"/>
    </row>
    <row r="135" spans="2:11">
      <c r="B135" s="42">
        <v>238</v>
      </c>
      <c r="C135" s="21" t="s">
        <v>157</v>
      </c>
      <c r="D135" s="22" t="s">
        <v>475</v>
      </c>
      <c r="E135" s="5"/>
      <c r="F135" s="5"/>
      <c r="G135" s="5"/>
      <c r="H135" s="305"/>
      <c r="I135" s="5"/>
      <c r="J135" s="5"/>
      <c r="K135" s="14"/>
    </row>
    <row r="136" spans="2:11">
      <c r="B136" s="42">
        <v>248</v>
      </c>
      <c r="C136" s="21" t="s">
        <v>167</v>
      </c>
      <c r="D136" s="22" t="s">
        <v>475</v>
      </c>
      <c r="E136" s="5"/>
      <c r="F136" s="5"/>
      <c r="G136" s="5"/>
      <c r="H136" s="305"/>
      <c r="I136" s="5"/>
      <c r="J136" s="5"/>
      <c r="K136" s="14"/>
    </row>
    <row r="137" spans="2:11">
      <c r="B137" s="42">
        <v>239</v>
      </c>
      <c r="C137" s="21" t="s">
        <v>158</v>
      </c>
      <c r="D137" s="22" t="s">
        <v>475</v>
      </c>
      <c r="E137" s="5"/>
      <c r="F137" s="5"/>
      <c r="G137" s="5"/>
      <c r="H137" s="305"/>
      <c r="I137" s="5"/>
      <c r="J137" s="5"/>
      <c r="K137" s="14"/>
    </row>
    <row r="138" spans="2:11">
      <c r="B138" s="42">
        <v>240</v>
      </c>
      <c r="C138" s="21" t="s">
        <v>159</v>
      </c>
      <c r="D138" s="22" t="s">
        <v>514</v>
      </c>
      <c r="E138" s="5"/>
      <c r="F138" s="5"/>
      <c r="G138" s="5"/>
      <c r="H138" s="305"/>
      <c r="I138" s="5"/>
      <c r="J138" s="5"/>
      <c r="K138" s="14"/>
    </row>
    <row r="139" spans="2:11">
      <c r="B139" s="42">
        <v>250</v>
      </c>
      <c r="C139" s="21" t="s">
        <v>169</v>
      </c>
      <c r="D139" s="22" t="s">
        <v>515</v>
      </c>
      <c r="E139" s="5"/>
      <c r="F139" s="5"/>
      <c r="G139" s="5"/>
      <c r="H139" s="305"/>
      <c r="I139" s="5"/>
      <c r="J139" s="5"/>
      <c r="K139" s="14"/>
    </row>
    <row r="140" spans="2:11">
      <c r="B140" s="42">
        <v>249</v>
      </c>
      <c r="C140" s="21" t="s">
        <v>168</v>
      </c>
      <c r="D140" s="22" t="s">
        <v>503</v>
      </c>
      <c r="E140" s="5"/>
      <c r="F140" s="5"/>
      <c r="G140" s="5"/>
      <c r="H140" s="305"/>
      <c r="I140" s="5"/>
      <c r="J140" s="5"/>
      <c r="K140" s="14"/>
    </row>
    <row r="141" spans="2:11">
      <c r="B141" s="42">
        <v>266</v>
      </c>
      <c r="C141" s="21" t="s">
        <v>185</v>
      </c>
      <c r="D141" s="22" t="s">
        <v>476</v>
      </c>
      <c r="E141" s="5"/>
      <c r="F141" s="5"/>
      <c r="G141" s="5"/>
      <c r="H141" s="305"/>
      <c r="I141" s="5"/>
      <c r="J141" s="5"/>
      <c r="K141" s="14"/>
    </row>
    <row r="142" spans="2:11">
      <c r="B142" s="42">
        <v>276</v>
      </c>
      <c r="C142" s="21" t="s">
        <v>195</v>
      </c>
      <c r="D142" s="22" t="s">
        <v>476</v>
      </c>
      <c r="E142" s="5"/>
      <c r="F142" s="5"/>
      <c r="G142" s="5"/>
      <c r="H142" s="305"/>
      <c r="I142" s="5"/>
      <c r="J142" s="5"/>
      <c r="K142" s="14"/>
    </row>
    <row r="143" spans="2:11">
      <c r="B143" s="42">
        <v>286</v>
      </c>
      <c r="C143" s="21" t="s">
        <v>205</v>
      </c>
      <c r="D143" s="22" t="s">
        <v>476</v>
      </c>
      <c r="E143" s="5"/>
      <c r="F143" s="5"/>
      <c r="G143" s="5"/>
      <c r="H143" s="305"/>
      <c r="I143" s="5"/>
      <c r="J143" s="5"/>
      <c r="K143" s="14"/>
    </row>
    <row r="144" spans="2:11">
      <c r="B144" s="42">
        <v>296</v>
      </c>
      <c r="C144" s="21" t="s">
        <v>215</v>
      </c>
      <c r="D144" s="22" t="s">
        <v>476</v>
      </c>
      <c r="E144" s="5"/>
      <c r="F144" s="5"/>
      <c r="G144" s="5"/>
      <c r="H144" s="305"/>
      <c r="I144" s="5"/>
      <c r="J144" s="5"/>
      <c r="K144" s="14"/>
    </row>
    <row r="145" spans="2:11">
      <c r="B145" s="42">
        <v>306</v>
      </c>
      <c r="C145" s="21" t="s">
        <v>225</v>
      </c>
      <c r="D145" s="22" t="s">
        <v>476</v>
      </c>
      <c r="E145" s="5"/>
      <c r="F145" s="5"/>
      <c r="G145" s="5"/>
      <c r="H145" s="305"/>
      <c r="I145" s="5"/>
      <c r="J145" s="5"/>
      <c r="K145" s="14"/>
    </row>
    <row r="146" spans="2:11">
      <c r="B146" s="42">
        <v>316</v>
      </c>
      <c r="C146" s="21" t="s">
        <v>235</v>
      </c>
      <c r="D146" s="22" t="s">
        <v>476</v>
      </c>
      <c r="E146" s="5"/>
      <c r="F146" s="5"/>
      <c r="G146" s="5"/>
      <c r="H146" s="305"/>
      <c r="I146" s="5"/>
      <c r="J146" s="5"/>
      <c r="K146" s="14"/>
    </row>
    <row r="147" spans="2:11">
      <c r="B147" s="42">
        <v>326</v>
      </c>
      <c r="C147" s="21" t="s">
        <v>245</v>
      </c>
      <c r="D147" s="22" t="s">
        <v>476</v>
      </c>
      <c r="E147" s="5"/>
      <c r="F147" s="5"/>
      <c r="G147" s="5"/>
      <c r="H147" s="305"/>
      <c r="I147" s="5"/>
      <c r="J147" s="5"/>
      <c r="K147" s="14"/>
    </row>
    <row r="148" spans="2:11">
      <c r="B148" s="42">
        <v>328</v>
      </c>
      <c r="C148" s="21" t="s">
        <v>247</v>
      </c>
      <c r="D148" s="22" t="s">
        <v>476</v>
      </c>
      <c r="E148" s="5"/>
      <c r="F148" s="5"/>
      <c r="G148" s="5"/>
      <c r="H148" s="305"/>
      <c r="I148" s="5"/>
      <c r="J148" s="5"/>
      <c r="K148" s="14"/>
    </row>
    <row r="149" spans="2:11">
      <c r="B149" s="42">
        <v>329</v>
      </c>
      <c r="C149" s="21" t="s">
        <v>248</v>
      </c>
      <c r="D149" s="22" t="s">
        <v>476</v>
      </c>
      <c r="E149" s="5"/>
      <c r="F149" s="5"/>
      <c r="G149" s="5"/>
      <c r="H149" s="305"/>
      <c r="I149" s="5"/>
      <c r="J149" s="5"/>
      <c r="K149" s="14"/>
    </row>
    <row r="150" spans="2:11">
      <c r="B150" s="42">
        <v>330</v>
      </c>
      <c r="C150" s="21" t="s">
        <v>249</v>
      </c>
      <c r="D150" s="22" t="s">
        <v>476</v>
      </c>
      <c r="E150" s="5"/>
      <c r="F150" s="5"/>
      <c r="G150" s="5"/>
      <c r="H150" s="305"/>
      <c r="I150" s="5"/>
      <c r="J150" s="5"/>
      <c r="K150" s="14"/>
    </row>
    <row r="151" spans="2:11" ht="16.5" thickBot="1">
      <c r="B151" s="42">
        <v>219</v>
      </c>
      <c r="C151" s="21" t="s">
        <v>138</v>
      </c>
      <c r="D151" s="22" t="s">
        <v>501</v>
      </c>
      <c r="E151" s="5"/>
      <c r="F151" s="5"/>
      <c r="G151" s="5"/>
      <c r="H151" s="305"/>
      <c r="I151" s="5"/>
      <c r="J151" s="5"/>
      <c r="K151" s="14"/>
    </row>
    <row r="152" spans="2:11">
      <c r="B152" s="42">
        <v>220</v>
      </c>
      <c r="C152" s="21" t="s">
        <v>139</v>
      </c>
      <c r="D152" s="327" t="s">
        <v>512</v>
      </c>
      <c r="E152" s="322" t="s">
        <v>865</v>
      </c>
      <c r="F152" s="323"/>
      <c r="G152" s="320" t="s">
        <v>147</v>
      </c>
      <c r="H152" s="305"/>
      <c r="I152" s="5"/>
      <c r="J152" s="5"/>
      <c r="K152" s="14"/>
    </row>
    <row r="153" spans="2:11">
      <c r="B153" s="42">
        <v>229</v>
      </c>
      <c r="C153" s="21" t="s">
        <v>148</v>
      </c>
      <c r="D153" s="327" t="s">
        <v>502</v>
      </c>
      <c r="E153" s="323" t="s">
        <v>865</v>
      </c>
      <c r="F153" s="323"/>
      <c r="G153" s="320" t="s">
        <v>247</v>
      </c>
      <c r="H153" s="305"/>
      <c r="I153" s="5"/>
      <c r="J153" s="5"/>
      <c r="K153" s="14"/>
    </row>
    <row r="154" spans="2:11">
      <c r="B154" s="42">
        <v>230</v>
      </c>
      <c r="C154" s="21" t="s">
        <v>149</v>
      </c>
      <c r="D154" s="327" t="s">
        <v>513</v>
      </c>
      <c r="E154" s="323" t="s">
        <v>865</v>
      </c>
      <c r="F154" s="323"/>
      <c r="G154" s="320" t="s">
        <v>257</v>
      </c>
      <c r="H154" s="305"/>
      <c r="I154" s="5"/>
      <c r="J154" s="5"/>
      <c r="K154" s="14"/>
    </row>
    <row r="155" spans="2:11">
      <c r="B155" s="42">
        <v>269</v>
      </c>
      <c r="C155" s="21" t="s">
        <v>188</v>
      </c>
      <c r="D155" s="327" t="s">
        <v>517</v>
      </c>
      <c r="E155" s="323" t="s">
        <v>865</v>
      </c>
      <c r="F155" s="325"/>
      <c r="G155" s="332" t="s">
        <v>317</v>
      </c>
      <c r="H155" s="305"/>
      <c r="I155" s="5"/>
      <c r="J155" s="5"/>
      <c r="K155" s="14"/>
    </row>
    <row r="156" spans="2:11">
      <c r="B156" s="42">
        <v>270</v>
      </c>
      <c r="C156" s="21" t="s">
        <v>189</v>
      </c>
      <c r="D156" s="327" t="s">
        <v>505</v>
      </c>
      <c r="E156" s="323" t="s">
        <v>865</v>
      </c>
      <c r="F156" s="323"/>
      <c r="G156" s="320" t="s">
        <v>1033</v>
      </c>
      <c r="H156" s="305"/>
      <c r="I156" s="5"/>
      <c r="J156" s="5"/>
      <c r="K156" s="14"/>
    </row>
    <row r="157" spans="2:11">
      <c r="B157" s="197">
        <v>400</v>
      </c>
      <c r="C157" s="198" t="s">
        <v>319</v>
      </c>
      <c r="D157" s="292" t="s">
        <v>709</v>
      </c>
      <c r="E157" s="199"/>
      <c r="F157" s="199"/>
      <c r="G157" s="199"/>
      <c r="H157" s="309"/>
      <c r="I157" s="199"/>
      <c r="J157" s="199"/>
      <c r="K157" s="200"/>
    </row>
    <row r="158" spans="2:11">
      <c r="B158" s="197">
        <v>399</v>
      </c>
      <c r="C158" s="198" t="s">
        <v>318</v>
      </c>
      <c r="D158" s="292" t="s">
        <v>687</v>
      </c>
      <c r="E158" s="199"/>
      <c r="F158" s="199"/>
      <c r="G158" s="199"/>
      <c r="H158" s="309"/>
      <c r="I158" s="199"/>
      <c r="J158" s="199"/>
      <c r="K158" s="200"/>
    </row>
    <row r="159" spans="2:11">
      <c r="B159" s="197">
        <v>398</v>
      </c>
      <c r="C159" s="198" t="s">
        <v>317</v>
      </c>
      <c r="D159" s="292" t="s">
        <v>665</v>
      </c>
      <c r="E159" s="199"/>
      <c r="F159" s="199"/>
      <c r="G159" s="199"/>
      <c r="H159" s="309"/>
      <c r="I159" s="199"/>
      <c r="J159" s="199"/>
      <c r="K159" s="200"/>
    </row>
    <row r="160" spans="2:11">
      <c r="B160" s="197">
        <v>397</v>
      </c>
      <c r="C160" s="198" t="s">
        <v>316</v>
      </c>
      <c r="D160" s="292" t="s">
        <v>642</v>
      </c>
      <c r="E160" s="199"/>
      <c r="F160" s="199"/>
      <c r="G160" s="199"/>
      <c r="H160" s="309"/>
      <c r="I160" s="199"/>
      <c r="J160" s="199"/>
      <c r="K160" s="200"/>
    </row>
    <row r="161" spans="2:11">
      <c r="B161" s="197">
        <v>366</v>
      </c>
      <c r="C161" s="198" t="s">
        <v>285</v>
      </c>
      <c r="D161" s="292" t="s">
        <v>618</v>
      </c>
      <c r="E161" s="199"/>
      <c r="F161" s="199"/>
      <c r="G161" s="199"/>
      <c r="H161" s="309"/>
      <c r="I161" s="199"/>
      <c r="J161" s="199"/>
      <c r="K161" s="200"/>
    </row>
    <row r="162" spans="2:11">
      <c r="B162" s="197">
        <v>376</v>
      </c>
      <c r="C162" s="198" t="s">
        <v>295</v>
      </c>
      <c r="D162" s="292" t="s">
        <v>619</v>
      </c>
      <c r="E162" s="199"/>
      <c r="F162" s="199"/>
      <c r="G162" s="199"/>
      <c r="H162" s="309"/>
      <c r="I162" s="199"/>
      <c r="J162" s="199"/>
      <c r="K162" s="200"/>
    </row>
    <row r="163" spans="2:11">
      <c r="B163" s="197">
        <v>390</v>
      </c>
      <c r="C163" s="198" t="s">
        <v>309</v>
      </c>
      <c r="D163" s="292" t="s">
        <v>708</v>
      </c>
      <c r="E163" s="199"/>
      <c r="F163" s="199"/>
      <c r="G163" s="199"/>
      <c r="H163" s="309"/>
      <c r="I163" s="199"/>
      <c r="J163" s="199"/>
      <c r="K163" s="200"/>
    </row>
    <row r="164" spans="2:11">
      <c r="B164" s="197">
        <v>389</v>
      </c>
      <c r="C164" s="198" t="s">
        <v>308</v>
      </c>
      <c r="D164" s="292" t="s">
        <v>686</v>
      </c>
      <c r="E164" s="199"/>
      <c r="F164" s="199"/>
      <c r="G164" s="199"/>
      <c r="H164" s="309"/>
      <c r="I164" s="199"/>
      <c r="J164" s="199"/>
      <c r="K164" s="200"/>
    </row>
    <row r="165" spans="2:11">
      <c r="B165" s="197">
        <v>370</v>
      </c>
      <c r="C165" s="198" t="s">
        <v>289</v>
      </c>
      <c r="D165" s="292" t="s">
        <v>706</v>
      </c>
      <c r="E165" s="199"/>
      <c r="F165" s="199"/>
      <c r="G165" s="199"/>
      <c r="H165" s="309"/>
      <c r="I165" s="199"/>
      <c r="J165" s="199"/>
      <c r="K165" s="200"/>
    </row>
    <row r="166" spans="2:11">
      <c r="B166" s="197">
        <v>369</v>
      </c>
      <c r="C166" s="198" t="s">
        <v>288</v>
      </c>
      <c r="D166" s="292" t="s">
        <v>684</v>
      </c>
      <c r="E166" s="199"/>
      <c r="F166" s="199"/>
      <c r="G166" s="199"/>
      <c r="H166" s="309"/>
      <c r="I166" s="199"/>
      <c r="J166" s="199"/>
      <c r="K166" s="200"/>
    </row>
    <row r="167" spans="2:11">
      <c r="B167" s="197">
        <v>377</v>
      </c>
      <c r="C167" s="198" t="s">
        <v>296</v>
      </c>
      <c r="D167" s="292" t="s">
        <v>641</v>
      </c>
      <c r="E167" s="199"/>
      <c r="F167" s="199"/>
      <c r="G167" s="199"/>
      <c r="H167" s="309"/>
      <c r="I167" s="199"/>
      <c r="J167" s="199"/>
      <c r="K167" s="200"/>
    </row>
    <row r="168" spans="2:11">
      <c r="B168" s="197">
        <v>378</v>
      </c>
      <c r="C168" s="198" t="s">
        <v>297</v>
      </c>
      <c r="D168" s="292" t="s">
        <v>664</v>
      </c>
      <c r="E168" s="199"/>
      <c r="F168" s="199"/>
      <c r="G168" s="199"/>
      <c r="H168" s="309"/>
      <c r="I168" s="199"/>
      <c r="J168" s="199"/>
      <c r="K168" s="200"/>
    </row>
    <row r="169" spans="2:11">
      <c r="B169" s="197">
        <v>367</v>
      </c>
      <c r="C169" s="198" t="s">
        <v>286</v>
      </c>
      <c r="D169" s="292" t="s">
        <v>640</v>
      </c>
      <c r="E169" s="199"/>
      <c r="F169" s="199"/>
      <c r="G169" s="199"/>
      <c r="H169" s="309"/>
      <c r="I169" s="199"/>
      <c r="J169" s="199"/>
      <c r="K169" s="200"/>
    </row>
    <row r="170" spans="2:11">
      <c r="B170" s="197">
        <v>368</v>
      </c>
      <c r="C170" s="198" t="s">
        <v>287</v>
      </c>
      <c r="D170" s="292" t="s">
        <v>663</v>
      </c>
      <c r="E170" s="199"/>
      <c r="F170" s="199"/>
      <c r="G170" s="199"/>
      <c r="H170" s="309"/>
      <c r="I170" s="199"/>
      <c r="J170" s="199"/>
      <c r="K170" s="200"/>
    </row>
    <row r="171" spans="2:11">
      <c r="B171" s="197">
        <v>380</v>
      </c>
      <c r="C171" s="198" t="s">
        <v>299</v>
      </c>
      <c r="D171" s="292" t="s">
        <v>707</v>
      </c>
      <c r="E171" s="199"/>
      <c r="F171" s="199"/>
      <c r="G171" s="199"/>
      <c r="H171" s="309"/>
      <c r="I171" s="199"/>
      <c r="J171" s="199"/>
      <c r="K171" s="200"/>
    </row>
    <row r="172" spans="2:11">
      <c r="B172" s="197">
        <v>379</v>
      </c>
      <c r="C172" s="198" t="s">
        <v>298</v>
      </c>
      <c r="D172" s="292" t="s">
        <v>685</v>
      </c>
      <c r="E172" s="199"/>
      <c r="F172" s="199"/>
      <c r="G172" s="199"/>
      <c r="H172" s="309"/>
      <c r="I172" s="199"/>
      <c r="J172" s="199"/>
      <c r="K172" s="200"/>
    </row>
    <row r="173" spans="2:11">
      <c r="B173" s="197">
        <v>394</v>
      </c>
      <c r="C173" s="198" t="s">
        <v>313</v>
      </c>
      <c r="D173" s="292" t="s">
        <v>599</v>
      </c>
      <c r="E173" s="199"/>
      <c r="F173" s="199"/>
      <c r="G173" s="199"/>
      <c r="H173" s="309"/>
      <c r="I173" s="199"/>
      <c r="J173" s="199"/>
      <c r="K173" s="200"/>
    </row>
    <row r="174" spans="2:11">
      <c r="B174" s="197">
        <v>384</v>
      </c>
      <c r="C174" s="198" t="s">
        <v>303</v>
      </c>
      <c r="D174" s="292" t="s">
        <v>598</v>
      </c>
      <c r="E174" s="199"/>
      <c r="F174" s="199"/>
      <c r="G174" s="199"/>
      <c r="H174" s="309"/>
      <c r="I174" s="199"/>
      <c r="J174" s="199"/>
      <c r="K174" s="200"/>
    </row>
    <row r="175" spans="2:11">
      <c r="B175" s="197">
        <v>374</v>
      </c>
      <c r="C175" s="198" t="s">
        <v>293</v>
      </c>
      <c r="D175" s="292" t="s">
        <v>597</v>
      </c>
      <c r="E175" s="199"/>
      <c r="F175" s="199"/>
      <c r="G175" s="199"/>
      <c r="H175" s="309"/>
      <c r="I175" s="199"/>
      <c r="J175" s="199"/>
      <c r="K175" s="200"/>
    </row>
    <row r="176" spans="2:11">
      <c r="B176" s="197">
        <v>364</v>
      </c>
      <c r="C176" s="198" t="s">
        <v>283</v>
      </c>
      <c r="D176" s="292" t="s">
        <v>596</v>
      </c>
      <c r="E176" s="199"/>
      <c r="F176" s="199"/>
      <c r="G176" s="199"/>
      <c r="H176" s="309"/>
      <c r="I176" s="199"/>
      <c r="J176" s="199"/>
      <c r="K176" s="200"/>
    </row>
    <row r="177" spans="2:11">
      <c r="B177" s="197">
        <v>375</v>
      </c>
      <c r="C177" s="198" t="s">
        <v>294</v>
      </c>
      <c r="D177" s="292" t="s">
        <v>609</v>
      </c>
      <c r="E177" s="199"/>
      <c r="F177" s="199"/>
      <c r="G177" s="199"/>
      <c r="H177" s="309"/>
      <c r="I177" s="199"/>
      <c r="J177" s="199"/>
      <c r="K177" s="200"/>
    </row>
    <row r="178" spans="2:11">
      <c r="B178" s="197">
        <v>365</v>
      </c>
      <c r="C178" s="198" t="s">
        <v>284</v>
      </c>
      <c r="D178" s="292" t="s">
        <v>608</v>
      </c>
      <c r="E178" s="199"/>
      <c r="F178" s="199"/>
      <c r="G178" s="199"/>
      <c r="H178" s="309"/>
      <c r="I178" s="199"/>
      <c r="J178" s="199"/>
      <c r="K178" s="200"/>
    </row>
    <row r="179" spans="2:11">
      <c r="B179" s="197">
        <v>373</v>
      </c>
      <c r="C179" s="198" t="s">
        <v>292</v>
      </c>
      <c r="D179" s="292" t="s">
        <v>576</v>
      </c>
      <c r="E179" s="199"/>
      <c r="F179" s="199"/>
      <c r="G179" s="199"/>
      <c r="H179" s="309"/>
      <c r="I179" s="199"/>
      <c r="J179" s="199"/>
      <c r="K179" s="200"/>
    </row>
    <row r="180" spans="2:11">
      <c r="B180" s="197">
        <v>363</v>
      </c>
      <c r="C180" s="198" t="s">
        <v>282</v>
      </c>
      <c r="D180" s="292" t="s">
        <v>575</v>
      </c>
      <c r="E180" s="199"/>
      <c r="F180" s="199"/>
      <c r="G180" s="199"/>
      <c r="H180" s="309"/>
      <c r="I180" s="199"/>
      <c r="J180" s="199"/>
      <c r="K180" s="200"/>
    </row>
    <row r="181" spans="2:11">
      <c r="B181" s="197">
        <v>391</v>
      </c>
      <c r="C181" s="198" t="s">
        <v>310</v>
      </c>
      <c r="D181" s="292" t="s">
        <v>533</v>
      </c>
      <c r="E181" s="199"/>
      <c r="F181" s="199"/>
      <c r="G181" s="199"/>
      <c r="H181" s="309"/>
      <c r="I181" s="199"/>
      <c r="J181" s="199"/>
      <c r="K181" s="200"/>
    </row>
    <row r="182" spans="2:11">
      <c r="B182" s="197">
        <v>381</v>
      </c>
      <c r="C182" s="198" t="s">
        <v>300</v>
      </c>
      <c r="D182" s="292" t="s">
        <v>532</v>
      </c>
      <c r="E182" s="199"/>
      <c r="F182" s="199"/>
      <c r="G182" s="199"/>
      <c r="H182" s="309"/>
      <c r="I182" s="199"/>
      <c r="J182" s="199"/>
      <c r="K182" s="200"/>
    </row>
    <row r="183" spans="2:11">
      <c r="B183" s="197">
        <v>371</v>
      </c>
      <c r="C183" s="198" t="s">
        <v>290</v>
      </c>
      <c r="D183" s="292" t="s">
        <v>531</v>
      </c>
      <c r="E183" s="199"/>
      <c r="F183" s="199"/>
      <c r="G183" s="199"/>
      <c r="H183" s="309"/>
      <c r="I183" s="199"/>
      <c r="J183" s="199"/>
      <c r="K183" s="200"/>
    </row>
    <row r="184" spans="2:11">
      <c r="B184" s="197">
        <v>361</v>
      </c>
      <c r="C184" s="198" t="s">
        <v>280</v>
      </c>
      <c r="D184" s="292" t="s">
        <v>530</v>
      </c>
      <c r="E184" s="199"/>
      <c r="F184" s="199"/>
      <c r="G184" s="199"/>
      <c r="H184" s="309"/>
      <c r="I184" s="199"/>
      <c r="J184" s="199"/>
      <c r="K184" s="200"/>
    </row>
    <row r="185" spans="2:11">
      <c r="B185" s="197">
        <v>372</v>
      </c>
      <c r="C185" s="198" t="s">
        <v>291</v>
      </c>
      <c r="D185" s="292" t="s">
        <v>551</v>
      </c>
      <c r="E185" s="199"/>
      <c r="F185" s="199"/>
      <c r="G185" s="199"/>
      <c r="H185" s="309"/>
      <c r="I185" s="199"/>
      <c r="J185" s="199"/>
      <c r="K185" s="200"/>
    </row>
    <row r="186" spans="2:11">
      <c r="B186" s="197">
        <v>362</v>
      </c>
      <c r="C186" s="198" t="s">
        <v>281</v>
      </c>
      <c r="D186" s="292" t="s">
        <v>550</v>
      </c>
      <c r="E186" s="199"/>
      <c r="F186" s="199"/>
      <c r="G186" s="199"/>
      <c r="H186" s="309"/>
      <c r="I186" s="199"/>
      <c r="J186" s="199"/>
      <c r="K186" s="200"/>
    </row>
    <row r="187" spans="2:11">
      <c r="B187" s="197">
        <v>354</v>
      </c>
      <c r="C187" s="198" t="s">
        <v>273</v>
      </c>
      <c r="D187" s="292" t="s">
        <v>595</v>
      </c>
      <c r="E187" s="199"/>
      <c r="F187" s="199"/>
      <c r="G187" s="199"/>
      <c r="H187" s="309"/>
      <c r="I187" s="199"/>
      <c r="J187" s="199"/>
      <c r="K187" s="200"/>
    </row>
    <row r="188" spans="2:11">
      <c r="B188" s="213">
        <v>353</v>
      </c>
      <c r="C188" s="198" t="s">
        <v>272</v>
      </c>
      <c r="D188" s="292" t="s">
        <v>574</v>
      </c>
      <c r="E188" s="199"/>
      <c r="F188" s="216"/>
      <c r="G188" s="216"/>
      <c r="H188" s="306"/>
      <c r="I188" s="216"/>
      <c r="J188" s="216"/>
      <c r="K188" s="217"/>
    </row>
    <row r="189" spans="2:11">
      <c r="B189" s="42">
        <v>93</v>
      </c>
      <c r="C189" s="258" t="s">
        <v>5</v>
      </c>
      <c r="D189" s="257" t="s">
        <v>558</v>
      </c>
      <c r="E189" s="324" t="s">
        <v>867</v>
      </c>
      <c r="F189" s="13"/>
      <c r="G189" s="389" t="s">
        <v>1020</v>
      </c>
      <c r="H189" s="340" t="s">
        <v>912</v>
      </c>
      <c r="I189" s="13"/>
      <c r="J189" s="13"/>
      <c r="K189" s="20"/>
    </row>
    <row r="190" spans="2:11">
      <c r="B190" s="42">
        <v>94</v>
      </c>
      <c r="C190" s="258" t="s">
        <v>6</v>
      </c>
      <c r="D190" s="257" t="s">
        <v>583</v>
      </c>
      <c r="E190" s="324" t="s">
        <v>867</v>
      </c>
      <c r="F190" s="13"/>
      <c r="G190" s="389" t="s">
        <v>1021</v>
      </c>
      <c r="H190" s="13" t="s">
        <v>912</v>
      </c>
      <c r="I190" s="13"/>
      <c r="J190" s="13"/>
      <c r="K190" s="20"/>
    </row>
    <row r="191" spans="2:11">
      <c r="B191" s="42">
        <v>103</v>
      </c>
      <c r="C191" s="258" t="s">
        <v>22</v>
      </c>
      <c r="D191" s="257" t="s">
        <v>559</v>
      </c>
      <c r="E191" s="324" t="s">
        <v>867</v>
      </c>
      <c r="F191" s="13"/>
      <c r="G191" s="389" t="s">
        <v>1018</v>
      </c>
      <c r="H191" s="13" t="s">
        <v>912</v>
      </c>
      <c r="I191" s="13"/>
      <c r="J191" s="13"/>
      <c r="K191" s="20"/>
    </row>
    <row r="192" spans="2:11">
      <c r="B192" s="42">
        <v>104</v>
      </c>
      <c r="C192" s="258" t="s">
        <v>23</v>
      </c>
      <c r="D192" s="257" t="s">
        <v>584</v>
      </c>
      <c r="E192" s="324" t="s">
        <v>867</v>
      </c>
      <c r="F192" s="13"/>
      <c r="G192" s="389" t="s">
        <v>1019</v>
      </c>
      <c r="H192" s="13" t="s">
        <v>912</v>
      </c>
      <c r="I192" s="13"/>
      <c r="J192" s="13"/>
      <c r="K192" s="20"/>
    </row>
    <row r="193" spans="2:11">
      <c r="B193" s="42">
        <v>101</v>
      </c>
      <c r="C193" s="258" t="s">
        <v>20</v>
      </c>
      <c r="D193" s="257" t="s">
        <v>522</v>
      </c>
      <c r="E193" s="324" t="s">
        <v>867</v>
      </c>
      <c r="F193" s="13"/>
      <c r="G193" s="389" t="s">
        <v>1016</v>
      </c>
      <c r="H193" s="13" t="s">
        <v>912</v>
      </c>
      <c r="I193" s="13"/>
      <c r="J193" s="13"/>
      <c r="K193" s="20"/>
    </row>
    <row r="194" spans="2:11">
      <c r="B194" s="42">
        <v>102</v>
      </c>
      <c r="C194" s="258" t="s">
        <v>21</v>
      </c>
      <c r="D194" s="257" t="s">
        <v>538</v>
      </c>
      <c r="E194" s="324" t="s">
        <v>867</v>
      </c>
      <c r="F194" s="13"/>
      <c r="G194" s="389" t="s">
        <v>1017</v>
      </c>
      <c r="H194" s="13" t="s">
        <v>912</v>
      </c>
      <c r="I194" s="13"/>
      <c r="J194" s="13"/>
      <c r="K194" s="20"/>
    </row>
    <row r="195" spans="2:11">
      <c r="B195" s="213">
        <v>95</v>
      </c>
      <c r="C195" s="214" t="s">
        <v>7</v>
      </c>
      <c r="D195" s="215" t="s">
        <v>602</v>
      </c>
      <c r="E195" s="359"/>
      <c r="F195" s="216"/>
      <c r="G195" s="359"/>
      <c r="H195" s="13" t="s">
        <v>912</v>
      </c>
      <c r="I195" s="216"/>
      <c r="J195" s="216"/>
      <c r="K195" s="217"/>
    </row>
    <row r="196" spans="2:11">
      <c r="B196" s="213">
        <v>96</v>
      </c>
      <c r="C196" s="214" t="s">
        <v>8</v>
      </c>
      <c r="D196" s="215" t="s">
        <v>616</v>
      </c>
      <c r="E196" s="359"/>
      <c r="F196" s="216"/>
      <c r="G196" s="359"/>
      <c r="H196" s="13" t="s">
        <v>912</v>
      </c>
      <c r="I196" s="216"/>
      <c r="J196" s="216"/>
      <c r="K196" s="217"/>
    </row>
    <row r="197" spans="2:11">
      <c r="B197" s="42">
        <v>86</v>
      </c>
      <c r="C197" s="258" t="s">
        <v>422</v>
      </c>
      <c r="D197" s="257" t="s">
        <v>615</v>
      </c>
      <c r="E197" s="324" t="s">
        <v>867</v>
      </c>
      <c r="F197" s="13"/>
      <c r="G197" s="389" t="s">
        <v>983</v>
      </c>
      <c r="H197" s="13" t="s">
        <v>912</v>
      </c>
      <c r="I197" s="13"/>
      <c r="J197" s="13"/>
      <c r="K197" s="20"/>
    </row>
    <row r="198" spans="2:11">
      <c r="B198" s="42">
        <v>85</v>
      </c>
      <c r="C198" s="258" t="s">
        <v>421</v>
      </c>
      <c r="D198" s="257" t="s">
        <v>601</v>
      </c>
      <c r="E198" s="324" t="s">
        <v>867</v>
      </c>
      <c r="F198" s="13"/>
      <c r="G198" s="389" t="s">
        <v>984</v>
      </c>
      <c r="H198" s="13" t="s">
        <v>912</v>
      </c>
      <c r="I198" s="13"/>
      <c r="J198" s="13"/>
      <c r="K198" s="20"/>
    </row>
    <row r="199" spans="2:11">
      <c r="B199" s="42">
        <v>76</v>
      </c>
      <c r="C199" s="258" t="s">
        <v>412</v>
      </c>
      <c r="D199" s="271" t="s">
        <v>614</v>
      </c>
      <c r="E199" s="324" t="s">
        <v>867</v>
      </c>
      <c r="F199" s="13"/>
      <c r="G199" s="389" t="s">
        <v>981</v>
      </c>
      <c r="H199" s="13" t="s">
        <v>912</v>
      </c>
      <c r="I199" s="13"/>
      <c r="J199" s="13"/>
      <c r="K199" s="20"/>
    </row>
    <row r="200" spans="2:11">
      <c r="B200" s="42">
        <v>75</v>
      </c>
      <c r="C200" s="258" t="s">
        <v>411</v>
      </c>
      <c r="D200" s="271" t="s">
        <v>600</v>
      </c>
      <c r="E200" s="324" t="s">
        <v>867</v>
      </c>
      <c r="F200" s="13"/>
      <c r="G200" s="389" t="s">
        <v>982</v>
      </c>
      <c r="H200" s="13" t="s">
        <v>912</v>
      </c>
      <c r="I200" s="13"/>
      <c r="J200" s="13"/>
      <c r="K200" s="20"/>
    </row>
    <row r="201" spans="2:11">
      <c r="B201" s="42">
        <v>74</v>
      </c>
      <c r="C201" s="258" t="s">
        <v>410</v>
      </c>
      <c r="D201" s="271" t="s">
        <v>581</v>
      </c>
      <c r="E201" s="324" t="s">
        <v>867</v>
      </c>
      <c r="F201" s="13"/>
      <c r="G201" s="389" t="s">
        <v>980</v>
      </c>
      <c r="H201" s="13" t="s">
        <v>912</v>
      </c>
      <c r="I201" s="13"/>
      <c r="J201" s="13"/>
      <c r="K201" s="20"/>
    </row>
    <row r="202" spans="2:11">
      <c r="B202" s="42">
        <v>73</v>
      </c>
      <c r="C202" s="258" t="s">
        <v>409</v>
      </c>
      <c r="D202" s="271" t="s">
        <v>556</v>
      </c>
      <c r="E202" s="324" t="s">
        <v>867</v>
      </c>
      <c r="F202" s="13"/>
      <c r="G202" s="389" t="s">
        <v>4</v>
      </c>
      <c r="H202" s="13" t="s">
        <v>912</v>
      </c>
      <c r="I202" s="13"/>
      <c r="J202" s="13"/>
      <c r="K202" s="20"/>
    </row>
    <row r="203" spans="2:11">
      <c r="B203" s="213">
        <v>83</v>
      </c>
      <c r="C203" s="214" t="s">
        <v>419</v>
      </c>
      <c r="D203" s="215" t="s">
        <v>557</v>
      </c>
      <c r="E203" s="359"/>
      <c r="F203" s="216"/>
      <c r="G203" s="359"/>
      <c r="H203" s="13" t="s">
        <v>912</v>
      </c>
      <c r="I203" s="216"/>
      <c r="J203" s="216"/>
      <c r="K203" s="217"/>
    </row>
    <row r="204" spans="2:11">
      <c r="B204" s="213">
        <v>84</v>
      </c>
      <c r="C204" s="214" t="s">
        <v>420</v>
      </c>
      <c r="D204" s="215" t="s">
        <v>582</v>
      </c>
      <c r="E204" s="359"/>
      <c r="F204" s="216"/>
      <c r="G204" s="359"/>
      <c r="H204" s="13" t="s">
        <v>912</v>
      </c>
      <c r="I204" s="216"/>
      <c r="J204" s="216"/>
      <c r="K204" s="217"/>
    </row>
    <row r="205" spans="2:11">
      <c r="B205" s="42">
        <v>24</v>
      </c>
      <c r="C205" s="258" t="s">
        <v>360</v>
      </c>
      <c r="D205" s="257" t="s">
        <v>579</v>
      </c>
      <c r="E205" s="324" t="s">
        <v>867</v>
      </c>
      <c r="F205" s="13"/>
      <c r="G205" s="389" t="s">
        <v>987</v>
      </c>
      <c r="H205" s="13" t="s">
        <v>912</v>
      </c>
      <c r="I205" s="13"/>
      <c r="J205" s="13"/>
      <c r="K205" s="20"/>
    </row>
    <row r="206" spans="2:11">
      <c r="B206" s="42">
        <v>34</v>
      </c>
      <c r="C206" s="258" t="s">
        <v>370</v>
      </c>
      <c r="D206" s="257" t="s">
        <v>580</v>
      </c>
      <c r="E206" s="324" t="s">
        <v>867</v>
      </c>
      <c r="F206" s="13"/>
      <c r="G206" s="389" t="s">
        <v>988</v>
      </c>
      <c r="H206" s="13" t="s">
        <v>912</v>
      </c>
      <c r="I206" s="13"/>
      <c r="J206" s="13"/>
      <c r="K206" s="20"/>
    </row>
    <row r="207" spans="2:11">
      <c r="B207" s="42">
        <v>14</v>
      </c>
      <c r="C207" s="258" t="s">
        <v>350</v>
      </c>
      <c r="D207" s="257" t="s">
        <v>578</v>
      </c>
      <c r="E207" s="324" t="s">
        <v>867</v>
      </c>
      <c r="F207" s="13"/>
      <c r="G207" s="389" t="s">
        <v>1022</v>
      </c>
      <c r="H207" s="13" t="s">
        <v>912</v>
      </c>
      <c r="I207" s="13"/>
      <c r="J207" s="13"/>
      <c r="K207" s="20"/>
    </row>
    <row r="208" spans="2:11">
      <c r="B208" s="42">
        <v>4</v>
      </c>
      <c r="C208" s="258" t="s">
        <v>340</v>
      </c>
      <c r="D208" s="257" t="s">
        <v>577</v>
      </c>
      <c r="E208" s="324" t="s">
        <v>867</v>
      </c>
      <c r="F208" s="13"/>
      <c r="G208" s="389" t="s">
        <v>6</v>
      </c>
      <c r="H208" s="13" t="s">
        <v>912</v>
      </c>
      <c r="I208" s="13"/>
      <c r="J208" s="13"/>
      <c r="K208" s="20"/>
    </row>
    <row r="209" spans="2:11">
      <c r="B209" s="42">
        <v>13</v>
      </c>
      <c r="C209" s="258" t="s">
        <v>349</v>
      </c>
      <c r="D209" s="257" t="s">
        <v>553</v>
      </c>
      <c r="E209" s="324" t="s">
        <v>867</v>
      </c>
      <c r="F209" s="13"/>
      <c r="G209" s="389" t="s">
        <v>985</v>
      </c>
      <c r="H209" s="13" t="s">
        <v>912</v>
      </c>
      <c r="I209" s="13"/>
      <c r="J209" s="13"/>
      <c r="K209" s="20"/>
    </row>
    <row r="210" spans="2:11">
      <c r="B210" s="42">
        <v>3</v>
      </c>
      <c r="C210" s="258" t="s">
        <v>339</v>
      </c>
      <c r="D210" s="257" t="s">
        <v>552</v>
      </c>
      <c r="E210" s="324" t="s">
        <v>867</v>
      </c>
      <c r="F210" s="13"/>
      <c r="G210" s="389" t="s">
        <v>986</v>
      </c>
      <c r="H210" s="13" t="s">
        <v>912</v>
      </c>
      <c r="I210" s="13"/>
      <c r="J210" s="13"/>
      <c r="K210" s="20"/>
    </row>
    <row r="211" spans="2:11">
      <c r="B211" s="213">
        <v>33</v>
      </c>
      <c r="C211" s="214" t="s">
        <v>369</v>
      </c>
      <c r="D211" s="215" t="s">
        <v>555</v>
      </c>
      <c r="E211" s="359"/>
      <c r="F211" s="216"/>
      <c r="G211" s="359"/>
      <c r="H211" s="13" t="s">
        <v>912</v>
      </c>
      <c r="I211" s="216"/>
      <c r="J211" s="216"/>
      <c r="K211" s="217"/>
    </row>
    <row r="212" spans="2:11">
      <c r="B212" s="213">
        <v>23</v>
      </c>
      <c r="C212" s="214" t="s">
        <v>359</v>
      </c>
      <c r="D212" s="215" t="s">
        <v>554</v>
      </c>
      <c r="E212" s="359"/>
      <c r="F212" s="216"/>
      <c r="G212" s="359"/>
      <c r="H212" s="13" t="s">
        <v>912</v>
      </c>
      <c r="I212" s="216"/>
      <c r="J212" s="216"/>
      <c r="K212" s="217"/>
    </row>
    <row r="213" spans="2:11">
      <c r="B213" s="42">
        <v>31</v>
      </c>
      <c r="C213" s="258" t="s">
        <v>367</v>
      </c>
      <c r="D213" s="257" t="s">
        <v>521</v>
      </c>
      <c r="E213" s="324" t="s">
        <v>867</v>
      </c>
      <c r="F213" s="13"/>
      <c r="G213" s="389" t="s">
        <v>993</v>
      </c>
      <c r="H213" s="13" t="s">
        <v>912</v>
      </c>
      <c r="I213" s="13"/>
      <c r="J213" s="13"/>
      <c r="K213" s="20"/>
    </row>
    <row r="214" spans="2:11">
      <c r="B214" s="42">
        <v>32</v>
      </c>
      <c r="C214" s="258" t="s">
        <v>368</v>
      </c>
      <c r="D214" s="257" t="s">
        <v>537</v>
      </c>
      <c r="E214" s="324" t="s">
        <v>867</v>
      </c>
      <c r="F214" s="13"/>
      <c r="G214" s="389" t="s">
        <v>8</v>
      </c>
      <c r="H214" s="13" t="s">
        <v>912</v>
      </c>
      <c r="I214" s="13"/>
      <c r="J214" s="13"/>
      <c r="K214" s="20"/>
    </row>
    <row r="215" spans="2:11">
      <c r="B215" s="42">
        <v>21</v>
      </c>
      <c r="C215" s="258" t="s">
        <v>357</v>
      </c>
      <c r="D215" s="257" t="s">
        <v>520</v>
      </c>
      <c r="E215" s="324" t="s">
        <v>867</v>
      </c>
      <c r="F215" s="13"/>
      <c r="G215" s="389" t="s">
        <v>991</v>
      </c>
      <c r="H215" s="13" t="s">
        <v>912</v>
      </c>
      <c r="I215" s="13"/>
      <c r="J215" s="13"/>
      <c r="K215" s="20"/>
    </row>
    <row r="216" spans="2:11">
      <c r="B216" s="42">
        <v>22</v>
      </c>
      <c r="C216" s="258" t="s">
        <v>358</v>
      </c>
      <c r="D216" s="257" t="s">
        <v>536</v>
      </c>
      <c r="E216" s="324" t="s">
        <v>867</v>
      </c>
      <c r="F216" s="13"/>
      <c r="G216" s="389" t="s">
        <v>992</v>
      </c>
      <c r="H216" s="13" t="s">
        <v>912</v>
      </c>
      <c r="I216" s="13"/>
      <c r="J216" s="13"/>
      <c r="K216" s="20"/>
    </row>
    <row r="217" spans="2:11">
      <c r="B217" s="42">
        <v>11</v>
      </c>
      <c r="C217" s="258" t="s">
        <v>347</v>
      </c>
      <c r="D217" s="257" t="s">
        <v>519</v>
      </c>
      <c r="E217" s="324" t="s">
        <v>867</v>
      </c>
      <c r="F217" s="13"/>
      <c r="G217" s="389" t="s">
        <v>989</v>
      </c>
      <c r="H217" s="13" t="s">
        <v>912</v>
      </c>
      <c r="I217" s="13"/>
      <c r="J217" s="13"/>
      <c r="K217" s="20"/>
    </row>
    <row r="218" spans="2:11">
      <c r="B218" s="42">
        <v>12</v>
      </c>
      <c r="C218" s="258" t="s">
        <v>348</v>
      </c>
      <c r="D218" s="257" t="s">
        <v>535</v>
      </c>
      <c r="E218" s="324" t="s">
        <v>867</v>
      </c>
      <c r="F218" s="13"/>
      <c r="G218" s="389" t="s">
        <v>990</v>
      </c>
      <c r="H218" s="13" t="s">
        <v>912</v>
      </c>
      <c r="I218" s="13"/>
      <c r="J218" s="13"/>
      <c r="K218" s="20"/>
    </row>
    <row r="219" spans="2:11">
      <c r="B219" s="213">
        <v>1</v>
      </c>
      <c r="C219" s="214" t="s">
        <v>337</v>
      </c>
      <c r="D219" s="215" t="s">
        <v>518</v>
      </c>
      <c r="E219" s="199"/>
      <c r="F219" s="216"/>
      <c r="G219" s="199"/>
      <c r="H219" s="306"/>
      <c r="I219" s="216"/>
      <c r="J219" s="216"/>
      <c r="K219" s="217"/>
    </row>
    <row r="220" spans="2:11">
      <c r="B220" s="213">
        <v>2</v>
      </c>
      <c r="C220" s="214" t="s">
        <v>338</v>
      </c>
      <c r="D220" s="215" t="s">
        <v>534</v>
      </c>
      <c r="E220" s="199"/>
      <c r="F220" s="216"/>
      <c r="G220" s="199"/>
      <c r="H220" s="306"/>
      <c r="I220" s="216"/>
      <c r="J220" s="216"/>
      <c r="K220" s="217"/>
    </row>
    <row r="221" spans="2:11">
      <c r="B221" s="42">
        <v>43</v>
      </c>
      <c r="C221" s="258" t="s">
        <v>379</v>
      </c>
      <c r="D221" s="271" t="s">
        <v>447</v>
      </c>
      <c r="E221" s="324" t="s">
        <v>867</v>
      </c>
      <c r="F221" s="324"/>
      <c r="G221" s="387" t="s">
        <v>226</v>
      </c>
      <c r="H221" s="310"/>
      <c r="I221" s="13"/>
      <c r="J221" s="13"/>
      <c r="K221" s="20"/>
    </row>
    <row r="222" spans="2:11">
      <c r="B222" s="42">
        <v>44</v>
      </c>
      <c r="C222" s="258" t="s">
        <v>380</v>
      </c>
      <c r="D222" s="271" t="s">
        <v>455</v>
      </c>
      <c r="E222" s="324" t="s">
        <v>867</v>
      </c>
      <c r="F222" s="324"/>
      <c r="G222" s="387" t="s">
        <v>236</v>
      </c>
      <c r="H222" s="310"/>
      <c r="I222" s="13"/>
      <c r="J222" s="13"/>
      <c r="K222" s="20"/>
    </row>
    <row r="223" spans="2:11">
      <c r="B223" s="42">
        <v>62</v>
      </c>
      <c r="C223" s="258" t="s">
        <v>398</v>
      </c>
      <c r="D223" s="271" t="s">
        <v>428</v>
      </c>
      <c r="E223" s="13"/>
      <c r="F223" s="13"/>
      <c r="G223" s="13"/>
      <c r="H223" s="310"/>
      <c r="I223" s="13"/>
      <c r="J223" s="13"/>
      <c r="K223" s="20"/>
    </row>
    <row r="224" spans="2:11">
      <c r="B224" s="42">
        <v>61</v>
      </c>
      <c r="C224" s="258" t="s">
        <v>397</v>
      </c>
      <c r="D224" s="330" t="s">
        <v>322</v>
      </c>
      <c r="E224" s="324" t="s">
        <v>867</v>
      </c>
      <c r="F224" s="324"/>
      <c r="G224" s="387" t="s">
        <v>1034</v>
      </c>
      <c r="H224" s="310"/>
      <c r="I224" s="13"/>
      <c r="J224" s="13"/>
      <c r="K224" s="20"/>
    </row>
    <row r="225" spans="2:11">
      <c r="B225" s="42">
        <v>71</v>
      </c>
      <c r="C225" s="258" t="s">
        <v>407</v>
      </c>
      <c r="D225" s="271" t="s">
        <v>323</v>
      </c>
      <c r="E225" s="13"/>
      <c r="F225" s="13"/>
      <c r="G225" s="13"/>
      <c r="H225" s="310"/>
      <c r="I225" s="13"/>
      <c r="J225" s="13"/>
      <c r="K225" s="20"/>
    </row>
    <row r="226" spans="2:11">
      <c r="B226" s="42">
        <v>72</v>
      </c>
      <c r="C226" s="258" t="s">
        <v>408</v>
      </c>
      <c r="D226" s="330" t="s">
        <v>429</v>
      </c>
      <c r="E226" s="324" t="s">
        <v>867</v>
      </c>
      <c r="F226" s="324"/>
      <c r="G226" s="387" t="s">
        <v>1035</v>
      </c>
      <c r="H226" s="310"/>
      <c r="I226" s="13"/>
      <c r="J226" s="13"/>
      <c r="K226" s="20"/>
    </row>
    <row r="227" spans="2:11">
      <c r="B227" s="42">
        <v>51</v>
      </c>
      <c r="C227" s="258" t="s">
        <v>387</v>
      </c>
      <c r="D227" s="271" t="s">
        <v>464</v>
      </c>
      <c r="E227" s="13"/>
      <c r="F227" s="13"/>
      <c r="G227" s="13"/>
      <c r="H227" s="310"/>
      <c r="I227" s="13"/>
      <c r="J227" s="13"/>
      <c r="K227" s="20"/>
    </row>
    <row r="228" spans="2:11">
      <c r="B228" s="42">
        <v>52</v>
      </c>
      <c r="C228" s="258" t="s">
        <v>388</v>
      </c>
      <c r="D228" s="271" t="s">
        <v>464</v>
      </c>
      <c r="E228" s="13"/>
      <c r="F228" s="13"/>
      <c r="G228" s="13"/>
      <c r="H228" s="310"/>
      <c r="I228" s="13"/>
      <c r="J228" s="13"/>
      <c r="K228" s="20"/>
    </row>
    <row r="229" spans="2:11">
      <c r="B229" s="42">
        <v>53</v>
      </c>
      <c r="C229" s="258" t="s">
        <v>389</v>
      </c>
      <c r="D229" s="271" t="s">
        <v>464</v>
      </c>
      <c r="E229" s="13"/>
      <c r="F229" s="13"/>
      <c r="G229" s="13"/>
      <c r="H229" s="310"/>
      <c r="I229" s="13"/>
      <c r="J229" s="13"/>
      <c r="K229" s="20"/>
    </row>
    <row r="230" spans="2:11">
      <c r="B230" s="42">
        <v>63</v>
      </c>
      <c r="C230" s="258" t="s">
        <v>399</v>
      </c>
      <c r="D230" s="271" t="s">
        <v>464</v>
      </c>
      <c r="E230" s="13"/>
      <c r="F230" s="13"/>
      <c r="G230" s="13"/>
      <c r="H230" s="310"/>
      <c r="I230" s="13"/>
      <c r="J230" s="13"/>
      <c r="K230" s="20"/>
    </row>
    <row r="231" spans="2:11">
      <c r="B231" s="42">
        <v>54</v>
      </c>
      <c r="C231" s="258" t="s">
        <v>390</v>
      </c>
      <c r="D231" s="271" t="s">
        <v>464</v>
      </c>
      <c r="E231" s="13"/>
      <c r="F231" s="13"/>
      <c r="G231" s="13"/>
      <c r="H231" s="310"/>
      <c r="I231" s="13"/>
      <c r="J231" s="13"/>
      <c r="K231" s="20"/>
    </row>
    <row r="232" spans="2:11">
      <c r="B232" s="42">
        <v>64</v>
      </c>
      <c r="C232" s="258" t="s">
        <v>400</v>
      </c>
      <c r="D232" s="271" t="s">
        <v>464</v>
      </c>
      <c r="E232" s="13"/>
      <c r="F232" s="13"/>
      <c r="G232" s="13"/>
      <c r="H232" s="310"/>
      <c r="I232" s="13"/>
      <c r="J232" s="13"/>
      <c r="K232" s="20"/>
    </row>
    <row r="233" spans="2:11">
      <c r="B233" s="42">
        <v>105</v>
      </c>
      <c r="C233" s="258" t="s">
        <v>24</v>
      </c>
      <c r="D233" s="257" t="s">
        <v>464</v>
      </c>
      <c r="E233" s="13"/>
      <c r="F233" s="13"/>
      <c r="G233" s="13"/>
      <c r="H233" s="310"/>
      <c r="I233" s="13"/>
      <c r="J233" s="13"/>
      <c r="K233" s="20"/>
    </row>
    <row r="234" spans="2:11">
      <c r="B234" s="42">
        <v>46</v>
      </c>
      <c r="C234" s="258" t="s">
        <v>382</v>
      </c>
      <c r="D234" s="271" t="s">
        <v>471</v>
      </c>
      <c r="E234" s="13"/>
      <c r="F234" s="13"/>
      <c r="G234" s="13"/>
      <c r="H234" s="310"/>
      <c r="I234" s="13"/>
      <c r="J234" s="13"/>
      <c r="K234" s="20"/>
    </row>
    <row r="235" spans="2:11">
      <c r="B235" s="42">
        <v>66</v>
      </c>
      <c r="C235" s="258" t="s">
        <v>402</v>
      </c>
      <c r="D235" s="271" t="s">
        <v>473</v>
      </c>
      <c r="E235" s="13"/>
      <c r="F235" s="13"/>
      <c r="G235" s="13"/>
      <c r="H235" s="310"/>
      <c r="I235" s="13"/>
      <c r="J235" s="13"/>
      <c r="K235" s="20"/>
    </row>
    <row r="236" spans="2:11">
      <c r="B236" s="42">
        <v>56</v>
      </c>
      <c r="C236" s="258" t="s">
        <v>392</v>
      </c>
      <c r="D236" s="271" t="s">
        <v>472</v>
      </c>
      <c r="E236" s="13"/>
      <c r="F236" s="13"/>
      <c r="G236" s="13"/>
      <c r="H236" s="310"/>
      <c r="I236" s="13"/>
      <c r="J236" s="13"/>
      <c r="K236" s="20"/>
    </row>
    <row r="237" spans="2:11">
      <c r="B237" s="42">
        <v>5</v>
      </c>
      <c r="C237" s="258" t="s">
        <v>341</v>
      </c>
      <c r="D237" s="257" t="s">
        <v>321</v>
      </c>
      <c r="E237" s="13"/>
      <c r="F237" s="13"/>
      <c r="G237" s="13"/>
      <c r="H237" s="310"/>
      <c r="I237" s="13"/>
      <c r="J237" s="13"/>
      <c r="K237" s="20"/>
    </row>
    <row r="238" spans="2:11">
      <c r="B238" s="42">
        <v>15</v>
      </c>
      <c r="C238" s="258" t="s">
        <v>351</v>
      </c>
      <c r="D238" s="257" t="s">
        <v>321</v>
      </c>
      <c r="E238" s="13"/>
      <c r="F238" s="13"/>
      <c r="G238" s="13"/>
      <c r="H238" s="310"/>
      <c r="I238" s="13"/>
      <c r="J238" s="13"/>
      <c r="K238" s="20"/>
    </row>
    <row r="239" spans="2:11">
      <c r="B239" s="42">
        <v>25</v>
      </c>
      <c r="C239" s="258" t="s">
        <v>361</v>
      </c>
      <c r="D239" s="257" t="s">
        <v>321</v>
      </c>
      <c r="E239" s="13"/>
      <c r="F239" s="13"/>
      <c r="G239" s="13"/>
      <c r="H239" s="310"/>
      <c r="I239" s="13"/>
      <c r="J239" s="13"/>
      <c r="K239" s="20"/>
    </row>
    <row r="240" spans="2:11">
      <c r="B240" s="42">
        <v>35</v>
      </c>
      <c r="C240" s="258" t="s">
        <v>371</v>
      </c>
      <c r="D240" s="257" t="s">
        <v>321</v>
      </c>
      <c r="E240" s="13"/>
      <c r="F240" s="13"/>
      <c r="G240" s="13"/>
      <c r="H240" s="310"/>
      <c r="I240" s="13"/>
      <c r="J240" s="13"/>
      <c r="K240" s="20"/>
    </row>
    <row r="241" spans="2:11">
      <c r="B241" s="42">
        <v>45</v>
      </c>
      <c r="C241" s="258" t="s">
        <v>381</v>
      </c>
      <c r="D241" s="271" t="s">
        <v>321</v>
      </c>
      <c r="E241" s="13"/>
      <c r="F241" s="13"/>
      <c r="G241" s="13"/>
      <c r="H241" s="310"/>
      <c r="I241" s="13"/>
      <c r="J241" s="13"/>
      <c r="K241" s="20"/>
    </row>
    <row r="242" spans="2:11">
      <c r="B242" s="42">
        <v>55</v>
      </c>
      <c r="C242" s="258" t="s">
        <v>391</v>
      </c>
      <c r="D242" s="271" t="s">
        <v>321</v>
      </c>
      <c r="E242" s="13"/>
      <c r="F242" s="13"/>
      <c r="G242" s="13"/>
      <c r="H242" s="310"/>
      <c r="I242" s="13"/>
      <c r="J242" s="13"/>
      <c r="K242" s="20"/>
    </row>
    <row r="243" spans="2:11">
      <c r="B243" s="42">
        <v>65</v>
      </c>
      <c r="C243" s="258" t="s">
        <v>401</v>
      </c>
      <c r="D243" s="271" t="s">
        <v>321</v>
      </c>
      <c r="E243" s="13"/>
      <c r="F243" s="13"/>
      <c r="G243" s="13"/>
      <c r="H243" s="310"/>
      <c r="I243" s="13"/>
      <c r="J243" s="13"/>
      <c r="K243" s="20"/>
    </row>
    <row r="244" spans="2:11">
      <c r="B244" s="42">
        <v>92</v>
      </c>
      <c r="C244" s="258" t="s">
        <v>4</v>
      </c>
      <c r="D244" s="257" t="s">
        <v>431</v>
      </c>
      <c r="E244" s="13"/>
      <c r="F244" s="13"/>
      <c r="G244" s="13"/>
      <c r="H244" s="310"/>
      <c r="I244" s="13"/>
      <c r="J244" s="13"/>
      <c r="K244" s="20"/>
    </row>
    <row r="245" spans="2:11">
      <c r="B245" s="42">
        <v>91</v>
      </c>
      <c r="C245" s="258" t="s">
        <v>0</v>
      </c>
      <c r="D245" s="328" t="s">
        <v>325</v>
      </c>
      <c r="E245" s="324" t="s">
        <v>867</v>
      </c>
      <c r="F245" s="324"/>
      <c r="G245" s="387" t="s">
        <v>147</v>
      </c>
      <c r="H245" s="310"/>
      <c r="I245" s="13"/>
      <c r="J245" s="13"/>
      <c r="K245" s="20"/>
    </row>
    <row r="246" spans="2:11">
      <c r="B246" s="42">
        <v>81</v>
      </c>
      <c r="C246" s="258" t="s">
        <v>417</v>
      </c>
      <c r="D246" s="257" t="s">
        <v>324</v>
      </c>
      <c r="E246" s="324" t="s">
        <v>867</v>
      </c>
      <c r="F246" s="13"/>
      <c r="G246" s="324" t="s">
        <v>247</v>
      </c>
      <c r="H246" s="310"/>
      <c r="I246" s="13"/>
      <c r="J246" s="13"/>
      <c r="K246" s="20"/>
    </row>
    <row r="247" spans="2:11">
      <c r="B247" s="42">
        <v>82</v>
      </c>
      <c r="C247" s="258" t="s">
        <v>418</v>
      </c>
      <c r="D247" s="257" t="s">
        <v>430</v>
      </c>
      <c r="E247" s="324" t="s">
        <v>867</v>
      </c>
      <c r="F247" s="13"/>
      <c r="G247" s="324" t="s">
        <v>257</v>
      </c>
      <c r="H247" s="310"/>
      <c r="I247" s="13"/>
      <c r="J247" s="13"/>
      <c r="K247" s="20"/>
    </row>
    <row r="248" spans="2:11">
      <c r="B248" s="42">
        <v>41</v>
      </c>
      <c r="C248" s="258" t="s">
        <v>377</v>
      </c>
      <c r="D248" s="330" t="s">
        <v>427</v>
      </c>
      <c r="E248" s="324" t="s">
        <v>867</v>
      </c>
      <c r="F248" s="325"/>
      <c r="G248" s="388" t="s">
        <v>317</v>
      </c>
      <c r="H248" s="310"/>
      <c r="I248" s="13"/>
      <c r="J248" s="13"/>
      <c r="K248" s="20"/>
    </row>
    <row r="249" spans="2:11">
      <c r="B249" s="42">
        <v>42</v>
      </c>
      <c r="C249" s="258" t="s">
        <v>378</v>
      </c>
      <c r="D249" s="330" t="s">
        <v>320</v>
      </c>
      <c r="E249" s="324" t="s">
        <v>867</v>
      </c>
      <c r="F249" s="324"/>
      <c r="G249" s="387" t="s">
        <v>1033</v>
      </c>
      <c r="H249" s="310"/>
      <c r="I249" s="13"/>
      <c r="J249" s="13"/>
      <c r="K249" s="20"/>
    </row>
    <row r="250" spans="2:11">
      <c r="B250" s="197">
        <v>393</v>
      </c>
      <c r="C250" s="198" t="s">
        <v>312</v>
      </c>
      <c r="D250" s="378" t="s">
        <v>453</v>
      </c>
      <c r="E250" s="199"/>
      <c r="F250" s="199"/>
      <c r="G250" s="199"/>
      <c r="H250" s="309"/>
      <c r="I250" s="199"/>
      <c r="J250" s="199"/>
      <c r="K250" s="200"/>
    </row>
    <row r="251" spans="2:11">
      <c r="B251" s="197">
        <v>383</v>
      </c>
      <c r="C251" s="198" t="s">
        <v>302</v>
      </c>
      <c r="D251" s="378" t="s">
        <v>452</v>
      </c>
      <c r="E251" s="199"/>
      <c r="F251" s="199"/>
      <c r="G251" s="199"/>
      <c r="H251" s="309"/>
      <c r="I251" s="199"/>
      <c r="J251" s="199"/>
      <c r="K251" s="200"/>
    </row>
    <row r="252" spans="2:11">
      <c r="B252" s="197">
        <v>337</v>
      </c>
      <c r="C252" s="198" t="s">
        <v>256</v>
      </c>
      <c r="D252" s="378" t="s">
        <v>487</v>
      </c>
      <c r="E252" s="199"/>
      <c r="F252" s="199"/>
      <c r="G252" s="199"/>
      <c r="H252" s="309"/>
      <c r="I252" s="199"/>
      <c r="J252" s="199"/>
      <c r="K252" s="200"/>
    </row>
    <row r="253" spans="2:11">
      <c r="B253" s="197">
        <v>327</v>
      </c>
      <c r="C253" s="198" t="s">
        <v>246</v>
      </c>
      <c r="D253" s="378" t="s">
        <v>486</v>
      </c>
      <c r="E253" s="199"/>
      <c r="F253" s="199"/>
      <c r="G253" s="199"/>
      <c r="H253" s="309"/>
      <c r="I253" s="199"/>
      <c r="J253" s="199"/>
      <c r="K253" s="200"/>
    </row>
    <row r="254" spans="2:11">
      <c r="B254" s="197">
        <v>346</v>
      </c>
      <c r="C254" s="198" t="s">
        <v>265</v>
      </c>
      <c r="D254" s="378" t="s">
        <v>478</v>
      </c>
      <c r="E254" s="199"/>
      <c r="F254" s="199"/>
      <c r="G254" s="199"/>
      <c r="H254" s="309"/>
      <c r="I254" s="199"/>
      <c r="J254" s="199"/>
      <c r="K254" s="200"/>
    </row>
    <row r="255" spans="2:11">
      <c r="B255" s="197">
        <v>336</v>
      </c>
      <c r="C255" s="198" t="s">
        <v>255</v>
      </c>
      <c r="D255" s="378" t="s">
        <v>477</v>
      </c>
      <c r="E255" s="199"/>
      <c r="F255" s="199"/>
      <c r="G255" s="199"/>
      <c r="H255" s="309"/>
      <c r="I255" s="199"/>
      <c r="J255" s="199"/>
      <c r="K255" s="200"/>
    </row>
    <row r="256" spans="2:11">
      <c r="B256" s="197">
        <v>347</v>
      </c>
      <c r="C256" s="198" t="s">
        <v>266</v>
      </c>
      <c r="D256" s="378" t="s">
        <v>488</v>
      </c>
      <c r="E256" s="199"/>
      <c r="F256" s="199"/>
      <c r="G256" s="199"/>
      <c r="H256" s="309"/>
      <c r="I256" s="199"/>
      <c r="J256" s="199"/>
      <c r="K256" s="200"/>
    </row>
    <row r="257" spans="2:11">
      <c r="B257" s="197">
        <v>357</v>
      </c>
      <c r="C257" s="198" t="s">
        <v>276</v>
      </c>
      <c r="D257" s="378" t="s">
        <v>488</v>
      </c>
      <c r="E257" s="199"/>
      <c r="F257" s="199"/>
      <c r="G257" s="199"/>
      <c r="H257" s="309"/>
      <c r="I257" s="199"/>
      <c r="J257" s="199"/>
      <c r="K257" s="200"/>
    </row>
    <row r="258" spans="2:11">
      <c r="B258" s="197">
        <v>338</v>
      </c>
      <c r="C258" s="198" t="s">
        <v>257</v>
      </c>
      <c r="D258" s="378" t="s">
        <v>488</v>
      </c>
      <c r="E258" s="199"/>
      <c r="F258" s="199"/>
      <c r="G258" s="199"/>
      <c r="H258" s="309"/>
      <c r="I258" s="199"/>
      <c r="J258" s="199"/>
      <c r="K258" s="200"/>
    </row>
    <row r="259" spans="2:11">
      <c r="B259" s="197">
        <v>348</v>
      </c>
      <c r="C259" s="198" t="s">
        <v>267</v>
      </c>
      <c r="D259" s="378" t="s">
        <v>488</v>
      </c>
      <c r="E259" s="199"/>
      <c r="F259" s="199"/>
      <c r="G259" s="199"/>
      <c r="H259" s="309"/>
      <c r="I259" s="199"/>
      <c r="J259" s="199"/>
      <c r="K259" s="200"/>
    </row>
    <row r="260" spans="2:11">
      <c r="B260" s="197">
        <v>358</v>
      </c>
      <c r="C260" s="198" t="s">
        <v>277</v>
      </c>
      <c r="D260" s="378" t="s">
        <v>488</v>
      </c>
      <c r="E260" s="199"/>
      <c r="F260" s="199"/>
      <c r="G260" s="199"/>
      <c r="H260" s="309"/>
      <c r="I260" s="199"/>
      <c r="J260" s="199"/>
      <c r="K260" s="200"/>
    </row>
    <row r="261" spans="2:11">
      <c r="B261" s="197">
        <v>339</v>
      </c>
      <c r="C261" s="198" t="s">
        <v>258</v>
      </c>
      <c r="D261" s="378" t="s">
        <v>488</v>
      </c>
      <c r="E261" s="199"/>
      <c r="F261" s="199"/>
      <c r="G261" s="199"/>
      <c r="H261" s="309"/>
      <c r="I261" s="199"/>
      <c r="J261" s="199"/>
      <c r="K261" s="200"/>
    </row>
    <row r="262" spans="2:11">
      <c r="B262" s="197">
        <v>349</v>
      </c>
      <c r="C262" s="198" t="s">
        <v>268</v>
      </c>
      <c r="D262" s="378" t="s">
        <v>488</v>
      </c>
      <c r="E262" s="199"/>
      <c r="F262" s="199"/>
      <c r="G262" s="199"/>
      <c r="H262" s="309"/>
      <c r="I262" s="199"/>
      <c r="J262" s="199"/>
      <c r="K262" s="200"/>
    </row>
    <row r="263" spans="2:11">
      <c r="B263" s="197">
        <v>359</v>
      </c>
      <c r="C263" s="198" t="s">
        <v>278</v>
      </c>
      <c r="D263" s="378" t="s">
        <v>488</v>
      </c>
      <c r="E263" s="199"/>
      <c r="F263" s="199"/>
      <c r="G263" s="199"/>
      <c r="H263" s="309"/>
      <c r="I263" s="199"/>
      <c r="J263" s="199"/>
      <c r="K263" s="200"/>
    </row>
    <row r="264" spans="2:11">
      <c r="B264" s="197">
        <v>340</v>
      </c>
      <c r="C264" s="198" t="s">
        <v>259</v>
      </c>
      <c r="D264" s="378" t="s">
        <v>488</v>
      </c>
      <c r="E264" s="199"/>
      <c r="F264" s="199"/>
      <c r="G264" s="199"/>
      <c r="H264" s="309"/>
      <c r="I264" s="199"/>
      <c r="J264" s="199"/>
      <c r="K264" s="200"/>
    </row>
    <row r="265" spans="2:11">
      <c r="B265" s="197">
        <v>350</v>
      </c>
      <c r="C265" s="198" t="s">
        <v>269</v>
      </c>
      <c r="D265" s="378" t="s">
        <v>488</v>
      </c>
      <c r="E265" s="199"/>
      <c r="F265" s="199"/>
      <c r="G265" s="199"/>
      <c r="H265" s="309"/>
      <c r="I265" s="199"/>
      <c r="J265" s="199"/>
      <c r="K265" s="200"/>
    </row>
    <row r="266" spans="2:11">
      <c r="B266" s="197">
        <v>360</v>
      </c>
      <c r="C266" s="198" t="s">
        <v>279</v>
      </c>
      <c r="D266" s="378" t="s">
        <v>488</v>
      </c>
      <c r="E266" s="199"/>
      <c r="F266" s="199"/>
      <c r="G266" s="199"/>
      <c r="H266" s="309"/>
      <c r="I266" s="199"/>
      <c r="J266" s="199"/>
      <c r="K266" s="200"/>
    </row>
    <row r="267" spans="2:11">
      <c r="B267" s="197">
        <v>356</v>
      </c>
      <c r="C267" s="198" t="s">
        <v>275</v>
      </c>
      <c r="D267" s="378" t="s">
        <v>479</v>
      </c>
      <c r="E267" s="199"/>
      <c r="F267" s="199"/>
      <c r="G267" s="199"/>
      <c r="H267" s="309"/>
      <c r="I267" s="199"/>
      <c r="J267" s="199"/>
      <c r="K267" s="200"/>
    </row>
    <row r="268" spans="2:11">
      <c r="B268" s="197">
        <v>385</v>
      </c>
      <c r="C268" s="198" t="s">
        <v>304</v>
      </c>
      <c r="D268" s="378" t="s">
        <v>469</v>
      </c>
      <c r="E268" s="199"/>
      <c r="F268" s="199"/>
      <c r="G268" s="199"/>
      <c r="H268" s="309"/>
      <c r="I268" s="199"/>
      <c r="J268" s="199"/>
      <c r="K268" s="200"/>
    </row>
    <row r="269" spans="2:11">
      <c r="B269" s="197">
        <v>395</v>
      </c>
      <c r="C269" s="198" t="s">
        <v>314</v>
      </c>
      <c r="D269" s="378" t="s">
        <v>470</v>
      </c>
      <c r="E269" s="199"/>
      <c r="F269" s="199"/>
      <c r="G269" s="199"/>
      <c r="H269" s="309"/>
      <c r="I269" s="199"/>
      <c r="J269" s="199"/>
      <c r="K269" s="200"/>
    </row>
    <row r="270" spans="2:11">
      <c r="B270" s="197">
        <v>341</v>
      </c>
      <c r="C270" s="198" t="s">
        <v>260</v>
      </c>
      <c r="D270" s="378" t="s">
        <v>336</v>
      </c>
      <c r="E270" s="199"/>
      <c r="F270" s="199"/>
      <c r="G270" s="199"/>
      <c r="H270" s="309"/>
      <c r="I270" s="199"/>
      <c r="J270" s="199"/>
      <c r="K270" s="200"/>
    </row>
    <row r="271" spans="2:11">
      <c r="B271" s="197">
        <v>351</v>
      </c>
      <c r="C271" s="198" t="s">
        <v>270</v>
      </c>
      <c r="D271" s="378" t="s">
        <v>336</v>
      </c>
      <c r="E271" s="199"/>
      <c r="F271" s="199"/>
      <c r="G271" s="199"/>
      <c r="H271" s="309"/>
      <c r="I271" s="199"/>
      <c r="J271" s="199"/>
      <c r="K271" s="200"/>
    </row>
    <row r="272" spans="2:11">
      <c r="B272" s="197">
        <v>342</v>
      </c>
      <c r="C272" s="198" t="s">
        <v>261</v>
      </c>
      <c r="D272" s="378" t="s">
        <v>336</v>
      </c>
      <c r="E272" s="199"/>
      <c r="F272" s="199"/>
      <c r="G272" s="199"/>
      <c r="H272" s="309"/>
      <c r="I272" s="199"/>
      <c r="J272" s="199"/>
      <c r="K272" s="200"/>
    </row>
    <row r="273" spans="2:11">
      <c r="B273" s="197">
        <v>352</v>
      </c>
      <c r="C273" s="198" t="s">
        <v>271</v>
      </c>
      <c r="D273" s="378" t="s">
        <v>336</v>
      </c>
      <c r="E273" s="199"/>
      <c r="F273" s="199"/>
      <c r="G273" s="199"/>
      <c r="H273" s="309"/>
      <c r="I273" s="199"/>
      <c r="J273" s="199"/>
      <c r="K273" s="200"/>
    </row>
    <row r="274" spans="2:11">
      <c r="B274" s="197">
        <v>333</v>
      </c>
      <c r="C274" s="198" t="s">
        <v>252</v>
      </c>
      <c r="D274" s="378" t="s">
        <v>336</v>
      </c>
      <c r="E274" s="199"/>
      <c r="F274" s="199"/>
      <c r="G274" s="199"/>
      <c r="H274" s="309"/>
      <c r="I274" s="199"/>
      <c r="J274" s="199"/>
      <c r="K274" s="200"/>
    </row>
    <row r="275" spans="2:11">
      <c r="B275" s="197">
        <v>343</v>
      </c>
      <c r="C275" s="198" t="s">
        <v>262</v>
      </c>
      <c r="D275" s="378" t="s">
        <v>336</v>
      </c>
      <c r="E275" s="199"/>
      <c r="F275" s="199"/>
      <c r="G275" s="199"/>
      <c r="H275" s="309"/>
      <c r="I275" s="199"/>
      <c r="J275" s="199"/>
      <c r="K275" s="200"/>
    </row>
    <row r="276" spans="2:11">
      <c r="B276" s="197">
        <v>334</v>
      </c>
      <c r="C276" s="198" t="s">
        <v>253</v>
      </c>
      <c r="D276" s="378" t="s">
        <v>336</v>
      </c>
      <c r="E276" s="199"/>
      <c r="F276" s="199"/>
      <c r="G276" s="199"/>
      <c r="H276" s="309"/>
      <c r="I276" s="199"/>
      <c r="J276" s="199"/>
      <c r="K276" s="200"/>
    </row>
    <row r="277" spans="2:11">
      <c r="B277" s="197">
        <v>344</v>
      </c>
      <c r="C277" s="198" t="s">
        <v>263</v>
      </c>
      <c r="D277" s="378" t="s">
        <v>336</v>
      </c>
      <c r="E277" s="199"/>
      <c r="F277" s="199"/>
      <c r="G277" s="199"/>
      <c r="H277" s="309"/>
      <c r="I277" s="199"/>
      <c r="J277" s="199"/>
      <c r="K277" s="200"/>
    </row>
    <row r="278" spans="2:11">
      <c r="B278" s="197">
        <v>345</v>
      </c>
      <c r="C278" s="198" t="s">
        <v>264</v>
      </c>
      <c r="D278" s="378" t="s">
        <v>336</v>
      </c>
      <c r="E278" s="199"/>
      <c r="F278" s="199"/>
      <c r="G278" s="199"/>
      <c r="H278" s="309"/>
      <c r="I278" s="199"/>
      <c r="J278" s="199"/>
      <c r="K278" s="200"/>
    </row>
    <row r="279" spans="2:11">
      <c r="B279" s="197">
        <v>355</v>
      </c>
      <c r="C279" s="198" t="s">
        <v>274</v>
      </c>
      <c r="D279" s="378" t="s">
        <v>336</v>
      </c>
      <c r="E279" s="199"/>
      <c r="F279" s="199"/>
      <c r="G279" s="199"/>
      <c r="H279" s="309"/>
      <c r="I279" s="199"/>
      <c r="J279" s="199"/>
      <c r="K279" s="200"/>
    </row>
    <row r="280" spans="2:11">
      <c r="B280" s="197">
        <v>396</v>
      </c>
      <c r="C280" s="198" t="s">
        <v>315</v>
      </c>
      <c r="D280" s="378" t="s">
        <v>481</v>
      </c>
      <c r="E280" s="199"/>
      <c r="F280" s="199"/>
      <c r="G280" s="199"/>
      <c r="H280" s="309"/>
      <c r="I280" s="199"/>
      <c r="J280" s="199"/>
      <c r="K280" s="200"/>
    </row>
    <row r="281" spans="2:11">
      <c r="B281" s="197">
        <v>386</v>
      </c>
      <c r="C281" s="198" t="s">
        <v>305</v>
      </c>
      <c r="D281" s="378" t="s">
        <v>480</v>
      </c>
      <c r="E281" s="199"/>
      <c r="F281" s="199"/>
      <c r="G281" s="199"/>
      <c r="H281" s="309"/>
      <c r="I281" s="199"/>
      <c r="J281" s="199"/>
      <c r="K281" s="200"/>
    </row>
    <row r="282" spans="2:11">
      <c r="B282" s="197">
        <v>387</v>
      </c>
      <c r="C282" s="198" t="s">
        <v>306</v>
      </c>
      <c r="D282" s="378" t="s">
        <v>489</v>
      </c>
      <c r="E282" s="199"/>
      <c r="F282" s="199"/>
      <c r="G282" s="199"/>
      <c r="H282" s="309"/>
      <c r="I282" s="199"/>
      <c r="J282" s="199"/>
      <c r="K282" s="200"/>
    </row>
    <row r="283" spans="2:11">
      <c r="B283" s="197">
        <v>388</v>
      </c>
      <c r="C283" s="198" t="s">
        <v>307</v>
      </c>
      <c r="D283" s="378" t="s">
        <v>495</v>
      </c>
      <c r="E283" s="199"/>
      <c r="F283" s="199"/>
      <c r="G283" s="199"/>
      <c r="H283" s="309"/>
      <c r="I283" s="199"/>
      <c r="J283" s="199"/>
      <c r="K283" s="200"/>
    </row>
    <row r="284" spans="2:11">
      <c r="B284" s="197">
        <v>392</v>
      </c>
      <c r="C284" s="198" t="s">
        <v>311</v>
      </c>
      <c r="D284" s="378" t="s">
        <v>440</v>
      </c>
      <c r="E284" s="199"/>
      <c r="F284" s="199"/>
      <c r="G284" s="199"/>
      <c r="H284" s="309"/>
      <c r="I284" s="199"/>
      <c r="J284" s="199"/>
      <c r="K284" s="200"/>
    </row>
    <row r="285" spans="2:11">
      <c r="B285" s="197">
        <v>382</v>
      </c>
      <c r="C285" s="198" t="s">
        <v>301</v>
      </c>
      <c r="D285" s="378" t="s">
        <v>441</v>
      </c>
      <c r="E285" s="199"/>
      <c r="F285" s="199"/>
      <c r="G285" s="199"/>
      <c r="H285" s="309"/>
      <c r="I285" s="199"/>
      <c r="J285" s="199"/>
      <c r="K285" s="200"/>
    </row>
    <row r="286" spans="2:11">
      <c r="B286" s="42">
        <v>194</v>
      </c>
      <c r="C286" s="21" t="s">
        <v>113</v>
      </c>
      <c r="D286" s="22" t="s">
        <v>587</v>
      </c>
      <c r="E286" s="323" t="s">
        <v>867</v>
      </c>
      <c r="F286" s="5"/>
      <c r="G286" s="387" t="s">
        <v>1027</v>
      </c>
      <c r="H286" s="338" t="s">
        <v>902</v>
      </c>
      <c r="I286" s="5"/>
      <c r="J286" s="5"/>
      <c r="K286" s="14"/>
    </row>
    <row r="287" spans="2:11">
      <c r="B287" s="42">
        <v>193</v>
      </c>
      <c r="C287" s="21" t="s">
        <v>112</v>
      </c>
      <c r="D287" s="22" t="s">
        <v>564</v>
      </c>
      <c r="E287" s="323" t="s">
        <v>867</v>
      </c>
      <c r="F287" s="5"/>
      <c r="G287" s="387" t="s">
        <v>1028</v>
      </c>
      <c r="H287" s="313" t="s">
        <v>902</v>
      </c>
      <c r="I287" s="5"/>
      <c r="J287" s="5"/>
      <c r="K287" s="14"/>
    </row>
    <row r="288" spans="2:11">
      <c r="B288" s="42">
        <v>184</v>
      </c>
      <c r="C288" s="21" t="s">
        <v>103</v>
      </c>
      <c r="D288" s="22" t="s">
        <v>586</v>
      </c>
      <c r="E288" s="323" t="s">
        <v>867</v>
      </c>
      <c r="F288" s="5"/>
      <c r="G288" s="387" t="s">
        <v>1025</v>
      </c>
      <c r="H288" s="313" t="s">
        <v>902</v>
      </c>
      <c r="I288" s="5"/>
      <c r="J288" s="5"/>
      <c r="K288" s="14"/>
    </row>
    <row r="289" spans="2:11">
      <c r="B289" s="42">
        <v>183</v>
      </c>
      <c r="C289" s="21" t="s">
        <v>102</v>
      </c>
      <c r="D289" s="22" t="s">
        <v>563</v>
      </c>
      <c r="E289" s="323" t="s">
        <v>867</v>
      </c>
      <c r="F289" s="5"/>
      <c r="G289" s="387" t="s">
        <v>1026</v>
      </c>
      <c r="H289" s="313" t="s">
        <v>902</v>
      </c>
      <c r="I289" s="5"/>
      <c r="J289" s="5"/>
      <c r="K289" s="14"/>
    </row>
    <row r="290" spans="2:11">
      <c r="B290" s="42">
        <v>182</v>
      </c>
      <c r="C290" s="21" t="s">
        <v>101</v>
      </c>
      <c r="D290" s="22" t="s">
        <v>542</v>
      </c>
      <c r="E290" s="323" t="s">
        <v>867</v>
      </c>
      <c r="F290" s="5"/>
      <c r="G290" s="387" t="s">
        <v>1023</v>
      </c>
      <c r="H290" s="313" t="s">
        <v>902</v>
      </c>
      <c r="I290" s="5"/>
      <c r="J290" s="5"/>
      <c r="K290" s="14"/>
    </row>
    <row r="291" spans="2:11">
      <c r="B291" s="42">
        <v>192</v>
      </c>
      <c r="C291" s="21" t="s">
        <v>111</v>
      </c>
      <c r="D291" s="22" t="s">
        <v>543</v>
      </c>
      <c r="E291" s="323" t="s">
        <v>867</v>
      </c>
      <c r="F291" s="5"/>
      <c r="G291" s="387" t="s">
        <v>1024</v>
      </c>
      <c r="H291" s="313" t="s">
        <v>902</v>
      </c>
      <c r="I291" s="5"/>
      <c r="J291" s="5"/>
      <c r="K291" s="14"/>
    </row>
    <row r="292" spans="2:11">
      <c r="B292" s="42">
        <v>214</v>
      </c>
      <c r="C292" s="21" t="s">
        <v>133</v>
      </c>
      <c r="D292" s="22" t="s">
        <v>589</v>
      </c>
      <c r="E292" s="323" t="s">
        <v>867</v>
      </c>
      <c r="F292" s="5"/>
      <c r="G292" s="387" t="s">
        <v>998</v>
      </c>
      <c r="H292" s="313" t="s">
        <v>902</v>
      </c>
      <c r="I292" s="5"/>
      <c r="J292" s="5"/>
      <c r="K292" s="14"/>
    </row>
    <row r="293" spans="2:11">
      <c r="B293" s="42">
        <v>213</v>
      </c>
      <c r="C293" s="21" t="s">
        <v>132</v>
      </c>
      <c r="D293" s="22" t="s">
        <v>566</v>
      </c>
      <c r="E293" s="323" t="s">
        <v>867</v>
      </c>
      <c r="F293" s="5"/>
      <c r="G293" s="387" t="s">
        <v>999</v>
      </c>
      <c r="H293" s="313" t="s">
        <v>902</v>
      </c>
      <c r="I293" s="5"/>
      <c r="J293" s="5"/>
      <c r="K293" s="14"/>
    </row>
    <row r="294" spans="2:11">
      <c r="B294" s="42">
        <v>204</v>
      </c>
      <c r="C294" s="21" t="s">
        <v>123</v>
      </c>
      <c r="D294" s="22" t="s">
        <v>588</v>
      </c>
      <c r="E294" s="323" t="s">
        <v>867</v>
      </c>
      <c r="F294" s="5"/>
      <c r="G294" s="387" t="s">
        <v>996</v>
      </c>
      <c r="H294" s="313" t="s">
        <v>902</v>
      </c>
      <c r="I294" s="5"/>
      <c r="J294" s="5"/>
      <c r="K294" s="14"/>
    </row>
    <row r="295" spans="2:11">
      <c r="B295" s="42">
        <v>203</v>
      </c>
      <c r="C295" s="21" t="s">
        <v>122</v>
      </c>
      <c r="D295" s="22" t="s">
        <v>565</v>
      </c>
      <c r="E295" s="323" t="s">
        <v>867</v>
      </c>
      <c r="F295" s="5"/>
      <c r="G295" s="387" t="s">
        <v>997</v>
      </c>
      <c r="H295" s="313" t="s">
        <v>902</v>
      </c>
      <c r="I295" s="5"/>
      <c r="J295" s="5"/>
      <c r="K295" s="14"/>
    </row>
    <row r="296" spans="2:11">
      <c r="B296" s="42">
        <v>176</v>
      </c>
      <c r="C296" s="21" t="s">
        <v>95</v>
      </c>
      <c r="D296" s="22" t="s">
        <v>617</v>
      </c>
      <c r="E296" s="323" t="s">
        <v>867</v>
      </c>
      <c r="F296" s="5"/>
      <c r="G296" s="387" t="s">
        <v>994</v>
      </c>
      <c r="H296" s="313" t="s">
        <v>902</v>
      </c>
      <c r="I296" s="5"/>
      <c r="J296" s="5"/>
      <c r="K296" s="14"/>
    </row>
    <row r="297" spans="2:11">
      <c r="B297" s="42">
        <v>175</v>
      </c>
      <c r="C297" s="21" t="s">
        <v>94</v>
      </c>
      <c r="D297" s="22" t="s">
        <v>604</v>
      </c>
      <c r="E297" s="323" t="s">
        <v>867</v>
      </c>
      <c r="F297" s="5"/>
      <c r="G297" s="387" t="s">
        <v>995</v>
      </c>
      <c r="H297" s="313" t="s">
        <v>902</v>
      </c>
      <c r="I297" s="5"/>
      <c r="J297" s="5"/>
      <c r="K297" s="14"/>
    </row>
    <row r="298" spans="2:11">
      <c r="B298" s="42">
        <v>114</v>
      </c>
      <c r="C298" s="21" t="s">
        <v>33</v>
      </c>
      <c r="D298" s="22" t="s">
        <v>585</v>
      </c>
      <c r="E298" s="323" t="s">
        <v>867</v>
      </c>
      <c r="F298" s="5"/>
      <c r="G298" s="387" t="s">
        <v>1006</v>
      </c>
      <c r="H298" s="313" t="s">
        <v>902</v>
      </c>
      <c r="I298" s="5"/>
      <c r="J298" s="5"/>
      <c r="K298" s="14"/>
    </row>
    <row r="299" spans="2:11">
      <c r="B299" s="42">
        <v>115</v>
      </c>
      <c r="C299" s="21" t="s">
        <v>34</v>
      </c>
      <c r="D299" s="22" t="s">
        <v>603</v>
      </c>
      <c r="E299" s="323" t="s">
        <v>867</v>
      </c>
      <c r="F299" s="5"/>
      <c r="G299" s="387" t="s">
        <v>1007</v>
      </c>
      <c r="H299" s="313" t="s">
        <v>902</v>
      </c>
      <c r="I299" s="5"/>
      <c r="J299" s="5"/>
      <c r="K299" s="14"/>
    </row>
    <row r="300" spans="2:11">
      <c r="B300" s="42">
        <v>122</v>
      </c>
      <c r="C300" s="21" t="s">
        <v>41</v>
      </c>
      <c r="D300" s="22" t="s">
        <v>540</v>
      </c>
      <c r="E300" s="323" t="s">
        <v>867</v>
      </c>
      <c r="F300" s="5"/>
      <c r="G300" s="387" t="s">
        <v>1029</v>
      </c>
      <c r="H300" s="313" t="s">
        <v>902</v>
      </c>
      <c r="I300" s="5"/>
      <c r="J300" s="5"/>
      <c r="K300" s="14"/>
    </row>
    <row r="301" spans="2:11">
      <c r="B301" s="42">
        <v>123</v>
      </c>
      <c r="C301" s="21" t="s">
        <v>42</v>
      </c>
      <c r="D301" s="22" t="s">
        <v>561</v>
      </c>
      <c r="E301" s="323" t="s">
        <v>867</v>
      </c>
      <c r="F301" s="5"/>
      <c r="G301" s="387" t="s">
        <v>1030</v>
      </c>
      <c r="H301" s="313" t="s">
        <v>902</v>
      </c>
      <c r="I301" s="5"/>
      <c r="J301" s="5"/>
      <c r="K301" s="14"/>
    </row>
    <row r="302" spans="2:11">
      <c r="B302" s="42">
        <v>112</v>
      </c>
      <c r="C302" s="21" t="s">
        <v>31</v>
      </c>
      <c r="D302" s="22" t="s">
        <v>539</v>
      </c>
      <c r="E302" s="323" t="s">
        <v>867</v>
      </c>
      <c r="F302" s="5"/>
      <c r="G302" s="387" t="s">
        <v>1000</v>
      </c>
      <c r="H302" s="313" t="s">
        <v>902</v>
      </c>
      <c r="I302" s="5"/>
      <c r="J302" s="5"/>
      <c r="K302" s="14"/>
    </row>
    <row r="303" spans="2:11">
      <c r="B303" s="42">
        <v>113</v>
      </c>
      <c r="C303" s="21" t="s">
        <v>32</v>
      </c>
      <c r="D303" s="22" t="s">
        <v>560</v>
      </c>
      <c r="E303" s="323" t="s">
        <v>867</v>
      </c>
      <c r="F303" s="5"/>
      <c r="G303" s="387" t="s">
        <v>1001</v>
      </c>
      <c r="H303" s="313" t="s">
        <v>902</v>
      </c>
      <c r="I303" s="5"/>
      <c r="J303" s="5"/>
      <c r="K303" s="14"/>
    </row>
    <row r="304" spans="2:11">
      <c r="B304" s="42">
        <v>141</v>
      </c>
      <c r="C304" s="21" t="s">
        <v>60</v>
      </c>
      <c r="D304" s="22" t="s">
        <v>526</v>
      </c>
      <c r="E304" s="323" t="s">
        <v>867</v>
      </c>
      <c r="F304" s="5"/>
      <c r="G304" s="387" t="s">
        <v>1002</v>
      </c>
      <c r="H304" s="313" t="s">
        <v>902</v>
      </c>
      <c r="I304" s="5"/>
      <c r="J304" s="5"/>
      <c r="K304" s="14"/>
    </row>
    <row r="305" spans="2:11">
      <c r="B305" s="42">
        <v>131</v>
      </c>
      <c r="C305" s="21" t="s">
        <v>50</v>
      </c>
      <c r="D305" s="22" t="s">
        <v>525</v>
      </c>
      <c r="E305" s="323" t="s">
        <v>867</v>
      </c>
      <c r="F305" s="5"/>
      <c r="G305" s="387" t="s">
        <v>1003</v>
      </c>
      <c r="H305" s="313" t="s">
        <v>902</v>
      </c>
      <c r="I305" s="5"/>
      <c r="J305" s="5"/>
      <c r="K305" s="14"/>
    </row>
    <row r="306" spans="2:11">
      <c r="B306" s="42">
        <v>121</v>
      </c>
      <c r="C306" s="21" t="s">
        <v>40</v>
      </c>
      <c r="D306" s="22" t="s">
        <v>524</v>
      </c>
      <c r="E306" s="323" t="s">
        <v>867</v>
      </c>
      <c r="F306" s="5"/>
      <c r="G306" s="387" t="s">
        <v>1004</v>
      </c>
      <c r="H306" s="313" t="s">
        <v>902</v>
      </c>
      <c r="I306" s="5"/>
      <c r="J306" s="5"/>
      <c r="K306" s="14"/>
    </row>
    <row r="307" spans="2:11">
      <c r="B307" s="42">
        <v>111</v>
      </c>
      <c r="C307" s="21" t="s">
        <v>30</v>
      </c>
      <c r="D307" s="22" t="s">
        <v>523</v>
      </c>
      <c r="E307" s="323" t="s">
        <v>867</v>
      </c>
      <c r="F307" s="5"/>
      <c r="G307" s="387" t="s">
        <v>1005</v>
      </c>
      <c r="H307" s="313" t="s">
        <v>902</v>
      </c>
      <c r="I307" s="5"/>
      <c r="J307" s="5"/>
      <c r="K307" s="14"/>
    </row>
    <row r="308" spans="2:11">
      <c r="B308" s="42">
        <v>132</v>
      </c>
      <c r="C308" s="21" t="s">
        <v>51</v>
      </c>
      <c r="D308" s="22" t="s">
        <v>541</v>
      </c>
      <c r="E308" s="323" t="s">
        <v>867</v>
      </c>
      <c r="F308" s="5"/>
      <c r="G308" s="387" t="s">
        <v>1008</v>
      </c>
      <c r="H308" s="313" t="s">
        <v>902</v>
      </c>
      <c r="I308" s="5"/>
      <c r="J308" s="5"/>
      <c r="K308" s="14"/>
    </row>
    <row r="309" spans="2:11">
      <c r="B309" s="42">
        <v>133</v>
      </c>
      <c r="C309" s="21" t="s">
        <v>52</v>
      </c>
      <c r="D309" s="22" t="s">
        <v>562</v>
      </c>
      <c r="E309" s="323" t="s">
        <v>867</v>
      </c>
      <c r="F309" s="5"/>
      <c r="G309" s="387" t="s">
        <v>1009</v>
      </c>
      <c r="H309" s="313" t="s">
        <v>902</v>
      </c>
      <c r="I309" s="5"/>
      <c r="J309" s="5"/>
      <c r="K309" s="14"/>
    </row>
    <row r="310" spans="2:11">
      <c r="B310" s="42">
        <v>124</v>
      </c>
      <c r="C310" s="21" t="s">
        <v>43</v>
      </c>
      <c r="D310" s="22" t="s">
        <v>465</v>
      </c>
      <c r="E310" s="323" t="s">
        <v>867</v>
      </c>
      <c r="F310" s="323"/>
      <c r="G310" s="387" t="s">
        <v>186</v>
      </c>
      <c r="H310" s="305"/>
      <c r="I310" s="5"/>
      <c r="J310" s="5"/>
      <c r="K310" s="14"/>
    </row>
    <row r="311" spans="2:11">
      <c r="B311" s="42">
        <v>125</v>
      </c>
      <c r="C311" s="21" t="s">
        <v>44</v>
      </c>
      <c r="D311" s="22" t="s">
        <v>456</v>
      </c>
      <c r="E311" s="323" t="s">
        <v>867</v>
      </c>
      <c r="F311" s="323"/>
      <c r="G311" s="387" t="s">
        <v>196</v>
      </c>
      <c r="H311" s="305"/>
      <c r="I311" s="5"/>
      <c r="J311" s="5"/>
      <c r="K311" s="14"/>
    </row>
    <row r="312" spans="2:11">
      <c r="B312" s="42">
        <v>162</v>
      </c>
      <c r="C312" s="21" t="s">
        <v>81</v>
      </c>
      <c r="D312" s="22" t="s">
        <v>433</v>
      </c>
      <c r="E312" s="5"/>
      <c r="F312" s="5"/>
      <c r="G312" s="279"/>
      <c r="H312" s="305"/>
      <c r="I312" s="5"/>
      <c r="J312" s="5"/>
      <c r="K312" s="14"/>
    </row>
    <row r="313" spans="2:11">
      <c r="B313" s="42">
        <v>161</v>
      </c>
      <c r="C313" s="21" t="s">
        <v>80</v>
      </c>
      <c r="D313" s="327" t="s">
        <v>327</v>
      </c>
      <c r="E313" s="323" t="s">
        <v>867</v>
      </c>
      <c r="F313" s="323"/>
      <c r="G313" s="387" t="s">
        <v>167</v>
      </c>
      <c r="H313" s="305"/>
      <c r="I313" s="5"/>
      <c r="J313" s="5"/>
      <c r="K313" s="14"/>
    </row>
    <row r="314" spans="2:11">
      <c r="B314" s="42">
        <v>164</v>
      </c>
      <c r="C314" s="21" t="s">
        <v>83</v>
      </c>
      <c r="D314" s="22" t="s">
        <v>458</v>
      </c>
      <c r="E314" s="5"/>
      <c r="F314" s="5"/>
      <c r="G314" s="279"/>
      <c r="H314" s="305"/>
      <c r="I314" s="5"/>
      <c r="J314" s="5"/>
      <c r="K314" s="14"/>
    </row>
    <row r="315" spans="2:11">
      <c r="B315" s="42">
        <v>163</v>
      </c>
      <c r="C315" s="21" t="s">
        <v>82</v>
      </c>
      <c r="D315" s="327" t="s">
        <v>448</v>
      </c>
      <c r="E315" s="323" t="s">
        <v>867</v>
      </c>
      <c r="F315" s="323"/>
      <c r="G315" s="387" t="s">
        <v>177</v>
      </c>
      <c r="H315" s="305"/>
      <c r="I315" s="5"/>
      <c r="J315" s="5"/>
      <c r="K315" s="14"/>
    </row>
    <row r="316" spans="2:11">
      <c r="B316" s="42">
        <v>181</v>
      </c>
      <c r="C316" s="21" t="s">
        <v>100</v>
      </c>
      <c r="D316" s="22" t="s">
        <v>432</v>
      </c>
      <c r="E316" s="5"/>
      <c r="F316" s="5"/>
      <c r="G316" s="5"/>
      <c r="H316" s="305"/>
      <c r="I316" s="5"/>
      <c r="J316" s="5"/>
      <c r="K316" s="14"/>
    </row>
    <row r="317" spans="2:11">
      <c r="B317" s="42">
        <v>191</v>
      </c>
      <c r="C317" s="21" t="s">
        <v>110</v>
      </c>
      <c r="D317" s="22" t="s">
        <v>432</v>
      </c>
      <c r="E317" s="5"/>
      <c r="F317" s="5"/>
      <c r="G317" s="5"/>
      <c r="H317" s="305"/>
      <c r="I317" s="5"/>
      <c r="J317" s="5"/>
      <c r="K317" s="14"/>
    </row>
    <row r="318" spans="2:11">
      <c r="B318" s="42">
        <v>201</v>
      </c>
      <c r="C318" s="21" t="s">
        <v>120</v>
      </c>
      <c r="D318" s="22" t="s">
        <v>432</v>
      </c>
      <c r="E318" s="5"/>
      <c r="F318" s="5"/>
      <c r="G318" s="5"/>
      <c r="H318" s="305"/>
      <c r="I318" s="5"/>
      <c r="J318" s="5"/>
      <c r="K318" s="14"/>
    </row>
    <row r="319" spans="2:11">
      <c r="B319" s="42">
        <v>211</v>
      </c>
      <c r="C319" s="21" t="s">
        <v>130</v>
      </c>
      <c r="D319" s="22" t="s">
        <v>432</v>
      </c>
      <c r="E319" s="5"/>
      <c r="F319" s="5"/>
      <c r="G319" s="5"/>
      <c r="H319" s="305"/>
      <c r="I319" s="5"/>
      <c r="J319" s="5"/>
      <c r="K319" s="14"/>
    </row>
    <row r="320" spans="2:11">
      <c r="B320" s="42">
        <v>185</v>
      </c>
      <c r="C320" s="21" t="s">
        <v>104</v>
      </c>
      <c r="D320" s="22" t="s">
        <v>432</v>
      </c>
      <c r="E320" s="5"/>
      <c r="F320" s="5"/>
      <c r="G320" s="5"/>
      <c r="H320" s="305"/>
      <c r="I320" s="5"/>
      <c r="J320" s="5"/>
      <c r="K320" s="14"/>
    </row>
    <row r="321" spans="2:11">
      <c r="B321" s="42">
        <v>195</v>
      </c>
      <c r="C321" s="21" t="s">
        <v>114</v>
      </c>
      <c r="D321" s="22" t="s">
        <v>432</v>
      </c>
      <c r="E321" s="5"/>
      <c r="F321" s="5"/>
      <c r="G321" s="5"/>
      <c r="H321" s="305"/>
      <c r="I321" s="5"/>
      <c r="J321" s="5"/>
      <c r="K321" s="14"/>
    </row>
    <row r="322" spans="2:11">
      <c r="B322" s="42">
        <v>205</v>
      </c>
      <c r="C322" s="21" t="s">
        <v>124</v>
      </c>
      <c r="D322" s="22" t="s">
        <v>432</v>
      </c>
      <c r="E322" s="5"/>
      <c r="F322" s="5"/>
      <c r="G322" s="5"/>
      <c r="H322" s="305"/>
      <c r="I322" s="5"/>
      <c r="J322" s="5"/>
      <c r="K322" s="14"/>
    </row>
    <row r="323" spans="2:11">
      <c r="B323" s="42">
        <v>215</v>
      </c>
      <c r="C323" s="21" t="s">
        <v>134</v>
      </c>
      <c r="D323" s="22" t="s">
        <v>432</v>
      </c>
      <c r="E323" s="5"/>
      <c r="F323" s="5"/>
      <c r="G323" s="5"/>
      <c r="H323" s="305"/>
      <c r="I323" s="5"/>
      <c r="J323" s="5"/>
      <c r="K323" s="14"/>
    </row>
    <row r="324" spans="2:11">
      <c r="B324" s="42">
        <v>186</v>
      </c>
      <c r="C324" s="21" t="s">
        <v>105</v>
      </c>
      <c r="D324" s="22" t="s">
        <v>432</v>
      </c>
      <c r="E324" s="5"/>
      <c r="F324" s="5"/>
      <c r="G324" s="5"/>
      <c r="H324" s="305"/>
      <c r="I324" s="5"/>
      <c r="J324" s="5"/>
      <c r="K324" s="14"/>
    </row>
    <row r="325" spans="2:11">
      <c r="B325" s="42">
        <v>196</v>
      </c>
      <c r="C325" s="21" t="s">
        <v>115</v>
      </c>
      <c r="D325" s="22" t="s">
        <v>432</v>
      </c>
      <c r="E325" s="5"/>
      <c r="F325" s="5"/>
      <c r="G325" s="5"/>
      <c r="H325" s="305"/>
      <c r="I325" s="5"/>
      <c r="J325" s="5"/>
      <c r="K325" s="14"/>
    </row>
    <row r="326" spans="2:11">
      <c r="B326" s="42">
        <v>151</v>
      </c>
      <c r="C326" s="21" t="s">
        <v>70</v>
      </c>
      <c r="D326" s="22" t="s">
        <v>326</v>
      </c>
      <c r="E326" s="5"/>
      <c r="F326" s="5"/>
      <c r="G326" s="5"/>
      <c r="H326" s="305"/>
      <c r="I326" s="5"/>
      <c r="J326" s="5"/>
      <c r="K326" s="14"/>
    </row>
    <row r="327" spans="2:11">
      <c r="B327" s="42">
        <v>172</v>
      </c>
      <c r="C327" s="21" t="s">
        <v>91</v>
      </c>
      <c r="D327" s="22" t="s">
        <v>434</v>
      </c>
      <c r="E327" s="5"/>
      <c r="F327" s="5"/>
      <c r="G327" s="5"/>
      <c r="H327" s="305"/>
      <c r="I327" s="5"/>
      <c r="J327" s="5"/>
      <c r="K327" s="14"/>
    </row>
    <row r="328" spans="2:11">
      <c r="B328" s="42">
        <v>171</v>
      </c>
      <c r="C328" s="21" t="s">
        <v>90</v>
      </c>
      <c r="D328" s="22" t="s">
        <v>328</v>
      </c>
      <c r="E328" s="5"/>
      <c r="F328" s="5"/>
      <c r="G328" s="5"/>
      <c r="H328" s="305"/>
      <c r="I328" s="5"/>
      <c r="J328" s="5"/>
      <c r="K328" s="14"/>
    </row>
    <row r="329" spans="2:11">
      <c r="B329" s="42">
        <v>142</v>
      </c>
      <c r="C329" s="21" t="s">
        <v>61</v>
      </c>
      <c r="D329" s="22" t="s">
        <v>329</v>
      </c>
      <c r="E329" s="5"/>
      <c r="F329" s="5"/>
      <c r="G329" s="5"/>
      <c r="H329" s="305"/>
      <c r="I329" s="5"/>
      <c r="J329" s="5"/>
      <c r="K329" s="14"/>
    </row>
    <row r="330" spans="2:11">
      <c r="B330" s="42">
        <v>152</v>
      </c>
      <c r="C330" s="21" t="s">
        <v>71</v>
      </c>
      <c r="D330" s="22" t="s">
        <v>329</v>
      </c>
      <c r="E330" s="5"/>
      <c r="F330" s="5"/>
      <c r="G330" s="5"/>
      <c r="H330" s="305"/>
      <c r="I330" s="5"/>
      <c r="J330" s="5"/>
      <c r="K330" s="14"/>
    </row>
    <row r="331" spans="2:11">
      <c r="B331" s="42">
        <v>143</v>
      </c>
      <c r="C331" s="21" t="s">
        <v>62</v>
      </c>
      <c r="D331" s="22" t="s">
        <v>329</v>
      </c>
      <c r="E331" s="5"/>
      <c r="F331" s="5"/>
      <c r="G331" s="5"/>
      <c r="H331" s="305"/>
      <c r="I331" s="5"/>
      <c r="J331" s="5"/>
      <c r="K331" s="14"/>
    </row>
    <row r="332" spans="2:11">
      <c r="B332" s="42">
        <v>153</v>
      </c>
      <c r="C332" s="21" t="s">
        <v>72</v>
      </c>
      <c r="D332" s="22" t="s">
        <v>329</v>
      </c>
      <c r="E332" s="5"/>
      <c r="F332" s="5"/>
      <c r="G332" s="5"/>
      <c r="H332" s="305"/>
      <c r="I332" s="5"/>
      <c r="J332" s="5"/>
      <c r="K332" s="14"/>
    </row>
    <row r="333" spans="2:11">
      <c r="B333" s="42">
        <v>144</v>
      </c>
      <c r="C333" s="21" t="s">
        <v>63</v>
      </c>
      <c r="D333" s="22" t="s">
        <v>329</v>
      </c>
      <c r="E333" s="5"/>
      <c r="F333" s="5"/>
      <c r="G333" s="5"/>
      <c r="H333" s="305"/>
      <c r="I333" s="5"/>
      <c r="J333" s="5"/>
      <c r="K333" s="14"/>
    </row>
    <row r="334" spans="2:11">
      <c r="B334" s="42">
        <v>154</v>
      </c>
      <c r="C334" s="21" t="s">
        <v>73</v>
      </c>
      <c r="D334" s="22" t="s">
        <v>329</v>
      </c>
      <c r="E334" s="5"/>
      <c r="F334" s="5"/>
      <c r="G334" s="5"/>
      <c r="H334" s="305"/>
      <c r="I334" s="5"/>
      <c r="J334" s="5"/>
      <c r="K334" s="14"/>
    </row>
    <row r="335" spans="2:11">
      <c r="B335" s="42">
        <v>145</v>
      </c>
      <c r="C335" s="21" t="s">
        <v>64</v>
      </c>
      <c r="D335" s="22" t="s">
        <v>329</v>
      </c>
      <c r="E335" s="5"/>
      <c r="F335" s="5"/>
      <c r="G335" s="5"/>
      <c r="H335" s="305"/>
      <c r="I335" s="5"/>
      <c r="J335" s="5"/>
      <c r="K335" s="14"/>
    </row>
    <row r="336" spans="2:11">
      <c r="B336" s="42">
        <v>155</v>
      </c>
      <c r="C336" s="21" t="s">
        <v>74</v>
      </c>
      <c r="D336" s="22" t="s">
        <v>329</v>
      </c>
      <c r="E336" s="5"/>
      <c r="F336" s="5"/>
      <c r="G336" s="5"/>
      <c r="H336" s="305"/>
      <c r="I336" s="5"/>
      <c r="J336" s="5"/>
      <c r="K336" s="14"/>
    </row>
    <row r="337" spans="2:11">
      <c r="B337" s="42">
        <v>165</v>
      </c>
      <c r="C337" s="21" t="s">
        <v>84</v>
      </c>
      <c r="D337" s="22" t="s">
        <v>329</v>
      </c>
      <c r="E337" s="5"/>
      <c r="F337" s="5"/>
      <c r="G337" s="5"/>
      <c r="H337" s="305"/>
      <c r="I337" s="5"/>
      <c r="J337" s="5"/>
      <c r="K337" s="14"/>
    </row>
    <row r="338" spans="2:11">
      <c r="B338" s="42">
        <v>146</v>
      </c>
      <c r="C338" s="21" t="s">
        <v>65</v>
      </c>
      <c r="D338" s="22" t="s">
        <v>329</v>
      </c>
      <c r="E338" s="5"/>
      <c r="F338" s="5"/>
      <c r="G338" s="5"/>
      <c r="H338" s="305"/>
      <c r="I338" s="5"/>
      <c r="J338" s="5"/>
      <c r="K338" s="14"/>
    </row>
    <row r="339" spans="2:11">
      <c r="B339" s="42">
        <v>156</v>
      </c>
      <c r="C339" s="21" t="s">
        <v>75</v>
      </c>
      <c r="D339" s="22" t="s">
        <v>329</v>
      </c>
      <c r="E339" s="5"/>
      <c r="F339" s="5"/>
      <c r="G339" s="5"/>
      <c r="H339" s="305"/>
      <c r="I339" s="5"/>
      <c r="J339" s="5"/>
      <c r="K339" s="14"/>
    </row>
    <row r="340" spans="2:11">
      <c r="B340" s="42">
        <v>166</v>
      </c>
      <c r="C340" s="21" t="s">
        <v>85</v>
      </c>
      <c r="D340" s="22" t="s">
        <v>329</v>
      </c>
      <c r="E340" s="5"/>
      <c r="F340" s="5"/>
      <c r="G340" s="5"/>
      <c r="H340" s="305"/>
      <c r="I340" s="5"/>
      <c r="J340" s="5"/>
      <c r="K340" s="14"/>
    </row>
    <row r="341" spans="2:11">
      <c r="B341" s="42">
        <v>212</v>
      </c>
      <c r="C341" s="21" t="s">
        <v>131</v>
      </c>
      <c r="D341" s="22" t="s">
        <v>436</v>
      </c>
      <c r="E341" s="5"/>
      <c r="F341" s="5"/>
      <c r="G341" s="5"/>
      <c r="H341" s="305"/>
      <c r="I341" s="5"/>
      <c r="J341" s="5"/>
      <c r="K341" s="14"/>
    </row>
    <row r="342" spans="2:11">
      <c r="B342" s="42">
        <v>202</v>
      </c>
      <c r="C342" s="21" t="s">
        <v>121</v>
      </c>
      <c r="D342" s="327" t="s">
        <v>435</v>
      </c>
      <c r="E342" s="323" t="s">
        <v>867</v>
      </c>
      <c r="F342" s="323"/>
      <c r="G342" s="320" t="s">
        <v>107</v>
      </c>
      <c r="H342" s="305"/>
      <c r="I342" s="5"/>
      <c r="J342" s="5"/>
      <c r="K342" s="14"/>
    </row>
    <row r="343" spans="2:11">
      <c r="B343" s="42">
        <v>174</v>
      </c>
      <c r="C343" s="21" t="s">
        <v>93</v>
      </c>
      <c r="D343" s="327" t="s">
        <v>459</v>
      </c>
      <c r="E343" s="323" t="s">
        <v>867</v>
      </c>
      <c r="F343" s="5"/>
      <c r="G343" s="319" t="s">
        <v>207</v>
      </c>
      <c r="H343" s="305"/>
      <c r="I343" s="5"/>
      <c r="J343" s="5"/>
      <c r="K343" s="14"/>
    </row>
    <row r="344" spans="2:11">
      <c r="B344" s="42">
        <v>173</v>
      </c>
      <c r="C344" s="21" t="s">
        <v>92</v>
      </c>
      <c r="D344" s="327" t="s">
        <v>449</v>
      </c>
      <c r="E344" s="323" t="s">
        <v>867</v>
      </c>
      <c r="F344" s="5"/>
      <c r="G344" s="319" t="s">
        <v>217</v>
      </c>
      <c r="H344" s="305"/>
      <c r="I344" s="5"/>
      <c r="J344" s="5"/>
      <c r="K344" s="14"/>
    </row>
    <row r="345" spans="2:11">
      <c r="B345" s="42">
        <v>135</v>
      </c>
      <c r="C345" s="21" t="s">
        <v>54</v>
      </c>
      <c r="D345" s="327" t="s">
        <v>457</v>
      </c>
      <c r="E345" s="323" t="s">
        <v>867</v>
      </c>
      <c r="F345" s="325"/>
      <c r="G345" s="388" t="s">
        <v>317</v>
      </c>
      <c r="H345" s="305"/>
      <c r="I345" s="5"/>
      <c r="J345" s="5"/>
      <c r="K345" s="14"/>
    </row>
    <row r="346" spans="2:11">
      <c r="B346" s="42">
        <v>134</v>
      </c>
      <c r="C346" s="21" t="s">
        <v>53</v>
      </c>
      <c r="D346" s="327" t="s">
        <v>466</v>
      </c>
      <c r="E346" s="323" t="s">
        <v>867</v>
      </c>
      <c r="F346" s="323"/>
      <c r="G346" s="320" t="s">
        <v>1036</v>
      </c>
      <c r="H346" s="305"/>
      <c r="I346" s="5"/>
      <c r="J346" s="5"/>
      <c r="K346" s="14"/>
    </row>
    <row r="347" spans="2:11">
      <c r="B347" s="42">
        <v>332</v>
      </c>
      <c r="C347" s="21" t="s">
        <v>251</v>
      </c>
      <c r="D347" s="22" t="s">
        <v>549</v>
      </c>
      <c r="E347" s="323" t="s">
        <v>867</v>
      </c>
      <c r="F347" s="5"/>
      <c r="G347" s="389" t="s">
        <v>281</v>
      </c>
      <c r="H347" s="338" t="s">
        <v>903</v>
      </c>
      <c r="I347" s="5"/>
      <c r="J347" s="5"/>
      <c r="K347" s="14"/>
    </row>
    <row r="348" spans="2:11">
      <c r="B348" s="42">
        <v>331</v>
      </c>
      <c r="C348" s="21" t="s">
        <v>250</v>
      </c>
      <c r="D348" s="22" t="s">
        <v>529</v>
      </c>
      <c r="E348" s="323" t="s">
        <v>867</v>
      </c>
      <c r="F348" s="5"/>
      <c r="G348" s="389" t="s">
        <v>291</v>
      </c>
      <c r="H348" s="313" t="s">
        <v>903</v>
      </c>
      <c r="I348" s="5"/>
      <c r="J348" s="5"/>
      <c r="K348" s="14"/>
    </row>
    <row r="349" spans="2:11">
      <c r="B349" s="42">
        <v>322</v>
      </c>
      <c r="C349" s="21" t="s">
        <v>241</v>
      </c>
      <c r="D349" s="22" t="s">
        <v>548</v>
      </c>
      <c r="E349" s="323" t="s">
        <v>867</v>
      </c>
      <c r="F349" s="5"/>
      <c r="G349" s="389" t="s">
        <v>300</v>
      </c>
      <c r="H349" s="313" t="s">
        <v>903</v>
      </c>
      <c r="I349" s="5"/>
      <c r="J349" s="5"/>
      <c r="K349" s="14"/>
    </row>
    <row r="350" spans="2:11">
      <c r="B350" s="42">
        <v>321</v>
      </c>
      <c r="C350" s="21" t="s">
        <v>240</v>
      </c>
      <c r="D350" s="22" t="s">
        <v>528</v>
      </c>
      <c r="E350" s="323" t="s">
        <v>867</v>
      </c>
      <c r="F350" s="5"/>
      <c r="G350" s="389" t="s">
        <v>310</v>
      </c>
      <c r="H350" s="313" t="s">
        <v>903</v>
      </c>
      <c r="I350" s="5"/>
      <c r="J350" s="5"/>
      <c r="K350" s="14"/>
    </row>
    <row r="351" spans="2:11">
      <c r="B351" s="42">
        <v>312</v>
      </c>
      <c r="C351" s="21" t="s">
        <v>231</v>
      </c>
      <c r="D351" s="22" t="s">
        <v>547</v>
      </c>
      <c r="E351" s="323" t="s">
        <v>867</v>
      </c>
      <c r="F351" s="5"/>
      <c r="G351" s="389" t="s">
        <v>260</v>
      </c>
      <c r="H351" s="313" t="s">
        <v>903</v>
      </c>
      <c r="I351" s="5"/>
      <c r="J351" s="5"/>
      <c r="K351" s="14"/>
    </row>
    <row r="352" spans="2:11">
      <c r="B352" s="42">
        <v>311</v>
      </c>
      <c r="C352" s="21" t="s">
        <v>230</v>
      </c>
      <c r="D352" s="22" t="s">
        <v>527</v>
      </c>
      <c r="E352" s="323" t="s">
        <v>867</v>
      </c>
      <c r="F352" s="5"/>
      <c r="G352" s="389" t="s">
        <v>270</v>
      </c>
      <c r="H352" s="313" t="s">
        <v>903</v>
      </c>
      <c r="I352" s="5"/>
      <c r="J352" s="5"/>
      <c r="K352" s="14"/>
    </row>
    <row r="353" spans="2:11">
      <c r="B353" s="42">
        <v>313</v>
      </c>
      <c r="C353" s="21" t="s">
        <v>232</v>
      </c>
      <c r="D353" s="22" t="s">
        <v>572</v>
      </c>
      <c r="E353" s="323" t="s">
        <v>867</v>
      </c>
      <c r="F353" s="5"/>
      <c r="G353" s="389" t="s">
        <v>302</v>
      </c>
      <c r="H353" s="313" t="s">
        <v>903</v>
      </c>
      <c r="I353" s="5"/>
      <c r="J353" s="5"/>
      <c r="K353" s="14"/>
    </row>
    <row r="354" spans="2:11">
      <c r="B354" s="42">
        <v>323</v>
      </c>
      <c r="C354" s="21" t="s">
        <v>242</v>
      </c>
      <c r="D354" s="22" t="s">
        <v>573</v>
      </c>
      <c r="E354" s="323" t="s">
        <v>867</v>
      </c>
      <c r="F354" s="5"/>
      <c r="G354" s="389" t="s">
        <v>312</v>
      </c>
      <c r="H354" s="313" t="s">
        <v>903</v>
      </c>
      <c r="I354" s="5"/>
      <c r="J354" s="5"/>
      <c r="K354" s="14"/>
    </row>
    <row r="355" spans="2:11">
      <c r="B355" s="42">
        <v>303</v>
      </c>
      <c r="C355" s="21" t="s">
        <v>222</v>
      </c>
      <c r="D355" s="22" t="s">
        <v>571</v>
      </c>
      <c r="E355" s="323" t="s">
        <v>867</v>
      </c>
      <c r="F355" s="5"/>
      <c r="G355" s="389" t="s">
        <v>262</v>
      </c>
      <c r="H355" s="313" t="s">
        <v>903</v>
      </c>
      <c r="I355" s="5"/>
      <c r="J355" s="5"/>
      <c r="K355" s="14"/>
    </row>
    <row r="356" spans="2:11">
      <c r="B356" s="42">
        <v>293</v>
      </c>
      <c r="C356" s="21" t="s">
        <v>212</v>
      </c>
      <c r="D356" s="22" t="s">
        <v>570</v>
      </c>
      <c r="E356" s="323" t="s">
        <v>867</v>
      </c>
      <c r="F356" s="5"/>
      <c r="G356" s="389" t="s">
        <v>272</v>
      </c>
      <c r="H356" s="313" t="s">
        <v>903</v>
      </c>
      <c r="I356" s="5"/>
      <c r="J356" s="5"/>
      <c r="K356" s="14"/>
    </row>
    <row r="357" spans="2:11">
      <c r="B357" s="42">
        <v>324</v>
      </c>
      <c r="C357" s="21" t="s">
        <v>243</v>
      </c>
      <c r="D357" s="22" t="s">
        <v>594</v>
      </c>
      <c r="E357" s="323" t="s">
        <v>867</v>
      </c>
      <c r="F357" s="5"/>
      <c r="G357" s="389" t="s">
        <v>1010</v>
      </c>
      <c r="H357" s="313" t="s">
        <v>903</v>
      </c>
      <c r="I357" s="5"/>
      <c r="J357" s="5"/>
      <c r="K357" s="14"/>
    </row>
    <row r="358" spans="2:11">
      <c r="B358" s="42">
        <v>314</v>
      </c>
      <c r="C358" s="21" t="s">
        <v>233</v>
      </c>
      <c r="D358" s="22" t="s">
        <v>593</v>
      </c>
      <c r="E358" s="323" t="s">
        <v>867</v>
      </c>
      <c r="F358" s="5"/>
      <c r="G358" s="389" t="s">
        <v>1011</v>
      </c>
      <c r="H358" s="313" t="s">
        <v>903</v>
      </c>
      <c r="I358" s="5"/>
      <c r="J358" s="5"/>
      <c r="K358" s="14"/>
    </row>
    <row r="359" spans="2:11">
      <c r="B359" s="42">
        <v>244</v>
      </c>
      <c r="C359" s="21" t="s">
        <v>163</v>
      </c>
      <c r="D359" s="22" t="s">
        <v>592</v>
      </c>
      <c r="E359" s="323" t="s">
        <v>867</v>
      </c>
      <c r="F359" s="5"/>
      <c r="G359" s="389" t="s">
        <v>264</v>
      </c>
      <c r="H359" s="313" t="s">
        <v>903</v>
      </c>
      <c r="I359" s="5"/>
      <c r="J359" s="5"/>
      <c r="K359" s="14"/>
    </row>
    <row r="360" spans="2:11">
      <c r="B360" s="42">
        <v>245</v>
      </c>
      <c r="C360" s="21" t="s">
        <v>164</v>
      </c>
      <c r="D360" s="22" t="s">
        <v>607</v>
      </c>
      <c r="E360" s="323" t="s">
        <v>867</v>
      </c>
      <c r="F360" s="5"/>
      <c r="G360" s="389" t="s">
        <v>274</v>
      </c>
      <c r="H360" s="313" t="s">
        <v>903</v>
      </c>
      <c r="I360" s="5"/>
      <c r="J360" s="5"/>
      <c r="K360" s="14"/>
    </row>
    <row r="361" spans="2:11">
      <c r="B361" s="42">
        <v>234</v>
      </c>
      <c r="C361" s="21" t="s">
        <v>153</v>
      </c>
      <c r="D361" s="22" t="s">
        <v>591</v>
      </c>
      <c r="E361" s="323" t="s">
        <v>867</v>
      </c>
      <c r="F361" s="5"/>
      <c r="G361" s="389" t="s">
        <v>1012</v>
      </c>
      <c r="H361" s="313" t="s">
        <v>903</v>
      </c>
      <c r="I361" s="5"/>
      <c r="J361" s="5"/>
      <c r="K361" s="14"/>
    </row>
    <row r="362" spans="2:11">
      <c r="B362" s="42">
        <v>235</v>
      </c>
      <c r="C362" s="21" t="s">
        <v>154</v>
      </c>
      <c r="D362" s="22" t="s">
        <v>606</v>
      </c>
      <c r="E362" s="323" t="s">
        <v>867</v>
      </c>
      <c r="F362" s="5"/>
      <c r="G362" s="389" t="s">
        <v>1013</v>
      </c>
      <c r="H362" s="313" t="s">
        <v>903</v>
      </c>
      <c r="I362" s="5"/>
      <c r="J362" s="5"/>
      <c r="K362" s="14"/>
    </row>
    <row r="363" spans="2:11">
      <c r="B363" s="42">
        <v>224</v>
      </c>
      <c r="C363" s="21" t="s">
        <v>143</v>
      </c>
      <c r="D363" s="22" t="s">
        <v>590</v>
      </c>
      <c r="E363" s="323" t="s">
        <v>867</v>
      </c>
      <c r="F363" s="5"/>
      <c r="G363" s="389" t="s">
        <v>283</v>
      </c>
      <c r="H363" s="313" t="s">
        <v>903</v>
      </c>
      <c r="I363" s="5"/>
      <c r="J363" s="5"/>
      <c r="K363" s="14"/>
    </row>
    <row r="364" spans="2:11">
      <c r="B364" s="42">
        <v>225</v>
      </c>
      <c r="C364" s="21" t="s">
        <v>144</v>
      </c>
      <c r="D364" s="22" t="s">
        <v>605</v>
      </c>
      <c r="E364" s="323" t="s">
        <v>867</v>
      </c>
      <c r="F364" s="5"/>
      <c r="G364" s="389" t="s">
        <v>293</v>
      </c>
      <c r="H364" s="313" t="s">
        <v>903</v>
      </c>
      <c r="I364" s="5"/>
      <c r="J364" s="5"/>
      <c r="K364" s="14"/>
    </row>
    <row r="365" spans="2:11">
      <c r="B365" s="42">
        <v>252</v>
      </c>
      <c r="C365" s="21" t="s">
        <v>171</v>
      </c>
      <c r="D365" s="22" t="s">
        <v>546</v>
      </c>
      <c r="E365" s="323" t="s">
        <v>867</v>
      </c>
      <c r="F365" s="5"/>
      <c r="G365" s="389" t="s">
        <v>1014</v>
      </c>
      <c r="H365" s="313" t="s">
        <v>903</v>
      </c>
      <c r="I365" s="5"/>
      <c r="J365" s="5"/>
      <c r="K365" s="14"/>
    </row>
    <row r="366" spans="2:11">
      <c r="B366" s="42">
        <v>253</v>
      </c>
      <c r="C366" s="21" t="s">
        <v>172</v>
      </c>
      <c r="D366" s="22" t="s">
        <v>569</v>
      </c>
      <c r="E366" s="323" t="s">
        <v>867</v>
      </c>
      <c r="F366" s="5"/>
      <c r="G366" s="389" t="s">
        <v>1015</v>
      </c>
      <c r="H366" s="313" t="s">
        <v>903</v>
      </c>
      <c r="I366" s="5"/>
      <c r="J366" s="5"/>
      <c r="K366" s="14"/>
    </row>
    <row r="367" spans="2:11">
      <c r="B367" s="42">
        <v>242</v>
      </c>
      <c r="C367" s="21" t="s">
        <v>161</v>
      </c>
      <c r="D367" s="22" t="s">
        <v>545</v>
      </c>
      <c r="E367" s="323" t="s">
        <v>867</v>
      </c>
      <c r="F367" s="5"/>
      <c r="G367" s="389" t="s">
        <v>285</v>
      </c>
      <c r="H367" s="313" t="s">
        <v>903</v>
      </c>
      <c r="I367" s="5"/>
      <c r="J367" s="5"/>
      <c r="K367" s="14"/>
    </row>
    <row r="368" spans="2:11">
      <c r="B368" s="42">
        <v>243</v>
      </c>
      <c r="C368" s="21" t="s">
        <v>162</v>
      </c>
      <c r="D368" s="22" t="s">
        <v>568</v>
      </c>
      <c r="E368" s="323" t="s">
        <v>867</v>
      </c>
      <c r="F368" s="5"/>
      <c r="G368" s="389" t="s">
        <v>295</v>
      </c>
      <c r="H368" s="313" t="s">
        <v>903</v>
      </c>
      <c r="I368" s="5"/>
      <c r="J368" s="5"/>
      <c r="K368" s="14"/>
    </row>
    <row r="369" spans="2:11">
      <c r="B369" s="42">
        <v>222</v>
      </c>
      <c r="C369" s="21" t="s">
        <v>141</v>
      </c>
      <c r="D369" s="22" t="s">
        <v>544</v>
      </c>
      <c r="E369" s="323" t="s">
        <v>867</v>
      </c>
      <c r="F369" s="5"/>
      <c r="G369" s="389" t="s">
        <v>304</v>
      </c>
      <c r="H369" s="313" t="s">
        <v>903</v>
      </c>
      <c r="I369" s="5"/>
      <c r="J369" s="5"/>
      <c r="K369" s="14"/>
    </row>
    <row r="370" spans="2:11">
      <c r="B370" s="42">
        <v>223</v>
      </c>
      <c r="C370" s="21" t="s">
        <v>142</v>
      </c>
      <c r="D370" s="22" t="s">
        <v>567</v>
      </c>
      <c r="E370" s="323" t="s">
        <v>867</v>
      </c>
      <c r="F370" s="5"/>
      <c r="G370" s="389" t="s">
        <v>314</v>
      </c>
      <c r="H370" s="313" t="s">
        <v>903</v>
      </c>
      <c r="I370" s="5"/>
      <c r="J370" s="5"/>
      <c r="K370" s="14"/>
    </row>
    <row r="371" spans="2:11">
      <c r="B371" s="42">
        <v>254</v>
      </c>
      <c r="C371" s="21" t="s">
        <v>173</v>
      </c>
      <c r="D371" s="22" t="s">
        <v>460</v>
      </c>
      <c r="E371" s="323" t="s">
        <v>867</v>
      </c>
      <c r="F371" s="323"/>
      <c r="G371" s="320" t="s">
        <v>976</v>
      </c>
      <c r="H371" s="305"/>
      <c r="I371" s="5"/>
      <c r="J371" s="5"/>
      <c r="K371" s="14"/>
    </row>
    <row r="372" spans="2:11">
      <c r="B372" s="42">
        <v>255</v>
      </c>
      <c r="C372" s="21" t="s">
        <v>174</v>
      </c>
      <c r="D372" s="22" t="s">
        <v>467</v>
      </c>
      <c r="E372" s="323" t="s">
        <v>867</v>
      </c>
      <c r="F372" s="323"/>
      <c r="G372" s="320" t="s">
        <v>977</v>
      </c>
      <c r="H372" s="305"/>
      <c r="I372" s="5"/>
      <c r="J372" s="5"/>
      <c r="K372" s="14"/>
    </row>
    <row r="373" spans="2:11">
      <c r="B373" s="42">
        <v>275</v>
      </c>
      <c r="C373" s="21" t="s">
        <v>194</v>
      </c>
      <c r="D373" s="22" t="s">
        <v>468</v>
      </c>
      <c r="E373" s="5"/>
      <c r="F373" s="5"/>
      <c r="G373" s="5"/>
      <c r="H373" s="305"/>
      <c r="I373" s="5"/>
      <c r="J373" s="5"/>
      <c r="K373" s="14"/>
    </row>
    <row r="374" spans="2:11">
      <c r="B374" s="42">
        <v>274</v>
      </c>
      <c r="C374" s="21" t="s">
        <v>193</v>
      </c>
      <c r="D374" s="327" t="s">
        <v>461</v>
      </c>
      <c r="E374" s="323" t="s">
        <v>867</v>
      </c>
      <c r="F374" s="323"/>
      <c r="G374" s="320" t="s">
        <v>127</v>
      </c>
      <c r="H374" s="305"/>
      <c r="I374" s="5"/>
      <c r="J374" s="5"/>
      <c r="K374" s="14"/>
    </row>
    <row r="375" spans="2:11">
      <c r="B375" s="42">
        <v>272</v>
      </c>
      <c r="C375" s="21" t="s">
        <v>191</v>
      </c>
      <c r="D375" s="22" t="s">
        <v>438</v>
      </c>
      <c r="E375" s="5"/>
      <c r="F375" s="5"/>
      <c r="G375" s="5"/>
      <c r="H375" s="305"/>
      <c r="I375" s="5"/>
      <c r="J375" s="5"/>
      <c r="K375" s="14"/>
    </row>
    <row r="376" spans="2:11">
      <c r="B376" s="42">
        <v>273</v>
      </c>
      <c r="C376" s="21" t="s">
        <v>192</v>
      </c>
      <c r="D376" s="327" t="s">
        <v>451</v>
      </c>
      <c r="E376" s="323" t="s">
        <v>867</v>
      </c>
      <c r="F376" s="323"/>
      <c r="G376" s="320" t="s">
        <v>137</v>
      </c>
      <c r="H376" s="305"/>
      <c r="I376" s="5"/>
      <c r="J376" s="5"/>
      <c r="K376" s="14"/>
    </row>
    <row r="377" spans="2:11">
      <c r="B377" s="42">
        <v>291</v>
      </c>
      <c r="C377" s="21" t="s">
        <v>210</v>
      </c>
      <c r="D377" s="22" t="s">
        <v>330</v>
      </c>
      <c r="E377" s="5"/>
      <c r="F377" s="5"/>
      <c r="G377" s="5"/>
      <c r="H377" s="305"/>
      <c r="I377" s="5"/>
      <c r="J377" s="5"/>
      <c r="K377" s="14"/>
    </row>
    <row r="378" spans="2:11">
      <c r="B378" s="42">
        <v>292</v>
      </c>
      <c r="C378" s="21" t="s">
        <v>211</v>
      </c>
      <c r="D378" s="22" t="s">
        <v>330</v>
      </c>
      <c r="E378" s="5"/>
      <c r="F378" s="5"/>
      <c r="G378" s="5"/>
      <c r="H378" s="305"/>
      <c r="I378" s="5"/>
      <c r="J378" s="5"/>
      <c r="K378" s="14"/>
    </row>
    <row r="379" spans="2:11">
      <c r="B379" s="42">
        <v>295</v>
      </c>
      <c r="C379" s="21" t="s">
        <v>214</v>
      </c>
      <c r="D379" s="22" t="s">
        <v>330</v>
      </c>
      <c r="E379" s="5"/>
      <c r="F379" s="5"/>
      <c r="G379" s="5"/>
      <c r="H379" s="305"/>
      <c r="I379" s="5"/>
      <c r="J379" s="5"/>
      <c r="K379" s="14"/>
    </row>
    <row r="380" spans="2:11">
      <c r="B380" s="42">
        <v>305</v>
      </c>
      <c r="C380" s="21" t="s">
        <v>224</v>
      </c>
      <c r="D380" s="22" t="s">
        <v>330</v>
      </c>
      <c r="E380" s="5"/>
      <c r="F380" s="5"/>
      <c r="G380" s="5"/>
      <c r="H380" s="305"/>
      <c r="I380" s="5"/>
      <c r="J380" s="5"/>
      <c r="K380" s="14"/>
    </row>
    <row r="381" spans="2:11">
      <c r="B381" s="42">
        <v>315</v>
      </c>
      <c r="C381" s="21" t="s">
        <v>234</v>
      </c>
      <c r="D381" s="22" t="s">
        <v>330</v>
      </c>
      <c r="E381" s="5"/>
      <c r="F381" s="5"/>
      <c r="G381" s="5"/>
      <c r="H381" s="305"/>
      <c r="I381" s="5"/>
      <c r="J381" s="5"/>
      <c r="K381" s="14"/>
    </row>
    <row r="382" spans="2:11">
      <c r="B382" s="42">
        <v>325</v>
      </c>
      <c r="C382" s="21" t="s">
        <v>244</v>
      </c>
      <c r="D382" s="22" t="s">
        <v>330</v>
      </c>
      <c r="E382" s="5"/>
      <c r="F382" s="5"/>
      <c r="G382" s="5"/>
      <c r="H382" s="305"/>
      <c r="I382" s="5"/>
      <c r="J382" s="5"/>
      <c r="K382" s="14"/>
    </row>
    <row r="383" spans="2:11">
      <c r="B383" s="42">
        <v>261</v>
      </c>
      <c r="C383" s="21" t="s">
        <v>180</v>
      </c>
      <c r="D383" s="22" t="s">
        <v>331</v>
      </c>
      <c r="E383" s="5"/>
      <c r="F383" s="5"/>
      <c r="G383" s="5"/>
      <c r="H383" s="305"/>
      <c r="I383" s="5"/>
      <c r="J383" s="5"/>
      <c r="K383" s="14"/>
    </row>
    <row r="384" spans="2:11">
      <c r="B384" s="42">
        <v>281</v>
      </c>
      <c r="C384" s="21" t="s">
        <v>200</v>
      </c>
      <c r="D384" s="22" t="s">
        <v>333</v>
      </c>
      <c r="E384" s="5"/>
      <c r="F384" s="5"/>
      <c r="G384" s="5"/>
      <c r="H384" s="305"/>
      <c r="I384" s="5"/>
      <c r="J384" s="5"/>
      <c r="K384" s="14"/>
    </row>
    <row r="385" spans="2:11">
      <c r="B385" s="42">
        <v>271</v>
      </c>
      <c r="C385" s="21" t="s">
        <v>190</v>
      </c>
      <c r="D385" s="22" t="s">
        <v>332</v>
      </c>
      <c r="E385" s="5"/>
      <c r="F385" s="5"/>
      <c r="G385" s="5"/>
      <c r="H385" s="305"/>
      <c r="I385" s="5"/>
      <c r="J385" s="5"/>
      <c r="K385" s="14"/>
    </row>
    <row r="386" spans="2:11">
      <c r="B386" s="42">
        <v>221</v>
      </c>
      <c r="C386" s="21" t="s">
        <v>140</v>
      </c>
      <c r="D386" s="22" t="s">
        <v>334</v>
      </c>
      <c r="E386" s="5"/>
      <c r="F386" s="5"/>
      <c r="G386" s="5"/>
      <c r="H386" s="305"/>
      <c r="I386" s="5"/>
      <c r="J386" s="5"/>
      <c r="K386" s="14"/>
    </row>
    <row r="387" spans="2:11">
      <c r="B387" s="42">
        <v>231</v>
      </c>
      <c r="C387" s="21" t="s">
        <v>150</v>
      </c>
      <c r="D387" s="22" t="s">
        <v>334</v>
      </c>
      <c r="E387" s="5"/>
      <c r="F387" s="5"/>
      <c r="G387" s="5"/>
      <c r="H387" s="305"/>
      <c r="I387" s="5"/>
      <c r="J387" s="5"/>
      <c r="K387" s="14"/>
    </row>
    <row r="388" spans="2:11">
      <c r="B388" s="42">
        <v>241</v>
      </c>
      <c r="C388" s="21" t="s">
        <v>160</v>
      </c>
      <c r="D388" s="22" t="s">
        <v>334</v>
      </c>
      <c r="E388" s="5"/>
      <c r="F388" s="5"/>
      <c r="G388" s="5"/>
      <c r="H388" s="305"/>
      <c r="I388" s="5"/>
      <c r="J388" s="5"/>
      <c r="K388" s="14"/>
    </row>
    <row r="389" spans="2:11">
      <c r="B389" s="42">
        <v>251</v>
      </c>
      <c r="C389" s="21" t="s">
        <v>170</v>
      </c>
      <c r="D389" s="22" t="s">
        <v>334</v>
      </c>
      <c r="E389" s="5"/>
      <c r="F389" s="5"/>
      <c r="G389" s="5"/>
      <c r="H389" s="305"/>
      <c r="I389" s="5"/>
      <c r="J389" s="5"/>
      <c r="K389" s="14"/>
    </row>
    <row r="390" spans="2:11">
      <c r="B390" s="42">
        <v>262</v>
      </c>
      <c r="C390" s="21" t="s">
        <v>181</v>
      </c>
      <c r="D390" s="22" t="s">
        <v>334</v>
      </c>
      <c r="E390" s="5"/>
      <c r="F390" s="5"/>
      <c r="G390" s="5"/>
      <c r="H390" s="305"/>
      <c r="I390" s="5"/>
      <c r="J390" s="5"/>
      <c r="K390" s="14"/>
    </row>
    <row r="391" spans="2:11">
      <c r="B391" s="42">
        <v>263</v>
      </c>
      <c r="C391" s="21" t="s">
        <v>182</v>
      </c>
      <c r="D391" s="22" t="s">
        <v>334</v>
      </c>
      <c r="E391" s="5"/>
      <c r="F391" s="5"/>
      <c r="G391" s="5"/>
      <c r="H391" s="305"/>
      <c r="I391" s="5"/>
      <c r="J391" s="5"/>
      <c r="K391" s="14"/>
    </row>
    <row r="392" spans="2:11">
      <c r="B392" s="42">
        <v>264</v>
      </c>
      <c r="C392" s="21" t="s">
        <v>183</v>
      </c>
      <c r="D392" s="22" t="s">
        <v>334</v>
      </c>
      <c r="E392" s="5"/>
      <c r="F392" s="5"/>
      <c r="G392" s="5"/>
      <c r="H392" s="305"/>
      <c r="I392" s="5"/>
      <c r="J392" s="5"/>
      <c r="K392" s="14"/>
    </row>
    <row r="393" spans="2:11">
      <c r="B393" s="42">
        <v>265</v>
      </c>
      <c r="C393" s="21" t="s">
        <v>184</v>
      </c>
      <c r="D393" s="22" t="s">
        <v>334</v>
      </c>
      <c r="E393" s="5"/>
      <c r="F393" s="5"/>
      <c r="G393" s="5"/>
      <c r="H393" s="305"/>
      <c r="I393" s="5"/>
      <c r="J393" s="5"/>
      <c r="K393" s="14"/>
    </row>
    <row r="394" spans="2:11">
      <c r="B394" s="42">
        <v>302</v>
      </c>
      <c r="C394" s="21" t="s">
        <v>221</v>
      </c>
      <c r="D394" s="22" t="s">
        <v>439</v>
      </c>
      <c r="E394" s="5"/>
      <c r="F394" s="5"/>
      <c r="G394" s="5"/>
      <c r="H394" s="305"/>
      <c r="I394" s="5"/>
      <c r="J394" s="5"/>
      <c r="K394" s="14"/>
    </row>
    <row r="395" spans="2:11">
      <c r="B395" s="42">
        <v>301</v>
      </c>
      <c r="C395" s="21" t="s">
        <v>220</v>
      </c>
      <c r="D395" s="327" t="s">
        <v>335</v>
      </c>
      <c r="E395" s="323" t="s">
        <v>867</v>
      </c>
      <c r="F395" s="323"/>
      <c r="G395" s="320" t="s">
        <v>67</v>
      </c>
      <c r="H395" s="305"/>
      <c r="I395" s="5"/>
      <c r="J395" s="5"/>
      <c r="K395" s="14"/>
    </row>
    <row r="396" spans="2:11">
      <c r="B396" s="42">
        <v>304</v>
      </c>
      <c r="C396" s="21" t="s">
        <v>223</v>
      </c>
      <c r="D396" s="327" t="s">
        <v>463</v>
      </c>
      <c r="E396" s="323" t="s">
        <v>867</v>
      </c>
      <c r="F396" s="5"/>
      <c r="G396" s="332" t="s">
        <v>1031</v>
      </c>
      <c r="H396" s="305"/>
      <c r="I396" s="5"/>
      <c r="J396" s="5"/>
      <c r="K396" s="14"/>
    </row>
    <row r="397" spans="2:11">
      <c r="B397" s="42">
        <v>294</v>
      </c>
      <c r="C397" s="21" t="s">
        <v>213</v>
      </c>
      <c r="D397" s="327" t="s">
        <v>462</v>
      </c>
      <c r="E397" s="323" t="s">
        <v>867</v>
      </c>
      <c r="F397" s="5"/>
      <c r="G397" s="332" t="s">
        <v>1032</v>
      </c>
      <c r="H397" s="305"/>
      <c r="I397" s="5"/>
      <c r="J397" s="5"/>
      <c r="K397" s="14"/>
    </row>
    <row r="398" spans="2:11">
      <c r="B398" s="42">
        <v>232</v>
      </c>
      <c r="C398" s="21" t="s">
        <v>151</v>
      </c>
      <c r="D398" s="327" t="s">
        <v>450</v>
      </c>
      <c r="E398" s="323" t="s">
        <v>867</v>
      </c>
      <c r="F398" s="325"/>
      <c r="G398" s="388" t="s">
        <v>317</v>
      </c>
      <c r="H398" s="305"/>
      <c r="I398" s="5"/>
      <c r="J398" s="5"/>
      <c r="K398" s="14"/>
    </row>
    <row r="399" spans="2:11">
      <c r="B399" s="42">
        <v>233</v>
      </c>
      <c r="C399" s="21" t="s">
        <v>152</v>
      </c>
      <c r="D399" s="327" t="s">
        <v>437</v>
      </c>
      <c r="E399" s="323" t="s">
        <v>867</v>
      </c>
      <c r="F399" s="323"/>
      <c r="G399" s="320" t="s">
        <v>975</v>
      </c>
      <c r="H399" s="305"/>
      <c r="I399" s="5"/>
      <c r="J399" s="5"/>
      <c r="K399" s="14"/>
    </row>
    <row r="400" spans="2:11">
      <c r="B400" s="197">
        <v>282</v>
      </c>
      <c r="C400" s="198" t="s">
        <v>201</v>
      </c>
      <c r="D400" s="201" t="s">
        <v>454</v>
      </c>
      <c r="E400" s="199"/>
      <c r="F400" s="199"/>
      <c r="G400" s="199"/>
      <c r="H400" s="309"/>
      <c r="I400" s="199"/>
      <c r="J400" s="199"/>
      <c r="K400" s="200"/>
    </row>
    <row r="401" spans="2:11">
      <c r="B401" s="197">
        <v>283</v>
      </c>
      <c r="C401" s="198" t="s">
        <v>202</v>
      </c>
      <c r="D401" s="201" t="s">
        <v>454</v>
      </c>
      <c r="E401" s="199"/>
      <c r="F401" s="199"/>
      <c r="G401" s="199"/>
      <c r="H401" s="309"/>
      <c r="I401" s="199"/>
      <c r="J401" s="199"/>
      <c r="K401" s="200"/>
    </row>
    <row r="402" spans="2:11">
      <c r="B402" s="197">
        <v>284</v>
      </c>
      <c r="C402" s="198" t="s">
        <v>203</v>
      </c>
      <c r="D402" s="201" t="s">
        <v>454</v>
      </c>
      <c r="E402" s="199"/>
      <c r="F402" s="199"/>
      <c r="G402" s="199"/>
      <c r="H402" s="309"/>
      <c r="I402" s="199"/>
      <c r="J402" s="199"/>
      <c r="K402" s="200"/>
    </row>
    <row r="403" spans="2:11">
      <c r="B403" s="197">
        <v>285</v>
      </c>
      <c r="C403" s="198" t="s">
        <v>204</v>
      </c>
      <c r="D403" s="201" t="s">
        <v>454</v>
      </c>
      <c r="E403" s="199"/>
      <c r="F403" s="199"/>
      <c r="G403" s="199"/>
      <c r="H403" s="309"/>
      <c r="I403" s="199"/>
      <c r="J403" s="199"/>
      <c r="K403" s="200"/>
    </row>
    <row r="404" spans="2:11">
      <c r="B404" s="197">
        <v>335</v>
      </c>
      <c r="C404" s="198" t="s">
        <v>254</v>
      </c>
      <c r="D404" s="201" t="s">
        <v>454</v>
      </c>
      <c r="E404" s="199"/>
      <c r="F404" s="199"/>
      <c r="G404" s="199"/>
      <c r="H404" s="309"/>
      <c r="I404" s="199"/>
      <c r="J404" s="199"/>
      <c r="K404" s="200"/>
    </row>
    <row r="405" spans="2:11" ht="16.5" thickBot="1">
      <c r="B405" s="288">
        <v>99</v>
      </c>
      <c r="C405" s="289" t="s">
        <v>11</v>
      </c>
      <c r="D405" s="295" t="s">
        <v>454</v>
      </c>
      <c r="E405" s="290"/>
      <c r="F405" s="290"/>
      <c r="G405" s="290"/>
      <c r="H405" s="311"/>
      <c r="I405" s="290"/>
      <c r="J405" s="290"/>
      <c r="K405" s="291"/>
    </row>
  </sheetData>
  <sortState ref="B6:K405">
    <sortCondition ref="D6:D405"/>
  </sortState>
  <mergeCells count="12">
    <mergeCell ref="E2:F2"/>
    <mergeCell ref="G2:I2"/>
    <mergeCell ref="B4:K4"/>
    <mergeCell ref="R11:S11"/>
    <mergeCell ref="M25:AO25"/>
    <mergeCell ref="T11:U11"/>
    <mergeCell ref="L20:AP20"/>
    <mergeCell ref="L21:AP21"/>
    <mergeCell ref="M23:AO23"/>
    <mergeCell ref="M24:AO24"/>
    <mergeCell ref="P19:Q19"/>
    <mergeCell ref="R19:S19"/>
  </mergeCells>
  <conditionalFormatting sqref="H221:K222 H89:K89 H91:K91 H124:K124 H126:K126 H224:K224 H226:K226 H313:K313 H315:K315 H374:K374 H376:K376 H117:K122 H152:K156 H245:K249 H395:K399 B6:D405 F117:F122 F213:F218 F219:K220 F205:F210 F211:G212 F197:F202 F203:G204 F189:F194 F195:G196 F82:F83 F84:K88 F395:F397 F377:K394 F342:F344 F316:K341 F245:F247 F227:K244 F152:F154 F127:K151 F399 F400:K405 F346:F372 F249 F250:K285 F156 F157:K188 F376 F374 F375:K375 F373:K373 F315 F313 F314:K314 F312:K312 F226 F224 F225:K225 F223:K223 F126 F124 F125:K125 F123:K123 F91 F92:K116 F89 F90:K90 F286:F311 F221:F222 F64:K66 F6:K45 F46:G63 I46:K63 F67:G81 H67:K83 H189:K218 H286:K311 H342:K372">
    <cfRule type="expression" dxfId="1286" priority="128">
      <formula>MOD(ROW(),2)=0</formula>
    </cfRule>
  </conditionalFormatting>
  <conditionalFormatting sqref="G117:G118">
    <cfRule type="expression" dxfId="1285" priority="125">
      <formula>MOD(ROW(),2)=0</formula>
    </cfRule>
  </conditionalFormatting>
  <conditionalFormatting sqref="G153:G154">
    <cfRule type="expression" dxfId="1284" priority="124">
      <formula>MOD(ROW(),2)=0</formula>
    </cfRule>
  </conditionalFormatting>
  <conditionalFormatting sqref="G371:G372">
    <cfRule type="expression" dxfId="1283" priority="117">
      <formula>MOD(ROW(),2)=0</formula>
    </cfRule>
  </conditionalFormatting>
  <conditionalFormatting sqref="G310:G311">
    <cfRule type="expression" dxfId="1282" priority="116">
      <formula>MOD(ROW(),2)=0</formula>
    </cfRule>
  </conditionalFormatting>
  <conditionalFormatting sqref="G221:G222">
    <cfRule type="expression" dxfId="1281" priority="115">
      <formula>MOD(ROW(),2)=0</formula>
    </cfRule>
  </conditionalFormatting>
  <conditionalFormatting sqref="G121:G122">
    <cfRule type="expression" dxfId="1280" priority="114">
      <formula>MOD(ROW(),2)=0</formula>
    </cfRule>
  </conditionalFormatting>
  <conditionalFormatting sqref="G89">
    <cfRule type="expression" dxfId="1279" priority="113">
      <formula>MOD(ROW(),2)=0</formula>
    </cfRule>
  </conditionalFormatting>
  <conditionalFormatting sqref="G91">
    <cfRule type="expression" dxfId="1278" priority="112">
      <formula>MOD(ROW(),2)=0</formula>
    </cfRule>
  </conditionalFormatting>
  <conditionalFormatting sqref="G124">
    <cfRule type="expression" dxfId="1277" priority="111">
      <formula>MOD(ROW(),2)=0</formula>
    </cfRule>
  </conditionalFormatting>
  <conditionalFormatting sqref="G224">
    <cfRule type="expression" dxfId="1276" priority="109">
      <formula>MOD(ROW(),2)=0</formula>
    </cfRule>
  </conditionalFormatting>
  <conditionalFormatting sqref="G226">
    <cfRule type="expression" dxfId="1275" priority="108">
      <formula>MOD(ROW(),2)=0</formula>
    </cfRule>
  </conditionalFormatting>
  <conditionalFormatting sqref="G313">
    <cfRule type="expression" dxfId="1274" priority="107">
      <formula>MOD(ROW(),2)=0</formula>
    </cfRule>
  </conditionalFormatting>
  <conditionalFormatting sqref="G315">
    <cfRule type="expression" dxfId="1273" priority="106">
      <formula>MOD(ROW(),2)=0</formula>
    </cfRule>
  </conditionalFormatting>
  <conditionalFormatting sqref="G374">
    <cfRule type="expression" dxfId="1272" priority="105">
      <formula>MOD(ROW(),2)=0</formula>
    </cfRule>
  </conditionalFormatting>
  <conditionalFormatting sqref="G376">
    <cfRule type="expression" dxfId="1271" priority="104">
      <formula>MOD(ROW(),2)=0</formula>
    </cfRule>
  </conditionalFormatting>
  <conditionalFormatting sqref="G119">
    <cfRule type="expression" dxfId="1270" priority="92">
      <formula>MOD(ROW(),2)=0</formula>
    </cfRule>
  </conditionalFormatting>
  <conditionalFormatting sqref="F155">
    <cfRule type="expression" dxfId="1269" priority="91">
      <formula>MOD(ROW(),2)=0</formula>
    </cfRule>
  </conditionalFormatting>
  <conditionalFormatting sqref="G155">
    <cfRule type="expression" dxfId="1268" priority="90">
      <formula>MOD(ROW(),2)=0</formula>
    </cfRule>
  </conditionalFormatting>
  <conditionalFormatting sqref="F248">
    <cfRule type="expression" dxfId="1267" priority="89">
      <formula>MOD(ROW(),2)=0</formula>
    </cfRule>
  </conditionalFormatting>
  <conditionalFormatting sqref="G248">
    <cfRule type="expression" dxfId="1266" priority="88">
      <formula>MOD(ROW(),2)=0</formula>
    </cfRule>
  </conditionalFormatting>
  <conditionalFormatting sqref="F345">
    <cfRule type="expression" dxfId="1265" priority="87">
      <formula>MOD(ROW(),2)=0</formula>
    </cfRule>
  </conditionalFormatting>
  <conditionalFormatting sqref="F398">
    <cfRule type="expression" dxfId="1264" priority="85">
      <formula>MOD(ROW(),2)=0</formula>
    </cfRule>
  </conditionalFormatting>
  <conditionalFormatting sqref="G82:G83">
    <cfRule type="expression" dxfId="1263" priority="79">
      <formula>MOD(ROW(),2)=0</formula>
    </cfRule>
  </conditionalFormatting>
  <conditionalFormatting sqref="G193:G194">
    <cfRule type="expression" dxfId="1262" priority="78">
      <formula>MOD(ROW(),2)=0</formula>
    </cfRule>
  </conditionalFormatting>
  <conditionalFormatting sqref="G191:G192">
    <cfRule type="expression" dxfId="1261" priority="77">
      <formula>MOD(ROW(),2)=0</formula>
    </cfRule>
  </conditionalFormatting>
  <conditionalFormatting sqref="G189:G190">
    <cfRule type="expression" dxfId="1260" priority="76">
      <formula>MOD(ROW(),2)=0</formula>
    </cfRule>
  </conditionalFormatting>
  <conditionalFormatting sqref="G201:G202">
    <cfRule type="expression" dxfId="1259" priority="75">
      <formula>MOD(ROW(),2)=0</formula>
    </cfRule>
  </conditionalFormatting>
  <conditionalFormatting sqref="G199:G200">
    <cfRule type="expression" dxfId="1258" priority="74">
      <formula>MOD(ROW(),2)=0</formula>
    </cfRule>
  </conditionalFormatting>
  <conditionalFormatting sqref="G197:G198">
    <cfRule type="expression" dxfId="1257" priority="73">
      <formula>MOD(ROW(),2)=0</formula>
    </cfRule>
  </conditionalFormatting>
  <conditionalFormatting sqref="G209:G210">
    <cfRule type="expression" dxfId="1256" priority="72">
      <formula>MOD(ROW(),2)=0</formula>
    </cfRule>
  </conditionalFormatting>
  <conditionalFormatting sqref="G207:G208">
    <cfRule type="expression" dxfId="1255" priority="71">
      <formula>MOD(ROW(),2)=0</formula>
    </cfRule>
  </conditionalFormatting>
  <conditionalFormatting sqref="G205:G206">
    <cfRule type="expression" dxfId="1254" priority="70">
      <formula>MOD(ROW(),2)=0</formula>
    </cfRule>
  </conditionalFormatting>
  <conditionalFormatting sqref="G217:G218">
    <cfRule type="expression" dxfId="1253" priority="69">
      <formula>MOD(ROW(),2)=0</formula>
    </cfRule>
  </conditionalFormatting>
  <conditionalFormatting sqref="G215:G216">
    <cfRule type="expression" dxfId="1252" priority="68">
      <formula>MOD(ROW(),2)=0</formula>
    </cfRule>
  </conditionalFormatting>
  <conditionalFormatting sqref="G213:G214">
    <cfRule type="expression" dxfId="1251" priority="67">
      <formula>MOD(ROW(),2)=0</formula>
    </cfRule>
  </conditionalFormatting>
  <conditionalFormatting sqref="G290:G291">
    <cfRule type="expression" dxfId="1250" priority="66">
      <formula>MOD(ROW(),2)=0</formula>
    </cfRule>
  </conditionalFormatting>
  <conditionalFormatting sqref="G288:G289">
    <cfRule type="expression" dxfId="1249" priority="65">
      <formula>MOD(ROW(),2)=0</formula>
    </cfRule>
  </conditionalFormatting>
  <conditionalFormatting sqref="G286:G287">
    <cfRule type="expression" dxfId="1248" priority="64">
      <formula>MOD(ROW(),2)=0</formula>
    </cfRule>
  </conditionalFormatting>
  <conditionalFormatting sqref="G296:G297">
    <cfRule type="expression" dxfId="1247" priority="63">
      <formula>MOD(ROW(),2)=0</formula>
    </cfRule>
  </conditionalFormatting>
  <conditionalFormatting sqref="G294:G295">
    <cfRule type="expression" dxfId="1246" priority="62">
      <formula>MOD(ROW(),2)=0</formula>
    </cfRule>
  </conditionalFormatting>
  <conditionalFormatting sqref="G292:G293">
    <cfRule type="expression" dxfId="1245" priority="61">
      <formula>MOD(ROW(),2)=0</formula>
    </cfRule>
  </conditionalFormatting>
  <conditionalFormatting sqref="G302:G303">
    <cfRule type="expression" dxfId="1244" priority="60">
      <formula>MOD(ROW(),2)=0</formula>
    </cfRule>
  </conditionalFormatting>
  <conditionalFormatting sqref="G300:G301">
    <cfRule type="expression" dxfId="1243" priority="59">
      <formula>MOD(ROW(),2)=0</formula>
    </cfRule>
  </conditionalFormatting>
  <conditionalFormatting sqref="G298:G299">
    <cfRule type="expression" dxfId="1242" priority="58">
      <formula>MOD(ROW(),2)=0</formula>
    </cfRule>
  </conditionalFormatting>
  <conditionalFormatting sqref="G308:G309">
    <cfRule type="expression" dxfId="1241" priority="57">
      <formula>MOD(ROW(),2)=0</formula>
    </cfRule>
  </conditionalFormatting>
  <conditionalFormatting sqref="G306:G307">
    <cfRule type="expression" dxfId="1240" priority="56">
      <formula>MOD(ROW(),2)=0</formula>
    </cfRule>
  </conditionalFormatting>
  <conditionalFormatting sqref="G304:G305">
    <cfRule type="expression" dxfId="1239" priority="55">
      <formula>MOD(ROW(),2)=0</formula>
    </cfRule>
  </conditionalFormatting>
  <conditionalFormatting sqref="G351:G352">
    <cfRule type="expression" dxfId="1238" priority="54">
      <formula>MOD(ROW(),2)=0</formula>
    </cfRule>
  </conditionalFormatting>
  <conditionalFormatting sqref="G245">
    <cfRule type="expression" dxfId="1237" priority="41">
      <formula>MOD(ROW(),2)=0</formula>
    </cfRule>
  </conditionalFormatting>
  <conditionalFormatting sqref="G342">
    <cfRule type="expression" dxfId="1236" priority="40">
      <formula>MOD(ROW(),2)=0</formula>
    </cfRule>
  </conditionalFormatting>
  <conditionalFormatting sqref="G395">
    <cfRule type="expression" dxfId="1235" priority="39">
      <formula>MOD(ROW(),2)=0</formula>
    </cfRule>
  </conditionalFormatting>
  <conditionalFormatting sqref="G120">
    <cfRule type="expression" dxfId="1234" priority="38">
      <formula>MOD(ROW(),2)=0</formula>
    </cfRule>
  </conditionalFormatting>
  <conditionalFormatting sqref="G249">
    <cfRule type="expression" dxfId="1233" priority="36">
      <formula>MOD(ROW(),2)=0</formula>
    </cfRule>
  </conditionalFormatting>
  <conditionalFormatting sqref="G346">
    <cfRule type="expression" dxfId="1232" priority="35">
      <formula>MOD(ROW(),2)=0</formula>
    </cfRule>
  </conditionalFormatting>
  <conditionalFormatting sqref="E400:E405 E6:E152 E156:E247 E249:E344 E346:E397">
    <cfRule type="expression" dxfId="1231" priority="33">
      <formula>MOD(ROW(),2)=0</formula>
    </cfRule>
  </conditionalFormatting>
  <conditionalFormatting sqref="E155">
    <cfRule type="expression" dxfId="1230" priority="32">
      <formula>MOD(ROW(),2)=0</formula>
    </cfRule>
  </conditionalFormatting>
  <conditionalFormatting sqref="H46:H63">
    <cfRule type="expression" dxfId="1229" priority="28">
      <formula>MOD(ROW(),2)=0</formula>
    </cfRule>
  </conditionalFormatting>
  <conditionalFormatting sqref="G246:G247">
    <cfRule type="expression" dxfId="1228" priority="27">
      <formula>MOD(ROW(),2)=0</formula>
    </cfRule>
  </conditionalFormatting>
  <conditionalFormatting sqref="G349:G350">
    <cfRule type="expression" dxfId="1227" priority="26">
      <formula>MOD(ROW(),2)=0</formula>
    </cfRule>
  </conditionalFormatting>
  <conditionalFormatting sqref="G347:G348">
    <cfRule type="expression" dxfId="1226" priority="25">
      <formula>MOD(ROW(),2)=0</formula>
    </cfRule>
  </conditionalFormatting>
  <conditionalFormatting sqref="G357:G358">
    <cfRule type="expression" dxfId="1225" priority="24">
      <formula>MOD(ROW(),2)=0</formula>
    </cfRule>
  </conditionalFormatting>
  <conditionalFormatting sqref="G355:G356">
    <cfRule type="expression" dxfId="1224" priority="23">
      <formula>MOD(ROW(),2)=0</formula>
    </cfRule>
  </conditionalFormatting>
  <conditionalFormatting sqref="G353:G354">
    <cfRule type="expression" dxfId="1223" priority="22">
      <formula>MOD(ROW(),2)=0</formula>
    </cfRule>
  </conditionalFormatting>
  <conditionalFormatting sqref="G363:G364">
    <cfRule type="expression" dxfId="1222" priority="21">
      <formula>MOD(ROW(),2)=0</formula>
    </cfRule>
  </conditionalFormatting>
  <conditionalFormatting sqref="G361:G362">
    <cfRule type="expression" dxfId="1221" priority="20">
      <formula>MOD(ROW(),2)=0</formula>
    </cfRule>
  </conditionalFormatting>
  <conditionalFormatting sqref="G359:G360">
    <cfRule type="expression" dxfId="1220" priority="19">
      <formula>MOD(ROW(),2)=0</formula>
    </cfRule>
  </conditionalFormatting>
  <conditionalFormatting sqref="G369:G370">
    <cfRule type="expression" dxfId="1219" priority="18">
      <formula>MOD(ROW(),2)=0</formula>
    </cfRule>
  </conditionalFormatting>
  <conditionalFormatting sqref="G367:G368">
    <cfRule type="expression" dxfId="1218" priority="17">
      <formula>MOD(ROW(),2)=0</formula>
    </cfRule>
  </conditionalFormatting>
  <conditionalFormatting sqref="G365:G366">
    <cfRule type="expression" dxfId="1217" priority="16">
      <formula>MOD(ROW(),2)=0</formula>
    </cfRule>
  </conditionalFormatting>
  <conditionalFormatting sqref="E154">
    <cfRule type="expression" dxfId="1216" priority="15">
      <formula>MOD(ROW(),2)=0</formula>
    </cfRule>
  </conditionalFormatting>
  <conditionalFormatting sqref="E153">
    <cfRule type="expression" dxfId="1215" priority="14">
      <formula>MOD(ROW(),2)=0</formula>
    </cfRule>
  </conditionalFormatting>
  <conditionalFormatting sqref="G156">
    <cfRule type="expression" dxfId="1214" priority="13">
      <formula>MOD(ROW(),2)=0</formula>
    </cfRule>
  </conditionalFormatting>
  <conditionalFormatting sqref="G152">
    <cfRule type="expression" dxfId="1213" priority="12">
      <formula>MOD(ROW(),2)=0</formula>
    </cfRule>
  </conditionalFormatting>
  <conditionalFormatting sqref="G126">
    <cfRule type="expression" dxfId="1212" priority="11">
      <formula>MOD(ROW(),2)=0</formula>
    </cfRule>
  </conditionalFormatting>
  <conditionalFormatting sqref="E248">
    <cfRule type="expression" dxfId="1211" priority="10">
      <formula>MOD(ROW(),2)=0</formula>
    </cfRule>
  </conditionalFormatting>
  <conditionalFormatting sqref="E345">
    <cfRule type="expression" dxfId="1210" priority="9">
      <formula>MOD(ROW(),2)=0</formula>
    </cfRule>
  </conditionalFormatting>
  <conditionalFormatting sqref="G343:G344">
    <cfRule type="expression" dxfId="1209" priority="8">
      <formula>MOD(ROW(),2)=0</formula>
    </cfRule>
  </conditionalFormatting>
  <conditionalFormatting sqref="E398">
    <cfRule type="expression" dxfId="1208" priority="7">
      <formula>MOD(ROW(),2)=0</formula>
    </cfRule>
  </conditionalFormatting>
  <conditionalFormatting sqref="E399">
    <cfRule type="expression" dxfId="1207" priority="6">
      <formula>MOD(ROW(),2)=0</formula>
    </cfRule>
  </conditionalFormatting>
  <conditionalFormatting sqref="G397">
    <cfRule type="expression" dxfId="1206" priority="5">
      <formula>MOD(ROW(),2)=0</formula>
    </cfRule>
  </conditionalFormatting>
  <conditionalFormatting sqref="G396">
    <cfRule type="expression" dxfId="1205" priority="4">
      <formula>MOD(ROW(),2)=0</formula>
    </cfRule>
  </conditionalFormatting>
  <conditionalFormatting sqref="G399">
    <cfRule type="expression" dxfId="1204" priority="3">
      <formula>MOD(ROW(),2)=0</formula>
    </cfRule>
  </conditionalFormatting>
  <conditionalFormatting sqref="G345">
    <cfRule type="expression" dxfId="1203" priority="2">
      <formula>MOD(ROW(),2)=0</formula>
    </cfRule>
  </conditionalFormatting>
  <conditionalFormatting sqref="G398">
    <cfRule type="expression" dxfId="1202" priority="1">
      <formula>MOD(ROW(),2)=0</formula>
    </cfRule>
  </conditionalFormatting>
  <hyperlinks>
    <hyperlink ref="AL17" location="'0'!A1" tooltip="X stave 0, Front" display="'0'!A1"/>
    <hyperlink ref="AJ17" location="'1'!A1" tooltip="X stave 1, Back" display="'1'!A1"/>
    <hyperlink ref="AH17" location="'2'!A1" tooltip="Stereo stave 0, Back" display="'2'!A1"/>
    <hyperlink ref="AF17" location="'3'!A1" tooltip="Stereo stave 0, Front" display="'3'!A1"/>
    <hyperlink ref="AD17" location="'4'!A1" tooltip="X stave 1, Front" display="'4'!A1"/>
    <hyperlink ref="AB17" location="'5'!A1" tooltip="X stave 1, Back" display="'5'!A1"/>
    <hyperlink ref="Z17" location="'6'!A1" tooltip="Stereo stave 1, Back" display="'6'!A1"/>
    <hyperlink ref="X17" location="'7'!A1" tooltip="Stereo stave 1, Front" display="'7'!A1"/>
    <hyperlink ref="V17" location="'8'!A1" tooltip="X stave 2, Front" display="'8'!A1"/>
    <hyperlink ref="T17" location="'9'!A1" tooltip="X stave 2, Back" display="'9'!A1"/>
    <hyperlink ref="R17" location="'10'!A1" tooltip="Stereo stave 2, Back" display="'10'!A1"/>
    <hyperlink ref="P17" location="'11'!A1" tooltip="Stereo stave 2, Front" display="'11'!A1"/>
    <hyperlink ref="AL18" location="'0'!A1" tooltip="X stave 0, Front" display="'0'!A1"/>
    <hyperlink ref="AJ18" location="'1'!A1" tooltip="X stave 1, Back" display="'1'!A1"/>
    <hyperlink ref="AH18" location="'2'!A1" tooltip="Stereo stave 0, Back" display="'2'!A1"/>
    <hyperlink ref="AF18" location="'3'!A1" tooltip="Stereo stave 0, Front" display="'3'!A1"/>
    <hyperlink ref="AD18" location="'4'!A1" tooltip="X stave 1, Front" display="'4'!A1"/>
    <hyperlink ref="AB18" location="'5'!A1" tooltip="X stave 1, Back" display="'5'!A1"/>
    <hyperlink ref="Z18" location="'6'!A1" tooltip="Stereo stave 1, Back" display="'6'!A1"/>
    <hyperlink ref="X18" location="'7'!A1" tooltip="Stereo stave 1, Front" display="'7'!A1"/>
    <hyperlink ref="V18" location="'8'!A1" tooltip="X stave 2, Front" display="'8'!A1"/>
    <hyperlink ref="T18" location="'9'!A1" tooltip="X stave 2, Back" display="'9'!A1"/>
    <hyperlink ref="R18" location="'10'!A1" tooltip="Stereo stave 2, Back" display="'10'!A1"/>
    <hyperlink ref="P18" location="'11'!A1" tooltip="Stereo stave 2, Front" display="'11'!A1"/>
  </hyperlinks>
  <pageMargins left="0.75" right="0.75" top="1" bottom="1" header="0.5" footer="0.5"/>
  <pageSetup orientation="portrait" horizontalDpi="4294967292" vertic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V405"/>
  <sheetViews>
    <sheetView zoomScale="85" zoomScaleNormal="85" workbookViewId="0">
      <selection activeCell="AL17" sqref="AL17"/>
    </sheetView>
  </sheetViews>
  <sheetFormatPr defaultColWidth="11" defaultRowHeight="15.75"/>
  <cols>
    <col min="1" max="1" width="2.875" style="3" customWidth="1"/>
    <col min="2" max="2" width="6.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75" style="1" customWidth="1"/>
    <col min="7" max="7" width="7.875" style="1" bestFit="1" customWidth="1"/>
    <col min="8" max="10" width="7.875" style="1" customWidth="1"/>
    <col min="11" max="11" width="7.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1:44" ht="16.5" thickBot="1">
      <c r="A1" s="268"/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/>
    </row>
    <row r="2" spans="1:44" s="4" customFormat="1" ht="16.5" customHeight="1">
      <c r="D2" s="43" t="s">
        <v>852</v>
      </c>
      <c r="E2" s="551" t="s">
        <v>956</v>
      </c>
      <c r="F2" s="551"/>
      <c r="G2" s="552" t="s">
        <v>723</v>
      </c>
      <c r="H2" s="552"/>
      <c r="I2" s="552"/>
      <c r="J2" s="40"/>
      <c r="L2" s="177"/>
      <c r="M2" s="178"/>
      <c r="N2" s="180"/>
      <c r="O2" s="179"/>
      <c r="P2" s="180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80"/>
      <c r="AM2" s="180"/>
      <c r="AN2" s="180"/>
      <c r="AO2" s="181"/>
      <c r="AP2" s="177"/>
      <c r="AQ2" s="182"/>
      <c r="AR2"/>
    </row>
    <row r="3" spans="1:44" s="1" customFormat="1">
      <c r="D3"/>
      <c r="E3" s="40"/>
      <c r="F3" s="40"/>
      <c r="G3" s="40"/>
      <c r="H3" s="40"/>
      <c r="I3" s="40"/>
      <c r="J3" s="40"/>
      <c r="L3" s="177"/>
      <c r="M3" s="183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5"/>
      <c r="AP3" s="177"/>
      <c r="AQ3" s="186"/>
      <c r="AR3"/>
    </row>
    <row r="4" spans="1:44" s="6" customFormat="1" ht="16.5" thickBot="1">
      <c r="B4" s="553" t="s">
        <v>722</v>
      </c>
      <c r="C4" s="554"/>
      <c r="D4" s="554"/>
      <c r="E4" s="554"/>
      <c r="F4" s="554"/>
      <c r="G4" s="554"/>
      <c r="H4" s="554"/>
      <c r="I4" s="554"/>
      <c r="J4" s="554"/>
      <c r="K4" s="555"/>
      <c r="L4" s="177"/>
      <c r="M4" s="187"/>
      <c r="N4" s="184"/>
      <c r="O4" s="184"/>
      <c r="P4" s="184"/>
      <c r="Q4" s="184"/>
      <c r="R4" s="16" t="s">
        <v>13</v>
      </c>
      <c r="S4" s="16"/>
      <c r="T4" s="16" t="s">
        <v>14</v>
      </c>
      <c r="U4" s="16"/>
      <c r="V4" s="16" t="s">
        <v>13</v>
      </c>
      <c r="W4" s="16"/>
      <c r="X4" s="16" t="s">
        <v>14</v>
      </c>
      <c r="Y4" s="16"/>
      <c r="Z4" s="16" t="s">
        <v>13</v>
      </c>
      <c r="AA4" s="16"/>
      <c r="AB4" s="16" t="s">
        <v>14</v>
      </c>
      <c r="AC4" s="16"/>
      <c r="AD4" s="16" t="s">
        <v>13</v>
      </c>
      <c r="AE4" s="16"/>
      <c r="AF4" s="16" t="s">
        <v>14</v>
      </c>
      <c r="AG4" s="16"/>
      <c r="AH4" s="16" t="s">
        <v>13</v>
      </c>
      <c r="AI4" s="16"/>
      <c r="AJ4" s="16" t="s">
        <v>14</v>
      </c>
      <c r="AK4" s="16"/>
      <c r="AL4" s="16" t="s">
        <v>13</v>
      </c>
      <c r="AM4" s="16"/>
      <c r="AN4" s="16" t="s">
        <v>14</v>
      </c>
      <c r="AO4" s="185"/>
      <c r="AP4" s="177"/>
      <c r="AQ4" s="182" t="s">
        <v>710</v>
      </c>
      <c r="AR4"/>
    </row>
    <row r="5" spans="1:44" s="12" customFormat="1" ht="32.25" thickBot="1">
      <c r="B5" s="41" t="s">
        <v>19</v>
      </c>
      <c r="C5" s="7" t="s">
        <v>442</v>
      </c>
      <c r="D5" s="8" t="s">
        <v>2</v>
      </c>
      <c r="E5" s="8" t="s">
        <v>1</v>
      </c>
      <c r="F5" s="9"/>
      <c r="G5" s="9" t="s">
        <v>953</v>
      </c>
      <c r="H5" s="10" t="s">
        <v>3</v>
      </c>
      <c r="I5" s="10"/>
      <c r="J5" s="10"/>
      <c r="K5" s="11"/>
      <c r="L5" s="177"/>
      <c r="M5" s="187"/>
      <c r="N5" s="184"/>
      <c r="O5" s="184"/>
      <c r="P5" s="184"/>
      <c r="Q5" s="188"/>
      <c r="R5" s="175">
        <v>5</v>
      </c>
      <c r="S5" s="175"/>
      <c r="T5" s="175">
        <v>5</v>
      </c>
      <c r="U5" s="175"/>
      <c r="V5" s="175">
        <v>4</v>
      </c>
      <c r="W5" s="175"/>
      <c r="X5" s="175">
        <v>4</v>
      </c>
      <c r="Y5" s="175"/>
      <c r="Z5" s="175">
        <v>3</v>
      </c>
      <c r="AA5" s="175"/>
      <c r="AB5" s="175">
        <v>3</v>
      </c>
      <c r="AC5" s="175"/>
      <c r="AD5" s="175">
        <v>2</v>
      </c>
      <c r="AE5" s="175"/>
      <c r="AF5" s="175">
        <v>2</v>
      </c>
      <c r="AG5" s="175"/>
      <c r="AH5" s="175">
        <v>1</v>
      </c>
      <c r="AI5" s="175"/>
      <c r="AJ5" s="175">
        <v>1</v>
      </c>
      <c r="AK5" s="175"/>
      <c r="AL5" s="175">
        <v>0</v>
      </c>
      <c r="AM5" s="175"/>
      <c r="AN5" s="175">
        <v>0</v>
      </c>
      <c r="AO5" s="185"/>
      <c r="AP5" s="177"/>
      <c r="AQ5" s="254" t="s">
        <v>711</v>
      </c>
      <c r="AR5"/>
    </row>
    <row r="6" spans="1:44" ht="16.5" thickBot="1">
      <c r="B6" s="42">
        <v>199</v>
      </c>
      <c r="C6" s="293" t="s">
        <v>118</v>
      </c>
      <c r="D6" s="294" t="s">
        <v>677</v>
      </c>
      <c r="E6" s="322" t="s">
        <v>865</v>
      </c>
      <c r="F6" s="296"/>
      <c r="G6" s="322" t="s">
        <v>283</v>
      </c>
      <c r="H6" s="337" t="s">
        <v>887</v>
      </c>
      <c r="I6" s="296"/>
      <c r="J6" s="296"/>
      <c r="K6" s="297"/>
      <c r="L6" s="177"/>
      <c r="M6" s="187"/>
      <c r="N6" s="184"/>
      <c r="O6" s="184"/>
      <c r="P6" s="184"/>
      <c r="Q6" s="184"/>
      <c r="R6" s="189"/>
      <c r="S6" s="184"/>
      <c r="T6" s="189"/>
      <c r="U6" s="184"/>
      <c r="V6" s="189"/>
      <c r="W6" s="184"/>
      <c r="X6" s="189"/>
      <c r="Y6" s="184"/>
      <c r="Z6" s="189"/>
      <c r="AA6" s="184"/>
      <c r="AB6" s="189"/>
      <c r="AC6" s="184"/>
      <c r="AD6" s="189"/>
      <c r="AE6" s="184"/>
      <c r="AF6" s="265"/>
      <c r="AG6" s="184"/>
      <c r="AH6" s="189"/>
      <c r="AI6" s="184"/>
      <c r="AJ6" s="265"/>
      <c r="AK6" s="184"/>
      <c r="AL6" s="393"/>
      <c r="AM6" s="184"/>
      <c r="AN6" s="265"/>
      <c r="AO6" s="185"/>
      <c r="AP6" s="177"/>
      <c r="AQ6" s="186"/>
      <c r="AR6"/>
    </row>
    <row r="7" spans="1:44" ht="16.5" thickBot="1">
      <c r="B7" s="42">
        <v>200</v>
      </c>
      <c r="C7" s="21" t="s">
        <v>119</v>
      </c>
      <c r="D7" s="22" t="s">
        <v>699</v>
      </c>
      <c r="E7" s="323" t="s">
        <v>865</v>
      </c>
      <c r="F7" s="5"/>
      <c r="G7" s="323" t="s">
        <v>293</v>
      </c>
      <c r="H7" s="296" t="s">
        <v>887</v>
      </c>
      <c r="I7" s="5"/>
      <c r="J7" s="5"/>
      <c r="K7" s="14"/>
      <c r="L7" s="177"/>
      <c r="M7" s="187"/>
      <c r="N7" s="184"/>
      <c r="O7" s="184"/>
      <c r="P7" s="184"/>
      <c r="Q7" s="184"/>
      <c r="R7" s="191"/>
      <c r="S7" s="184"/>
      <c r="T7" s="191"/>
      <c r="U7" s="184"/>
      <c r="V7" s="191"/>
      <c r="W7" s="184"/>
      <c r="X7" s="191"/>
      <c r="Y7" s="184"/>
      <c r="Z7" s="191"/>
      <c r="AA7" s="184"/>
      <c r="AB7" s="191"/>
      <c r="AC7" s="184"/>
      <c r="AD7" s="191"/>
      <c r="AE7" s="184"/>
      <c r="AF7" s="266"/>
      <c r="AG7" s="184"/>
      <c r="AH7" s="191"/>
      <c r="AI7" s="184"/>
      <c r="AJ7" s="266"/>
      <c r="AK7" s="184"/>
      <c r="AL7" s="394"/>
      <c r="AM7" s="184"/>
      <c r="AN7" s="266"/>
      <c r="AO7" s="185"/>
      <c r="AP7" s="177"/>
      <c r="AQ7" s="186"/>
      <c r="AR7"/>
    </row>
    <row r="8" spans="1:44" ht="16.5" thickBot="1">
      <c r="B8" s="42">
        <v>207</v>
      </c>
      <c r="C8" s="21" t="s">
        <v>126</v>
      </c>
      <c r="D8" s="22" t="s">
        <v>632</v>
      </c>
      <c r="E8" s="323" t="s">
        <v>865</v>
      </c>
      <c r="F8" s="5"/>
      <c r="G8" s="323" t="s">
        <v>302</v>
      </c>
      <c r="H8" s="296" t="s">
        <v>887</v>
      </c>
      <c r="I8" s="5"/>
      <c r="J8" s="5"/>
      <c r="K8" s="14"/>
      <c r="L8" s="177"/>
      <c r="M8" s="187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5"/>
      <c r="AP8" s="177"/>
      <c r="AQ8" s="186"/>
      <c r="AR8"/>
    </row>
    <row r="9" spans="1:44" ht="16.5" thickBot="1">
      <c r="B9" s="42">
        <v>208</v>
      </c>
      <c r="C9" s="21" t="s">
        <v>127</v>
      </c>
      <c r="D9" s="22" t="s">
        <v>655</v>
      </c>
      <c r="E9" s="323" t="s">
        <v>865</v>
      </c>
      <c r="F9" s="5"/>
      <c r="G9" s="323" t="s">
        <v>312</v>
      </c>
      <c r="H9" s="296" t="s">
        <v>887</v>
      </c>
      <c r="I9" s="5"/>
      <c r="J9" s="5"/>
      <c r="K9" s="14"/>
      <c r="L9" s="177"/>
      <c r="M9" s="187"/>
      <c r="N9" s="184"/>
      <c r="O9" s="184"/>
      <c r="P9" s="184"/>
      <c r="Q9" s="184"/>
      <c r="R9" s="189"/>
      <c r="S9" s="184"/>
      <c r="T9" s="189"/>
      <c r="U9" s="184"/>
      <c r="V9" s="189"/>
      <c r="W9" s="184"/>
      <c r="X9" s="189"/>
      <c r="Y9" s="184"/>
      <c r="Z9" s="189"/>
      <c r="AA9" s="184"/>
      <c r="AB9" s="189"/>
      <c r="AC9" s="184"/>
      <c r="AD9" s="189"/>
      <c r="AE9" s="184"/>
      <c r="AF9" s="265"/>
      <c r="AG9" s="184"/>
      <c r="AH9" s="189"/>
      <c r="AI9" s="184"/>
      <c r="AJ9" s="265"/>
      <c r="AK9" s="184"/>
      <c r="AL9" s="393"/>
      <c r="AM9" s="184"/>
      <c r="AN9" s="265"/>
      <c r="AO9" s="185"/>
      <c r="AP9" s="177"/>
      <c r="AQ9" s="186"/>
      <c r="AR9"/>
    </row>
    <row r="10" spans="1:44" ht="16.5" thickBot="1">
      <c r="B10" s="42">
        <v>228</v>
      </c>
      <c r="C10" s="21" t="s">
        <v>147</v>
      </c>
      <c r="D10" s="22" t="s">
        <v>657</v>
      </c>
      <c r="E10" s="323" t="s">
        <v>865</v>
      </c>
      <c r="F10" s="5"/>
      <c r="G10" s="323" t="s">
        <v>262</v>
      </c>
      <c r="H10" s="296" t="s">
        <v>887</v>
      </c>
      <c r="I10" s="5"/>
      <c r="J10" s="5"/>
      <c r="K10" s="14"/>
      <c r="L10" s="177"/>
      <c r="M10" s="187"/>
      <c r="N10" s="184"/>
      <c r="O10" s="184"/>
      <c r="P10" s="184"/>
      <c r="Q10" s="184"/>
      <c r="R10" s="191"/>
      <c r="S10" s="184"/>
      <c r="T10" s="191"/>
      <c r="U10" s="184"/>
      <c r="V10" s="191"/>
      <c r="W10" s="184"/>
      <c r="X10" s="191"/>
      <c r="Y10" s="184"/>
      <c r="Z10" s="191"/>
      <c r="AA10" s="184"/>
      <c r="AB10" s="191"/>
      <c r="AC10" s="184"/>
      <c r="AD10" s="191"/>
      <c r="AE10" s="184"/>
      <c r="AF10" s="266"/>
      <c r="AG10" s="184"/>
      <c r="AH10" s="191"/>
      <c r="AI10" s="184"/>
      <c r="AJ10" s="266"/>
      <c r="AK10" s="184"/>
      <c r="AL10" s="395"/>
      <c r="AM10" s="184"/>
      <c r="AN10" s="266"/>
      <c r="AO10" s="192"/>
      <c r="AP10" s="177"/>
      <c r="AQ10" s="186"/>
      <c r="AR10"/>
    </row>
    <row r="11" spans="1:44" ht="16.5" thickBot="1">
      <c r="B11" s="42">
        <v>227</v>
      </c>
      <c r="C11" s="21" t="s">
        <v>146</v>
      </c>
      <c r="D11" s="22" t="s">
        <v>634</v>
      </c>
      <c r="E11" s="323" t="s">
        <v>865</v>
      </c>
      <c r="F11" s="5"/>
      <c r="G11" s="323" t="s">
        <v>272</v>
      </c>
      <c r="H11" s="296" t="s">
        <v>887</v>
      </c>
      <c r="I11" s="5"/>
      <c r="J11" s="5"/>
      <c r="K11" s="14"/>
      <c r="L11" s="177"/>
      <c r="M11" s="187"/>
      <c r="N11" s="184"/>
      <c r="O11" s="184"/>
      <c r="P11" s="184"/>
      <c r="Q11" s="184"/>
      <c r="R11" s="556">
        <v>11</v>
      </c>
      <c r="S11" s="556"/>
      <c r="T11" s="556">
        <v>10</v>
      </c>
      <c r="U11" s="556"/>
      <c r="V11" s="184">
        <v>9</v>
      </c>
      <c r="W11" s="184"/>
      <c r="X11" s="184">
        <v>8</v>
      </c>
      <c r="Y11" s="184"/>
      <c r="Z11" s="184">
        <v>7</v>
      </c>
      <c r="AA11" s="184"/>
      <c r="AB11" s="184">
        <v>6</v>
      </c>
      <c r="AC11" s="184"/>
      <c r="AD11" s="184">
        <v>5</v>
      </c>
      <c r="AE11" s="184"/>
      <c r="AF11" s="184">
        <v>4</v>
      </c>
      <c r="AG11" s="184"/>
      <c r="AH11" s="249">
        <v>3</v>
      </c>
      <c r="AI11" s="249"/>
      <c r="AJ11" s="249">
        <v>2</v>
      </c>
      <c r="AK11" s="250"/>
      <c r="AL11" s="250">
        <v>1</v>
      </c>
      <c r="AM11" s="249"/>
      <c r="AN11" s="249">
        <v>0</v>
      </c>
      <c r="AO11" s="192"/>
      <c r="AP11" s="177"/>
      <c r="AQ11" s="186"/>
      <c r="AR11"/>
    </row>
    <row r="12" spans="1:44" ht="16.5" thickBot="1">
      <c r="B12" s="260">
        <v>189</v>
      </c>
      <c r="C12" s="261" t="s">
        <v>108</v>
      </c>
      <c r="D12" s="262" t="s">
        <v>676</v>
      </c>
      <c r="E12" s="325" t="s">
        <v>865</v>
      </c>
      <c r="F12" s="212"/>
      <c r="G12" s="325" t="s">
        <v>1010</v>
      </c>
      <c r="H12" s="296" t="s">
        <v>887</v>
      </c>
      <c r="I12" s="212"/>
      <c r="J12" s="212"/>
      <c r="K12" s="263"/>
      <c r="L12" s="177"/>
      <c r="M12" s="187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92"/>
      <c r="AP12" s="193"/>
      <c r="AQ12" s="186"/>
      <c r="AR12"/>
    </row>
    <row r="13" spans="1:44" ht="16.5" thickBot="1">
      <c r="B13" s="260">
        <v>190</v>
      </c>
      <c r="C13" s="261" t="s">
        <v>109</v>
      </c>
      <c r="D13" s="262" t="s">
        <v>698</v>
      </c>
      <c r="E13" s="325" t="s">
        <v>865</v>
      </c>
      <c r="F13" s="212"/>
      <c r="G13" s="325" t="s">
        <v>1011</v>
      </c>
      <c r="H13" s="296" t="s">
        <v>887</v>
      </c>
      <c r="I13" s="212"/>
      <c r="J13" s="212"/>
      <c r="K13" s="263"/>
      <c r="L13" s="177"/>
      <c r="M13" s="187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92"/>
      <c r="AP13" s="193"/>
      <c r="AQ13" s="186"/>
      <c r="AR13"/>
    </row>
    <row r="14" spans="1:44" ht="16.5" thickBot="1">
      <c r="B14" s="260">
        <v>179</v>
      </c>
      <c r="C14" s="261" t="s">
        <v>98</v>
      </c>
      <c r="D14" s="262" t="s">
        <v>675</v>
      </c>
      <c r="E14" s="325" t="s">
        <v>865</v>
      </c>
      <c r="F14" s="212"/>
      <c r="G14" s="325" t="s">
        <v>281</v>
      </c>
      <c r="H14" s="296" t="s">
        <v>887</v>
      </c>
      <c r="I14" s="212"/>
      <c r="J14" s="212"/>
      <c r="K14" s="263"/>
      <c r="L14" s="177"/>
      <c r="M14" s="187"/>
      <c r="N14" s="184"/>
      <c r="O14" s="184"/>
      <c r="P14" s="16" t="s">
        <v>13</v>
      </c>
      <c r="Q14" s="16"/>
      <c r="R14" s="16" t="s">
        <v>13</v>
      </c>
      <c r="S14" s="16"/>
      <c r="T14" s="16" t="s">
        <v>14</v>
      </c>
      <c r="U14" s="16"/>
      <c r="V14" s="16" t="s">
        <v>14</v>
      </c>
      <c r="W14" s="16"/>
      <c r="X14" s="16" t="s">
        <v>13</v>
      </c>
      <c r="Y14" s="16"/>
      <c r="Z14" s="16" t="s">
        <v>13</v>
      </c>
      <c r="AA14" s="16"/>
      <c r="AB14" s="16" t="s">
        <v>14</v>
      </c>
      <c r="AC14" s="16"/>
      <c r="AD14" s="16" t="s">
        <v>14</v>
      </c>
      <c r="AE14" s="16"/>
      <c r="AF14" s="16" t="s">
        <v>13</v>
      </c>
      <c r="AG14" s="16"/>
      <c r="AH14" s="16" t="s">
        <v>13</v>
      </c>
      <c r="AI14" s="16"/>
      <c r="AJ14" s="16" t="s">
        <v>14</v>
      </c>
      <c r="AK14" s="16"/>
      <c r="AL14" s="16" t="s">
        <v>14</v>
      </c>
      <c r="AM14" s="184"/>
      <c r="AN14" s="184"/>
      <c r="AO14" s="192"/>
      <c r="AP14" s="193"/>
      <c r="AQ14" s="182" t="s">
        <v>710</v>
      </c>
      <c r="AR14"/>
    </row>
    <row r="15" spans="1:44" ht="16.5" thickBot="1">
      <c r="B15" s="260">
        <v>180</v>
      </c>
      <c r="C15" s="261" t="s">
        <v>99</v>
      </c>
      <c r="D15" s="262" t="s">
        <v>697</v>
      </c>
      <c r="E15" s="325" t="s">
        <v>865</v>
      </c>
      <c r="F15" s="212"/>
      <c r="G15" s="325" t="s">
        <v>291</v>
      </c>
      <c r="H15" s="296" t="s">
        <v>887</v>
      </c>
      <c r="I15" s="212"/>
      <c r="J15" s="212"/>
      <c r="K15" s="263"/>
      <c r="L15" s="177"/>
      <c r="M15" s="187"/>
      <c r="N15" s="184"/>
      <c r="O15" s="184"/>
      <c r="P15" s="16">
        <v>2</v>
      </c>
      <c r="Q15" s="16"/>
      <c r="R15" s="16">
        <v>2</v>
      </c>
      <c r="S15" s="16"/>
      <c r="T15" s="16">
        <v>2</v>
      </c>
      <c r="U15" s="16"/>
      <c r="V15" s="16">
        <v>2</v>
      </c>
      <c r="W15" s="16"/>
      <c r="X15" s="16">
        <v>1</v>
      </c>
      <c r="Y15" s="16"/>
      <c r="Z15" s="16">
        <v>1</v>
      </c>
      <c r="AA15" s="16"/>
      <c r="AB15" s="16">
        <v>1</v>
      </c>
      <c r="AC15" s="16"/>
      <c r="AD15" s="16">
        <v>1</v>
      </c>
      <c r="AE15" s="16"/>
      <c r="AF15" s="16">
        <v>0</v>
      </c>
      <c r="AG15" s="16"/>
      <c r="AH15" s="16">
        <v>0</v>
      </c>
      <c r="AI15" s="16"/>
      <c r="AJ15" s="16">
        <v>0</v>
      </c>
      <c r="AK15" s="16"/>
      <c r="AL15" s="16">
        <v>0</v>
      </c>
      <c r="AM15" s="184"/>
      <c r="AN15" s="184"/>
      <c r="AO15" s="192"/>
      <c r="AP15" s="193"/>
      <c r="AQ15" s="182" t="s">
        <v>713</v>
      </c>
      <c r="AR15"/>
    </row>
    <row r="16" spans="1:44" ht="16.5" thickBot="1">
      <c r="B16" s="42">
        <v>197</v>
      </c>
      <c r="C16" s="21" t="s">
        <v>116</v>
      </c>
      <c r="D16" s="22" t="s">
        <v>631</v>
      </c>
      <c r="E16" s="323" t="s">
        <v>865</v>
      </c>
      <c r="F16" s="5"/>
      <c r="G16" s="323" t="s">
        <v>1014</v>
      </c>
      <c r="H16" s="296" t="s">
        <v>887</v>
      </c>
      <c r="I16" s="5"/>
      <c r="J16" s="5"/>
      <c r="K16" s="14"/>
      <c r="L16" s="177"/>
      <c r="M16" s="187"/>
      <c r="N16" s="184"/>
      <c r="O16" s="184"/>
      <c r="P16" s="16" t="s">
        <v>17</v>
      </c>
      <c r="Q16" s="16"/>
      <c r="R16" s="16" t="s">
        <v>13</v>
      </c>
      <c r="S16" s="16"/>
      <c r="T16" s="16" t="s">
        <v>13</v>
      </c>
      <c r="U16" s="16"/>
      <c r="V16" s="16" t="s">
        <v>17</v>
      </c>
      <c r="W16" s="16"/>
      <c r="X16" s="16" t="s">
        <v>17</v>
      </c>
      <c r="Y16" s="16"/>
      <c r="Z16" s="16" t="s">
        <v>13</v>
      </c>
      <c r="AA16" s="16"/>
      <c r="AB16" s="16" t="s">
        <v>13</v>
      </c>
      <c r="AC16" s="16"/>
      <c r="AD16" s="16" t="s">
        <v>17</v>
      </c>
      <c r="AE16" s="16"/>
      <c r="AF16" s="16" t="s">
        <v>17</v>
      </c>
      <c r="AG16" s="16"/>
      <c r="AH16" s="16" t="s">
        <v>13</v>
      </c>
      <c r="AI16" s="16"/>
      <c r="AJ16" s="16" t="s">
        <v>13</v>
      </c>
      <c r="AK16" s="16"/>
      <c r="AL16" s="16" t="s">
        <v>17</v>
      </c>
      <c r="AM16" s="184"/>
      <c r="AN16" s="184"/>
      <c r="AO16" s="192"/>
      <c r="AP16" s="193"/>
      <c r="AQ16" s="182" t="s">
        <v>954</v>
      </c>
      <c r="AR16"/>
    </row>
    <row r="17" spans="2:44" ht="16.5" thickBot="1">
      <c r="B17" s="42">
        <v>198</v>
      </c>
      <c r="C17" s="21" t="s">
        <v>117</v>
      </c>
      <c r="D17" s="22" t="s">
        <v>654</v>
      </c>
      <c r="E17" s="323" t="s">
        <v>865</v>
      </c>
      <c r="F17" s="5"/>
      <c r="G17" s="323" t="s">
        <v>1015</v>
      </c>
      <c r="H17" s="296" t="s">
        <v>887</v>
      </c>
      <c r="I17" s="5"/>
      <c r="J17" s="5"/>
      <c r="K17" s="14"/>
      <c r="L17" s="177"/>
      <c r="M17" s="187"/>
      <c r="N17" s="184"/>
      <c r="O17" s="16"/>
      <c r="P17" s="244">
        <v>11</v>
      </c>
      <c r="Q17" s="35"/>
      <c r="R17" s="244">
        <v>10</v>
      </c>
      <c r="S17" s="35"/>
      <c r="T17" s="244">
        <v>9</v>
      </c>
      <c r="U17" s="35"/>
      <c r="V17" s="244">
        <v>8</v>
      </c>
      <c r="W17" s="35"/>
      <c r="X17" s="244">
        <v>7</v>
      </c>
      <c r="Y17" s="35"/>
      <c r="Z17" s="244">
        <v>6</v>
      </c>
      <c r="AA17" s="35"/>
      <c r="AB17" s="244">
        <v>5</v>
      </c>
      <c r="AC17" s="35"/>
      <c r="AD17" s="244">
        <v>4</v>
      </c>
      <c r="AE17" s="35"/>
      <c r="AF17" s="244">
        <v>3</v>
      </c>
      <c r="AG17" s="35"/>
      <c r="AH17" s="244">
        <v>2</v>
      </c>
      <c r="AI17" s="35"/>
      <c r="AJ17" s="255">
        <v>1</v>
      </c>
      <c r="AK17" s="35"/>
      <c r="AL17" s="244">
        <v>0</v>
      </c>
      <c r="AM17" s="184"/>
      <c r="AN17" s="184"/>
      <c r="AO17" s="192"/>
      <c r="AP17" s="193"/>
      <c r="AQ17" s="182" t="s">
        <v>964</v>
      </c>
      <c r="AR17"/>
    </row>
    <row r="18" spans="2:44" s="1" customFormat="1" ht="16.5" thickBot="1">
      <c r="B18" s="42">
        <v>210</v>
      </c>
      <c r="C18" s="21" t="s">
        <v>129</v>
      </c>
      <c r="D18" s="22" t="s">
        <v>700</v>
      </c>
      <c r="E18" s="323" t="s">
        <v>865</v>
      </c>
      <c r="F18" s="5"/>
      <c r="G18" s="323" t="s">
        <v>285</v>
      </c>
      <c r="H18" s="296" t="s">
        <v>887</v>
      </c>
      <c r="I18" s="5"/>
      <c r="J18" s="5"/>
      <c r="K18" s="14"/>
      <c r="L18" s="177"/>
      <c r="M18" s="187"/>
      <c r="N18" s="184"/>
      <c r="O18" s="16"/>
      <c r="P18" s="246">
        <v>11</v>
      </c>
      <c r="Q18" s="35"/>
      <c r="R18" s="246">
        <v>10</v>
      </c>
      <c r="S18" s="35"/>
      <c r="T18" s="246">
        <v>9</v>
      </c>
      <c r="U18" s="35"/>
      <c r="V18" s="246">
        <v>8</v>
      </c>
      <c r="W18" s="35"/>
      <c r="X18" s="246">
        <v>7</v>
      </c>
      <c r="Y18" s="35"/>
      <c r="Z18" s="246">
        <v>6</v>
      </c>
      <c r="AA18" s="35"/>
      <c r="AB18" s="246">
        <v>5</v>
      </c>
      <c r="AC18" s="35"/>
      <c r="AD18" s="246">
        <v>4</v>
      </c>
      <c r="AE18" s="35"/>
      <c r="AF18" s="246">
        <v>3</v>
      </c>
      <c r="AG18" s="35"/>
      <c r="AH18" s="246">
        <v>2</v>
      </c>
      <c r="AI18" s="35"/>
      <c r="AJ18" s="256">
        <v>1</v>
      </c>
      <c r="AK18" s="35"/>
      <c r="AL18" s="246">
        <v>0</v>
      </c>
      <c r="AM18" s="184"/>
      <c r="AN18" s="184"/>
      <c r="AO18" s="192"/>
      <c r="AP18" s="193"/>
      <c r="AQ18" s="186"/>
      <c r="AR18"/>
    </row>
    <row r="19" spans="2:44" s="1" customFormat="1" ht="16.5" thickBot="1">
      <c r="B19" s="42">
        <v>209</v>
      </c>
      <c r="C19" s="21" t="s">
        <v>128</v>
      </c>
      <c r="D19" s="22" t="s">
        <v>678</v>
      </c>
      <c r="E19" s="323" t="s">
        <v>865</v>
      </c>
      <c r="F19" s="5"/>
      <c r="G19" s="323" t="s">
        <v>295</v>
      </c>
      <c r="H19" s="296" t="s">
        <v>887</v>
      </c>
      <c r="I19" s="5"/>
      <c r="J19" s="5"/>
      <c r="K19" s="14"/>
      <c r="L19" s="177"/>
      <c r="M19" s="194"/>
      <c r="N19" s="195"/>
      <c r="O19" s="195"/>
      <c r="P19" s="563">
        <v>11</v>
      </c>
      <c r="Q19" s="563"/>
      <c r="R19" s="563">
        <v>10</v>
      </c>
      <c r="S19" s="563"/>
      <c r="T19" s="195">
        <v>9</v>
      </c>
      <c r="U19" s="195"/>
      <c r="V19" s="195">
        <v>8</v>
      </c>
      <c r="W19" s="195"/>
      <c r="X19" s="195">
        <v>7</v>
      </c>
      <c r="Y19" s="195"/>
      <c r="Z19" s="195">
        <v>6</v>
      </c>
      <c r="AA19" s="195"/>
      <c r="AB19" s="195">
        <v>5</v>
      </c>
      <c r="AC19" s="195"/>
      <c r="AD19" s="195">
        <v>4</v>
      </c>
      <c r="AE19" s="195"/>
      <c r="AF19" s="195">
        <v>3</v>
      </c>
      <c r="AG19" s="195"/>
      <c r="AH19" s="195">
        <v>2</v>
      </c>
      <c r="AI19" s="195"/>
      <c r="AJ19" s="253">
        <v>1</v>
      </c>
      <c r="AK19" s="253"/>
      <c r="AL19" s="253">
        <v>0</v>
      </c>
      <c r="AM19" s="253"/>
      <c r="AN19" s="195"/>
      <c r="AO19" s="196"/>
      <c r="AP19" s="193"/>
      <c r="AQ19" s="186"/>
      <c r="AR19"/>
    </row>
    <row r="20" spans="2:44" s="1" customFormat="1" ht="16.5" thickBot="1">
      <c r="B20" s="42">
        <v>217</v>
      </c>
      <c r="C20" s="21" t="s">
        <v>136</v>
      </c>
      <c r="D20" s="22" t="s">
        <v>633</v>
      </c>
      <c r="E20" s="323" t="s">
        <v>865</v>
      </c>
      <c r="F20" s="5"/>
      <c r="G20" s="323" t="s">
        <v>304</v>
      </c>
      <c r="H20" s="296" t="s">
        <v>887</v>
      </c>
      <c r="I20" s="5"/>
      <c r="J20" s="5"/>
      <c r="K20" s="14"/>
      <c r="L20" s="558" t="s">
        <v>864</v>
      </c>
      <c r="M20" s="559"/>
      <c r="N20" s="559"/>
      <c r="O20" s="559"/>
      <c r="P20" s="559"/>
      <c r="Q20" s="559"/>
      <c r="R20" s="559"/>
      <c r="S20" s="559"/>
      <c r="T20" s="559"/>
      <c r="U20" s="559"/>
      <c r="V20" s="559"/>
      <c r="W20" s="559"/>
      <c r="X20" s="559"/>
      <c r="Y20" s="559"/>
      <c r="Z20" s="559"/>
      <c r="AA20" s="559"/>
      <c r="AB20" s="559"/>
      <c r="AC20" s="559"/>
      <c r="AD20" s="559"/>
      <c r="AE20" s="559"/>
      <c r="AF20" s="559"/>
      <c r="AG20" s="559"/>
      <c r="AH20" s="559"/>
      <c r="AI20" s="559"/>
      <c r="AJ20" s="559"/>
      <c r="AK20" s="559"/>
      <c r="AL20" s="559"/>
      <c r="AM20" s="559"/>
      <c r="AN20" s="559"/>
      <c r="AO20" s="559"/>
      <c r="AP20" s="559"/>
      <c r="AQ20" s="186"/>
      <c r="AR20"/>
    </row>
    <row r="21" spans="2:44" s="1" customFormat="1" ht="16.5" thickBot="1">
      <c r="B21" s="42">
        <v>218</v>
      </c>
      <c r="C21" s="21" t="s">
        <v>137</v>
      </c>
      <c r="D21" s="22" t="s">
        <v>656</v>
      </c>
      <c r="E21" s="323" t="s">
        <v>865</v>
      </c>
      <c r="F21" s="5"/>
      <c r="G21" s="323" t="s">
        <v>314</v>
      </c>
      <c r="H21" s="296" t="s">
        <v>887</v>
      </c>
      <c r="I21" s="5"/>
      <c r="J21" s="5"/>
      <c r="K21" s="14"/>
      <c r="L21" s="560" t="s">
        <v>721</v>
      </c>
      <c r="M21" s="561"/>
      <c r="N21" s="561"/>
      <c r="O21" s="561"/>
      <c r="P21" s="561"/>
      <c r="Q21" s="561"/>
      <c r="R21" s="561"/>
      <c r="S21" s="561"/>
      <c r="T21" s="561"/>
      <c r="U21" s="561"/>
      <c r="V21" s="561"/>
      <c r="W21" s="561"/>
      <c r="X21" s="561"/>
      <c r="Y21" s="561"/>
      <c r="Z21" s="561"/>
      <c r="AA21" s="561"/>
      <c r="AB21" s="561"/>
      <c r="AC21" s="561"/>
      <c r="AD21" s="561"/>
      <c r="AE21" s="561"/>
      <c r="AF21" s="561"/>
      <c r="AG21" s="561"/>
      <c r="AH21" s="561"/>
      <c r="AI21" s="561"/>
      <c r="AJ21" s="561"/>
      <c r="AK21" s="561"/>
      <c r="AL21" s="561"/>
      <c r="AM21" s="561"/>
      <c r="AN21" s="561"/>
      <c r="AO21" s="561"/>
      <c r="AP21" s="561"/>
      <c r="AQ21" s="193"/>
      <c r="AR21"/>
    </row>
    <row r="22" spans="2:44" s="1" customFormat="1" ht="16.5" thickBot="1">
      <c r="B22" s="260">
        <v>177</v>
      </c>
      <c r="C22" s="261" t="s">
        <v>96</v>
      </c>
      <c r="D22" s="262" t="s">
        <v>629</v>
      </c>
      <c r="E22" s="325" t="s">
        <v>865</v>
      </c>
      <c r="F22" s="212"/>
      <c r="G22" s="325" t="s">
        <v>264</v>
      </c>
      <c r="H22" s="296" t="s">
        <v>887</v>
      </c>
      <c r="I22" s="212"/>
      <c r="J22" s="212"/>
      <c r="K22" s="263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 ht="16.5" thickBot="1">
      <c r="B23" s="260">
        <v>187</v>
      </c>
      <c r="C23" s="261" t="s">
        <v>106</v>
      </c>
      <c r="D23" s="262" t="s">
        <v>630</v>
      </c>
      <c r="E23" s="325" t="s">
        <v>865</v>
      </c>
      <c r="F23" s="212"/>
      <c r="G23" s="325" t="s">
        <v>274</v>
      </c>
      <c r="H23" s="296" t="s">
        <v>887</v>
      </c>
      <c r="I23" s="212"/>
      <c r="J23" s="212"/>
      <c r="K23" s="263"/>
      <c r="L23"/>
      <c r="M23" s="562" t="s">
        <v>836</v>
      </c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2"/>
      <c r="AP23"/>
      <c r="AQ23"/>
      <c r="AR23"/>
    </row>
    <row r="24" spans="2:44" s="1" customFormat="1" ht="16.5" thickBot="1">
      <c r="B24" s="260">
        <v>178</v>
      </c>
      <c r="C24" s="261" t="s">
        <v>97</v>
      </c>
      <c r="D24" s="262" t="s">
        <v>652</v>
      </c>
      <c r="E24" s="325" t="s">
        <v>865</v>
      </c>
      <c r="F24" s="212"/>
      <c r="G24" s="325" t="s">
        <v>1012</v>
      </c>
      <c r="H24" s="296" t="s">
        <v>887</v>
      </c>
      <c r="I24" s="212"/>
      <c r="J24" s="212"/>
      <c r="K24" s="263"/>
      <c r="L24"/>
      <c r="M24" s="557" t="s">
        <v>883</v>
      </c>
      <c r="N24" s="557"/>
      <c r="O24" s="557"/>
      <c r="P24" s="557"/>
      <c r="Q24" s="557"/>
      <c r="R24" s="557"/>
      <c r="S24" s="557"/>
      <c r="T24" s="557"/>
      <c r="U24" s="557"/>
      <c r="V24" s="557"/>
      <c r="W24" s="557"/>
      <c r="X24" s="557"/>
      <c r="Y24" s="557"/>
      <c r="Z24" s="557"/>
      <c r="AA24" s="557"/>
      <c r="AB24" s="557"/>
      <c r="AC24" s="557"/>
      <c r="AD24" s="557"/>
      <c r="AE24" s="557"/>
      <c r="AF24" s="557"/>
      <c r="AG24" s="557"/>
      <c r="AH24" s="557"/>
      <c r="AI24" s="557"/>
      <c r="AJ24" s="557"/>
      <c r="AK24" s="557"/>
      <c r="AL24" s="557"/>
      <c r="AM24" s="557"/>
      <c r="AN24" s="557"/>
      <c r="AO24" s="557"/>
      <c r="AP24"/>
      <c r="AQ24"/>
      <c r="AR24"/>
    </row>
    <row r="25" spans="2:44" s="1" customFormat="1" ht="16.5" thickBot="1">
      <c r="B25" s="260">
        <v>188</v>
      </c>
      <c r="C25" s="261" t="s">
        <v>107</v>
      </c>
      <c r="D25" s="262" t="s">
        <v>653</v>
      </c>
      <c r="E25" s="325" t="s">
        <v>865</v>
      </c>
      <c r="F25" s="212"/>
      <c r="G25" s="325" t="s">
        <v>1013</v>
      </c>
      <c r="H25" s="296" t="s">
        <v>887</v>
      </c>
      <c r="I25" s="212"/>
      <c r="J25" s="212"/>
      <c r="K25" s="263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 ht="16.5" thickBot="1">
      <c r="B26" s="42">
        <v>277</v>
      </c>
      <c r="C26" s="21" t="s">
        <v>196</v>
      </c>
      <c r="D26" s="22" t="s">
        <v>635</v>
      </c>
      <c r="E26" s="323" t="s">
        <v>865</v>
      </c>
      <c r="F26" s="323"/>
      <c r="G26" s="323" t="s">
        <v>203</v>
      </c>
      <c r="H26" s="337" t="s">
        <v>886</v>
      </c>
      <c r="I26" s="5"/>
      <c r="J26" s="5"/>
      <c r="K26" s="14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 ht="16.5" thickBot="1">
      <c r="B27" s="42">
        <v>278</v>
      </c>
      <c r="C27" s="21" t="s">
        <v>197</v>
      </c>
      <c r="D27" s="22" t="s">
        <v>658</v>
      </c>
      <c r="E27" s="323" t="s">
        <v>865</v>
      </c>
      <c r="F27" s="323"/>
      <c r="G27" s="323" t="s">
        <v>213</v>
      </c>
      <c r="H27" s="296" t="s">
        <v>886</v>
      </c>
      <c r="I27" s="5"/>
      <c r="J27" s="5"/>
      <c r="K27" s="14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 ht="16.5" thickBot="1">
      <c r="B28" s="42">
        <v>287</v>
      </c>
      <c r="C28" s="21" t="s">
        <v>206</v>
      </c>
      <c r="D28" s="22" t="s">
        <v>636</v>
      </c>
      <c r="E28" s="323" t="s">
        <v>865</v>
      </c>
      <c r="F28" s="323"/>
      <c r="G28" s="323" t="s">
        <v>222</v>
      </c>
      <c r="H28" s="296" t="s">
        <v>886</v>
      </c>
      <c r="I28" s="5"/>
      <c r="J28" s="5"/>
      <c r="K28" s="14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 ht="16.5" thickBot="1">
      <c r="B29" s="42">
        <v>288</v>
      </c>
      <c r="C29" s="21" t="s">
        <v>207</v>
      </c>
      <c r="D29" s="22" t="s">
        <v>659</v>
      </c>
      <c r="E29" s="323" t="s">
        <v>865</v>
      </c>
      <c r="F29" s="323"/>
      <c r="G29" s="323" t="s">
        <v>232</v>
      </c>
      <c r="H29" s="296" t="s">
        <v>886</v>
      </c>
      <c r="I29" s="5"/>
      <c r="J29" s="5"/>
      <c r="K29" s="14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 ht="16.5" thickBot="1">
      <c r="B30" s="42">
        <v>297</v>
      </c>
      <c r="C30" s="21" t="s">
        <v>216</v>
      </c>
      <c r="D30" s="22" t="s">
        <v>637</v>
      </c>
      <c r="E30" s="323" t="s">
        <v>865</v>
      </c>
      <c r="F30" s="323"/>
      <c r="G30" s="323" t="s">
        <v>182</v>
      </c>
      <c r="H30" s="296" t="s">
        <v>886</v>
      </c>
      <c r="I30" s="5"/>
      <c r="J30" s="5"/>
      <c r="K30" s="14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 ht="16.5" thickBot="1">
      <c r="B31" s="42">
        <v>298</v>
      </c>
      <c r="C31" s="21" t="s">
        <v>217</v>
      </c>
      <c r="D31" s="22" t="s">
        <v>660</v>
      </c>
      <c r="E31" s="323" t="s">
        <v>865</v>
      </c>
      <c r="F31" s="323"/>
      <c r="G31" s="323" t="s">
        <v>192</v>
      </c>
      <c r="H31" s="296" t="s">
        <v>886</v>
      </c>
      <c r="I31" s="5"/>
      <c r="J31" s="5"/>
      <c r="K31" s="14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 ht="16.5" thickBot="1">
      <c r="B32" s="260">
        <v>307</v>
      </c>
      <c r="C32" s="261" t="s">
        <v>226</v>
      </c>
      <c r="D32" s="262" t="s">
        <v>638</v>
      </c>
      <c r="E32" s="325" t="s">
        <v>865</v>
      </c>
      <c r="F32" s="325"/>
      <c r="G32" s="325" t="s">
        <v>241</v>
      </c>
      <c r="H32" s="296" t="s">
        <v>886</v>
      </c>
      <c r="I32" s="212"/>
      <c r="J32" s="212"/>
      <c r="K32" s="263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 ht="16.5" thickBot="1">
      <c r="B33" s="260">
        <v>308</v>
      </c>
      <c r="C33" s="261" t="s">
        <v>227</v>
      </c>
      <c r="D33" s="262" t="s">
        <v>661</v>
      </c>
      <c r="E33" s="325" t="s">
        <v>865</v>
      </c>
      <c r="F33" s="325"/>
      <c r="G33" s="325" t="s">
        <v>251</v>
      </c>
      <c r="H33" s="296" t="s">
        <v>886</v>
      </c>
      <c r="I33" s="212"/>
      <c r="J33" s="212"/>
      <c r="K33" s="26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 ht="16.5" thickBot="1">
      <c r="B34" s="260">
        <v>317</v>
      </c>
      <c r="C34" s="261" t="s">
        <v>236</v>
      </c>
      <c r="D34" s="262" t="s">
        <v>639</v>
      </c>
      <c r="E34" s="325" t="s">
        <v>865</v>
      </c>
      <c r="F34" s="325"/>
      <c r="G34" s="325" t="s">
        <v>201</v>
      </c>
      <c r="H34" s="296" t="s">
        <v>886</v>
      </c>
      <c r="I34" s="212"/>
      <c r="J34" s="212"/>
      <c r="K34" s="263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 ht="16.5" thickBot="1">
      <c r="B35" s="260">
        <v>318</v>
      </c>
      <c r="C35" s="261" t="s">
        <v>237</v>
      </c>
      <c r="D35" s="262" t="s">
        <v>662</v>
      </c>
      <c r="E35" s="325" t="s">
        <v>865</v>
      </c>
      <c r="F35" s="325"/>
      <c r="G35" s="325" t="s">
        <v>211</v>
      </c>
      <c r="H35" s="296" t="s">
        <v>886</v>
      </c>
      <c r="I35" s="212"/>
      <c r="J35" s="212"/>
      <c r="K35" s="263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 ht="16.5" thickBot="1">
      <c r="B36" s="42">
        <v>279</v>
      </c>
      <c r="C36" s="21" t="s">
        <v>198</v>
      </c>
      <c r="D36" s="22" t="s">
        <v>679</v>
      </c>
      <c r="E36" s="323" t="s">
        <v>865</v>
      </c>
      <c r="F36" s="323"/>
      <c r="G36" s="323" t="s">
        <v>245</v>
      </c>
      <c r="H36" s="296" t="s">
        <v>886</v>
      </c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 ht="16.5" thickBot="1">
      <c r="B37" s="42">
        <v>280</v>
      </c>
      <c r="C37" s="21" t="s">
        <v>199</v>
      </c>
      <c r="D37" s="22" t="s">
        <v>701</v>
      </c>
      <c r="E37" s="323" t="s">
        <v>865</v>
      </c>
      <c r="F37" s="323"/>
      <c r="G37" s="323" t="s">
        <v>255</v>
      </c>
      <c r="H37" s="296" t="s">
        <v>886</v>
      </c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 ht="16.5" thickBot="1">
      <c r="B38" s="42">
        <v>289</v>
      </c>
      <c r="C38" s="21" t="s">
        <v>208</v>
      </c>
      <c r="D38" s="22" t="s">
        <v>680</v>
      </c>
      <c r="E38" s="323" t="s">
        <v>865</v>
      </c>
      <c r="F38" s="323"/>
      <c r="G38" s="323" t="s">
        <v>205</v>
      </c>
      <c r="H38" s="296" t="s">
        <v>886</v>
      </c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 ht="16.5" thickBot="1">
      <c r="B39" s="42">
        <v>290</v>
      </c>
      <c r="C39" s="21" t="s">
        <v>209</v>
      </c>
      <c r="D39" s="22" t="s">
        <v>702</v>
      </c>
      <c r="E39" s="323" t="s">
        <v>865</v>
      </c>
      <c r="F39" s="323"/>
      <c r="G39" s="323" t="s">
        <v>215</v>
      </c>
      <c r="H39" s="296" t="s">
        <v>886</v>
      </c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 ht="16.5" thickBot="1">
      <c r="B40" s="42">
        <v>299</v>
      </c>
      <c r="C40" s="21" t="s">
        <v>218</v>
      </c>
      <c r="D40" s="22" t="s">
        <v>681</v>
      </c>
      <c r="E40" s="323" t="s">
        <v>865</v>
      </c>
      <c r="F40" s="323"/>
      <c r="G40" s="323" t="s">
        <v>224</v>
      </c>
      <c r="H40" s="296" t="s">
        <v>886</v>
      </c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 ht="16.5" thickBot="1">
      <c r="B41" s="42">
        <v>300</v>
      </c>
      <c r="C41" s="21" t="s">
        <v>219</v>
      </c>
      <c r="D41" s="22" t="s">
        <v>703</v>
      </c>
      <c r="E41" s="323" t="s">
        <v>865</v>
      </c>
      <c r="F41" s="323"/>
      <c r="G41" s="323" t="s">
        <v>234</v>
      </c>
      <c r="H41" s="296" t="s">
        <v>886</v>
      </c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 ht="16.5" thickBot="1">
      <c r="B42" s="260">
        <v>309</v>
      </c>
      <c r="C42" s="261" t="s">
        <v>228</v>
      </c>
      <c r="D42" s="262" t="s">
        <v>682</v>
      </c>
      <c r="E42" s="325" t="s">
        <v>865</v>
      </c>
      <c r="F42" s="325"/>
      <c r="G42" s="325" t="s">
        <v>184</v>
      </c>
      <c r="H42" s="296" t="s">
        <v>886</v>
      </c>
      <c r="I42" s="212"/>
      <c r="J42" s="212"/>
      <c r="K42" s="263"/>
      <c r="L42" s="3"/>
    </row>
    <row r="43" spans="2:44" s="1" customFormat="1" ht="16.5" thickBot="1">
      <c r="B43" s="260">
        <v>310</v>
      </c>
      <c r="C43" s="261" t="s">
        <v>229</v>
      </c>
      <c r="D43" s="262" t="s">
        <v>704</v>
      </c>
      <c r="E43" s="325" t="s">
        <v>865</v>
      </c>
      <c r="F43" s="325"/>
      <c r="G43" s="325" t="s">
        <v>194</v>
      </c>
      <c r="H43" s="296" t="s">
        <v>886</v>
      </c>
      <c r="I43" s="212"/>
      <c r="J43" s="212"/>
      <c r="K43" s="263"/>
      <c r="L43" s="3"/>
    </row>
    <row r="44" spans="2:44" s="1" customFormat="1" ht="16.5" thickBot="1">
      <c r="B44" s="260">
        <v>319</v>
      </c>
      <c r="C44" s="261" t="s">
        <v>238</v>
      </c>
      <c r="D44" s="262" t="s">
        <v>683</v>
      </c>
      <c r="E44" s="325" t="s">
        <v>865</v>
      </c>
      <c r="F44" s="325"/>
      <c r="G44" s="325" t="s">
        <v>243</v>
      </c>
      <c r="H44" s="296" t="s">
        <v>886</v>
      </c>
      <c r="I44" s="212"/>
      <c r="J44" s="212"/>
      <c r="K44" s="263"/>
      <c r="L44" s="3"/>
    </row>
    <row r="45" spans="2:44" s="1" customFormat="1">
      <c r="B45" s="260">
        <v>320</v>
      </c>
      <c r="C45" s="261" t="s">
        <v>239</v>
      </c>
      <c r="D45" s="262" t="s">
        <v>705</v>
      </c>
      <c r="E45" s="325" t="s">
        <v>865</v>
      </c>
      <c r="F45" s="325"/>
      <c r="G45" s="325" t="s">
        <v>253</v>
      </c>
      <c r="H45" s="296" t="s">
        <v>886</v>
      </c>
      <c r="I45" s="212"/>
      <c r="J45" s="212"/>
      <c r="K45" s="263"/>
      <c r="L45" s="3"/>
    </row>
    <row r="46" spans="2:44" s="1" customFormat="1">
      <c r="B46" s="260">
        <v>37</v>
      </c>
      <c r="C46" s="261" t="s">
        <v>373</v>
      </c>
      <c r="D46" s="262" t="s">
        <v>622</v>
      </c>
      <c r="E46" s="325" t="s">
        <v>866</v>
      </c>
      <c r="F46" s="212"/>
      <c r="G46" s="325" t="s">
        <v>283</v>
      </c>
      <c r="H46" s="338" t="s">
        <v>893</v>
      </c>
      <c r="I46" s="212"/>
      <c r="J46" s="212"/>
      <c r="K46" s="263"/>
      <c r="L46" s="3"/>
    </row>
    <row r="47" spans="2:44" s="1" customFormat="1">
      <c r="B47" s="260">
        <v>27</v>
      </c>
      <c r="C47" s="261" t="s">
        <v>363</v>
      </c>
      <c r="D47" s="262" t="s">
        <v>623</v>
      </c>
      <c r="E47" s="325" t="s">
        <v>866</v>
      </c>
      <c r="F47" s="212"/>
      <c r="G47" s="325" t="s">
        <v>293</v>
      </c>
      <c r="H47" s="303" t="s">
        <v>893</v>
      </c>
      <c r="I47" s="212"/>
      <c r="J47" s="212"/>
      <c r="K47" s="263"/>
      <c r="L47" s="3"/>
    </row>
    <row r="48" spans="2:44">
      <c r="B48" s="260">
        <v>18</v>
      </c>
      <c r="C48" s="261" t="s">
        <v>354</v>
      </c>
      <c r="D48" s="262" t="s">
        <v>643</v>
      </c>
      <c r="E48" s="325" t="s">
        <v>866</v>
      </c>
      <c r="F48" s="212"/>
      <c r="G48" s="325" t="s">
        <v>302</v>
      </c>
      <c r="H48" s="303" t="s">
        <v>893</v>
      </c>
      <c r="I48" s="212"/>
      <c r="J48" s="212"/>
      <c r="K48" s="263"/>
    </row>
    <row r="49" spans="2:11">
      <c r="B49" s="260">
        <v>8</v>
      </c>
      <c r="C49" s="261" t="s">
        <v>344</v>
      </c>
      <c r="D49" s="262" t="s">
        <v>644</v>
      </c>
      <c r="E49" s="325" t="s">
        <v>866</v>
      </c>
      <c r="F49" s="212"/>
      <c r="G49" s="325" t="s">
        <v>312</v>
      </c>
      <c r="H49" s="303" t="s">
        <v>893</v>
      </c>
      <c r="I49" s="212"/>
      <c r="J49" s="212"/>
      <c r="K49" s="263"/>
    </row>
    <row r="50" spans="2:11">
      <c r="B50" s="260">
        <v>10</v>
      </c>
      <c r="C50" s="261" t="s">
        <v>346</v>
      </c>
      <c r="D50" s="262" t="s">
        <v>666</v>
      </c>
      <c r="E50" s="325" t="s">
        <v>866</v>
      </c>
      <c r="F50" s="212"/>
      <c r="G50" s="325" t="s">
        <v>262</v>
      </c>
      <c r="H50" s="303" t="s">
        <v>893</v>
      </c>
      <c r="I50" s="212"/>
      <c r="J50" s="212"/>
      <c r="K50" s="263"/>
    </row>
    <row r="51" spans="2:11">
      <c r="B51" s="260">
        <v>9</v>
      </c>
      <c r="C51" s="261" t="s">
        <v>345</v>
      </c>
      <c r="D51" s="262" t="s">
        <v>688</v>
      </c>
      <c r="E51" s="325" t="s">
        <v>866</v>
      </c>
      <c r="F51" s="212"/>
      <c r="G51" s="325" t="s">
        <v>272</v>
      </c>
      <c r="H51" s="303" t="s">
        <v>893</v>
      </c>
      <c r="I51" s="212"/>
      <c r="J51" s="212"/>
      <c r="K51" s="263"/>
    </row>
    <row r="52" spans="2:11">
      <c r="B52" s="260">
        <v>7</v>
      </c>
      <c r="C52" s="261" t="s">
        <v>343</v>
      </c>
      <c r="D52" s="262" t="s">
        <v>621</v>
      </c>
      <c r="E52" s="325" t="s">
        <v>866</v>
      </c>
      <c r="F52" s="212"/>
      <c r="G52" s="325" t="s">
        <v>1010</v>
      </c>
      <c r="H52" s="303" t="s">
        <v>893</v>
      </c>
      <c r="I52" s="212"/>
      <c r="J52" s="212"/>
      <c r="K52" s="263"/>
    </row>
    <row r="53" spans="2:11">
      <c r="B53" s="260">
        <v>17</v>
      </c>
      <c r="C53" s="261" t="s">
        <v>353</v>
      </c>
      <c r="D53" s="262" t="s">
        <v>620</v>
      </c>
      <c r="E53" s="325" t="s">
        <v>866</v>
      </c>
      <c r="F53" s="212"/>
      <c r="G53" s="325" t="s">
        <v>1011</v>
      </c>
      <c r="H53" s="303" t="s">
        <v>893</v>
      </c>
      <c r="I53" s="212"/>
      <c r="J53" s="212"/>
      <c r="K53" s="263"/>
    </row>
    <row r="54" spans="2:11">
      <c r="B54" s="260">
        <v>6</v>
      </c>
      <c r="C54" s="261" t="s">
        <v>342</v>
      </c>
      <c r="D54" s="262" t="s">
        <v>611</v>
      </c>
      <c r="E54" s="325" t="s">
        <v>866</v>
      </c>
      <c r="F54" s="212"/>
      <c r="G54" s="325" t="s">
        <v>281</v>
      </c>
      <c r="H54" s="303" t="s">
        <v>893</v>
      </c>
      <c r="I54" s="212"/>
      <c r="J54" s="212"/>
      <c r="K54" s="263"/>
    </row>
    <row r="55" spans="2:11">
      <c r="B55" s="260">
        <v>16</v>
      </c>
      <c r="C55" s="261" t="s">
        <v>352</v>
      </c>
      <c r="D55" s="262" t="s">
        <v>610</v>
      </c>
      <c r="E55" s="325" t="s">
        <v>866</v>
      </c>
      <c r="F55" s="212"/>
      <c r="G55" s="325" t="s">
        <v>291</v>
      </c>
      <c r="H55" s="303" t="s">
        <v>893</v>
      </c>
      <c r="I55" s="212"/>
      <c r="J55" s="212"/>
      <c r="K55" s="263"/>
    </row>
    <row r="56" spans="2:11">
      <c r="B56" s="260">
        <v>60</v>
      </c>
      <c r="C56" s="261" t="s">
        <v>396</v>
      </c>
      <c r="D56" s="264" t="s">
        <v>669</v>
      </c>
      <c r="E56" s="325" t="s">
        <v>866</v>
      </c>
      <c r="F56" s="212"/>
      <c r="G56" s="325" t="s">
        <v>1014</v>
      </c>
      <c r="H56" s="303" t="s">
        <v>893</v>
      </c>
      <c r="I56" s="212"/>
      <c r="J56" s="212"/>
      <c r="K56" s="263"/>
    </row>
    <row r="57" spans="2:11">
      <c r="B57" s="260">
        <v>59</v>
      </c>
      <c r="C57" s="261" t="s">
        <v>395</v>
      </c>
      <c r="D57" s="264" t="s">
        <v>691</v>
      </c>
      <c r="E57" s="325" t="s">
        <v>866</v>
      </c>
      <c r="F57" s="212"/>
      <c r="G57" s="325" t="s">
        <v>1015</v>
      </c>
      <c r="H57" s="303" t="s">
        <v>893</v>
      </c>
      <c r="I57" s="212"/>
      <c r="J57" s="212"/>
      <c r="K57" s="263"/>
    </row>
    <row r="58" spans="2:11">
      <c r="B58" s="260">
        <v>28</v>
      </c>
      <c r="C58" s="261" t="s">
        <v>364</v>
      </c>
      <c r="D58" s="262" t="s">
        <v>646</v>
      </c>
      <c r="E58" s="325" t="s">
        <v>866</v>
      </c>
      <c r="F58" s="212"/>
      <c r="G58" s="325" t="s">
        <v>285</v>
      </c>
      <c r="H58" s="303" t="s">
        <v>893</v>
      </c>
      <c r="I58" s="212"/>
      <c r="J58" s="212"/>
      <c r="K58" s="263"/>
    </row>
    <row r="59" spans="2:11">
      <c r="B59" s="260">
        <v>38</v>
      </c>
      <c r="C59" s="261" t="s">
        <v>374</v>
      </c>
      <c r="D59" s="262" t="s">
        <v>645</v>
      </c>
      <c r="E59" s="325" t="s">
        <v>866</v>
      </c>
      <c r="F59" s="212"/>
      <c r="G59" s="325" t="s">
        <v>295</v>
      </c>
      <c r="H59" s="303" t="s">
        <v>893</v>
      </c>
      <c r="I59" s="212"/>
      <c r="J59" s="212"/>
      <c r="K59" s="263"/>
    </row>
    <row r="60" spans="2:11">
      <c r="B60" s="260">
        <v>49</v>
      </c>
      <c r="C60" s="261" t="s">
        <v>385</v>
      </c>
      <c r="D60" s="264" t="s">
        <v>690</v>
      </c>
      <c r="E60" s="325" t="s">
        <v>866</v>
      </c>
      <c r="F60" s="212"/>
      <c r="G60" s="325" t="s">
        <v>304</v>
      </c>
      <c r="H60" s="303" t="s">
        <v>893</v>
      </c>
      <c r="I60" s="212"/>
      <c r="J60" s="212"/>
      <c r="K60" s="263"/>
    </row>
    <row r="61" spans="2:11">
      <c r="B61" s="260">
        <v>50</v>
      </c>
      <c r="C61" s="261" t="s">
        <v>386</v>
      </c>
      <c r="D61" s="264" t="s">
        <v>668</v>
      </c>
      <c r="E61" s="325" t="s">
        <v>866</v>
      </c>
      <c r="F61" s="212"/>
      <c r="G61" s="325" t="s">
        <v>314</v>
      </c>
      <c r="H61" s="303" t="s">
        <v>893</v>
      </c>
      <c r="I61" s="212"/>
      <c r="J61" s="212"/>
      <c r="K61" s="263"/>
    </row>
    <row r="62" spans="2:11">
      <c r="B62" s="260">
        <v>19</v>
      </c>
      <c r="C62" s="261" t="s">
        <v>355</v>
      </c>
      <c r="D62" s="262" t="s">
        <v>689</v>
      </c>
      <c r="E62" s="325" t="s">
        <v>866</v>
      </c>
      <c r="F62" s="212"/>
      <c r="G62" s="325" t="s">
        <v>264</v>
      </c>
      <c r="H62" s="303" t="s">
        <v>893</v>
      </c>
      <c r="I62" s="212"/>
      <c r="J62" s="212"/>
      <c r="K62" s="263"/>
    </row>
    <row r="63" spans="2:11">
      <c r="B63" s="260">
        <v>20</v>
      </c>
      <c r="C63" s="261" t="s">
        <v>356</v>
      </c>
      <c r="D63" s="262" t="s">
        <v>667</v>
      </c>
      <c r="E63" s="325" t="s">
        <v>866</v>
      </c>
      <c r="F63" s="212"/>
      <c r="G63" s="325" t="s">
        <v>274</v>
      </c>
      <c r="H63" s="303" t="s">
        <v>893</v>
      </c>
      <c r="I63" s="212"/>
      <c r="J63" s="212"/>
      <c r="K63" s="263"/>
    </row>
    <row r="64" spans="2:11">
      <c r="B64" s="260">
        <v>26</v>
      </c>
      <c r="C64" s="261" t="s">
        <v>362</v>
      </c>
      <c r="D64" s="262" t="s">
        <v>613</v>
      </c>
      <c r="E64" s="325" t="s">
        <v>866</v>
      </c>
      <c r="F64" s="212"/>
      <c r="G64" s="325" t="s">
        <v>1012</v>
      </c>
      <c r="H64" s="303" t="s">
        <v>893</v>
      </c>
      <c r="I64" s="212"/>
      <c r="J64" s="212"/>
      <c r="K64" s="263"/>
    </row>
    <row r="65" spans="2:11">
      <c r="B65" s="260">
        <v>36</v>
      </c>
      <c r="C65" s="261" t="s">
        <v>372</v>
      </c>
      <c r="D65" s="262" t="s">
        <v>612</v>
      </c>
      <c r="E65" s="325" t="s">
        <v>866</v>
      </c>
      <c r="F65" s="212"/>
      <c r="G65" s="325" t="s">
        <v>1013</v>
      </c>
      <c r="H65" s="303" t="s">
        <v>893</v>
      </c>
      <c r="I65" s="212"/>
      <c r="J65" s="212"/>
      <c r="K65" s="263"/>
    </row>
    <row r="66" spans="2:11">
      <c r="B66" s="260">
        <v>118</v>
      </c>
      <c r="C66" s="261" t="s">
        <v>37</v>
      </c>
      <c r="D66" s="262" t="s">
        <v>624</v>
      </c>
      <c r="E66" s="325" t="s">
        <v>866</v>
      </c>
      <c r="F66" s="212"/>
      <c r="G66" s="325" t="s">
        <v>203</v>
      </c>
      <c r="H66" s="338" t="s">
        <v>896</v>
      </c>
      <c r="I66" s="212"/>
      <c r="J66" s="212"/>
      <c r="K66" s="263"/>
    </row>
    <row r="67" spans="2:11">
      <c r="B67" s="260">
        <v>117</v>
      </c>
      <c r="C67" s="261" t="s">
        <v>36</v>
      </c>
      <c r="D67" s="262" t="s">
        <v>647</v>
      </c>
      <c r="E67" s="325" t="s">
        <v>866</v>
      </c>
      <c r="F67" s="212"/>
      <c r="G67" s="325" t="s">
        <v>213</v>
      </c>
      <c r="H67" s="303" t="s">
        <v>896</v>
      </c>
      <c r="I67" s="212"/>
      <c r="J67" s="212"/>
      <c r="K67" s="263"/>
    </row>
    <row r="68" spans="2:11">
      <c r="B68" s="260">
        <v>148</v>
      </c>
      <c r="C68" s="261" t="s">
        <v>67</v>
      </c>
      <c r="D68" s="262" t="s">
        <v>626</v>
      </c>
      <c r="E68" s="325" t="s">
        <v>866</v>
      </c>
      <c r="F68" s="212"/>
      <c r="G68" s="325" t="s">
        <v>222</v>
      </c>
      <c r="H68" s="303" t="s">
        <v>896</v>
      </c>
      <c r="I68" s="212"/>
      <c r="J68" s="212"/>
      <c r="K68" s="263"/>
    </row>
    <row r="69" spans="2:11">
      <c r="B69" s="260">
        <v>147</v>
      </c>
      <c r="C69" s="261" t="s">
        <v>66</v>
      </c>
      <c r="D69" s="262" t="s">
        <v>649</v>
      </c>
      <c r="E69" s="325" t="s">
        <v>866</v>
      </c>
      <c r="F69" s="212"/>
      <c r="G69" s="325" t="s">
        <v>232</v>
      </c>
      <c r="H69" s="303" t="s">
        <v>896</v>
      </c>
      <c r="I69" s="212"/>
      <c r="J69" s="212"/>
      <c r="K69" s="263"/>
    </row>
    <row r="70" spans="2:11">
      <c r="B70" s="260">
        <v>168</v>
      </c>
      <c r="C70" s="261" t="s">
        <v>87</v>
      </c>
      <c r="D70" s="262" t="s">
        <v>628</v>
      </c>
      <c r="E70" s="325" t="s">
        <v>866</v>
      </c>
      <c r="F70" s="212"/>
      <c r="G70" s="325" t="s">
        <v>182</v>
      </c>
      <c r="H70" s="303" t="s">
        <v>896</v>
      </c>
      <c r="I70" s="212"/>
      <c r="J70" s="212"/>
      <c r="K70" s="263"/>
    </row>
    <row r="71" spans="2:11">
      <c r="B71" s="260">
        <v>167</v>
      </c>
      <c r="C71" s="261" t="s">
        <v>86</v>
      </c>
      <c r="D71" s="262" t="s">
        <v>651</v>
      </c>
      <c r="E71" s="325" t="s">
        <v>866</v>
      </c>
      <c r="F71" s="212"/>
      <c r="G71" s="325" t="s">
        <v>192</v>
      </c>
      <c r="H71" s="303" t="s">
        <v>896</v>
      </c>
      <c r="I71" s="212"/>
      <c r="J71" s="212"/>
      <c r="K71" s="263"/>
    </row>
    <row r="72" spans="2:11">
      <c r="B72" s="260">
        <v>170</v>
      </c>
      <c r="C72" s="261" t="s">
        <v>89</v>
      </c>
      <c r="D72" s="262" t="s">
        <v>674</v>
      </c>
      <c r="E72" s="325" t="s">
        <v>866</v>
      </c>
      <c r="F72" s="212"/>
      <c r="G72" s="325" t="s">
        <v>241</v>
      </c>
      <c r="H72" s="303" t="s">
        <v>896</v>
      </c>
      <c r="I72" s="212"/>
      <c r="J72" s="212"/>
      <c r="K72" s="263"/>
    </row>
    <row r="73" spans="2:11">
      <c r="B73" s="260">
        <v>169</v>
      </c>
      <c r="C73" s="261" t="s">
        <v>88</v>
      </c>
      <c r="D73" s="262" t="s">
        <v>696</v>
      </c>
      <c r="E73" s="325" t="s">
        <v>866</v>
      </c>
      <c r="F73" s="212"/>
      <c r="G73" s="325" t="s">
        <v>251</v>
      </c>
      <c r="H73" s="303" t="s">
        <v>896</v>
      </c>
      <c r="I73" s="212"/>
      <c r="J73" s="212"/>
      <c r="K73" s="263"/>
    </row>
    <row r="74" spans="2:11">
      <c r="B74" s="260">
        <v>158</v>
      </c>
      <c r="C74" s="261" t="s">
        <v>77</v>
      </c>
      <c r="D74" s="262" t="s">
        <v>627</v>
      </c>
      <c r="E74" s="325" t="s">
        <v>866</v>
      </c>
      <c r="F74" s="212"/>
      <c r="G74" s="325" t="s">
        <v>201</v>
      </c>
      <c r="H74" s="303" t="s">
        <v>896</v>
      </c>
      <c r="I74" s="212"/>
      <c r="J74" s="212"/>
      <c r="K74" s="263"/>
    </row>
    <row r="75" spans="2:11">
      <c r="B75" s="260">
        <v>157</v>
      </c>
      <c r="C75" s="261" t="s">
        <v>76</v>
      </c>
      <c r="D75" s="262" t="s">
        <v>650</v>
      </c>
      <c r="E75" s="325" t="s">
        <v>866</v>
      </c>
      <c r="F75" s="212"/>
      <c r="G75" s="325" t="s">
        <v>211</v>
      </c>
      <c r="H75" s="303" t="s">
        <v>896</v>
      </c>
      <c r="I75" s="212"/>
      <c r="J75" s="212"/>
      <c r="K75" s="263"/>
    </row>
    <row r="76" spans="2:11">
      <c r="B76" s="260">
        <v>129</v>
      </c>
      <c r="C76" s="261" t="s">
        <v>48</v>
      </c>
      <c r="D76" s="262" t="s">
        <v>692</v>
      </c>
      <c r="E76" s="325" t="s">
        <v>866</v>
      </c>
      <c r="F76" s="212"/>
      <c r="G76" s="325" t="s">
        <v>245</v>
      </c>
      <c r="H76" s="303" t="s">
        <v>896</v>
      </c>
      <c r="I76" s="212"/>
      <c r="J76" s="212"/>
      <c r="K76" s="263"/>
    </row>
    <row r="77" spans="2:11">
      <c r="B77" s="260">
        <v>130</v>
      </c>
      <c r="C77" s="261" t="s">
        <v>49</v>
      </c>
      <c r="D77" s="262" t="s">
        <v>670</v>
      </c>
      <c r="E77" s="325" t="s">
        <v>866</v>
      </c>
      <c r="F77" s="212"/>
      <c r="G77" s="325" t="s">
        <v>255</v>
      </c>
      <c r="H77" s="303" t="s">
        <v>896</v>
      </c>
      <c r="I77" s="212"/>
      <c r="J77" s="212"/>
      <c r="K77" s="263"/>
    </row>
    <row r="78" spans="2:11">
      <c r="B78" s="260">
        <v>139</v>
      </c>
      <c r="C78" s="261" t="s">
        <v>58</v>
      </c>
      <c r="D78" s="262" t="s">
        <v>693</v>
      </c>
      <c r="E78" s="325" t="s">
        <v>866</v>
      </c>
      <c r="F78" s="212"/>
      <c r="G78" s="386" t="s">
        <v>205</v>
      </c>
      <c r="H78" s="303" t="s">
        <v>896</v>
      </c>
      <c r="I78" s="212"/>
      <c r="J78" s="212"/>
      <c r="K78" s="263"/>
    </row>
    <row r="79" spans="2:11">
      <c r="B79" s="260">
        <v>140</v>
      </c>
      <c r="C79" s="261" t="s">
        <v>59</v>
      </c>
      <c r="D79" s="262" t="s">
        <v>671</v>
      </c>
      <c r="E79" s="325" t="s">
        <v>866</v>
      </c>
      <c r="F79" s="212"/>
      <c r="G79" s="386" t="s">
        <v>215</v>
      </c>
      <c r="H79" s="303" t="s">
        <v>896</v>
      </c>
      <c r="I79" s="212"/>
      <c r="J79" s="212"/>
      <c r="K79" s="263"/>
    </row>
    <row r="80" spans="2:11">
      <c r="B80" s="260">
        <v>138</v>
      </c>
      <c r="C80" s="261" t="s">
        <v>57</v>
      </c>
      <c r="D80" s="262" t="s">
        <v>625</v>
      </c>
      <c r="E80" s="325" t="s">
        <v>866</v>
      </c>
      <c r="F80" s="212"/>
      <c r="G80" s="325" t="s">
        <v>224</v>
      </c>
      <c r="H80" s="303" t="s">
        <v>896</v>
      </c>
      <c r="I80" s="212"/>
      <c r="J80" s="212"/>
      <c r="K80" s="263"/>
    </row>
    <row r="81" spans="2:11">
      <c r="B81" s="260">
        <v>137</v>
      </c>
      <c r="C81" s="261" t="s">
        <v>56</v>
      </c>
      <c r="D81" s="262" t="s">
        <v>648</v>
      </c>
      <c r="E81" s="325" t="s">
        <v>866</v>
      </c>
      <c r="F81" s="212"/>
      <c r="G81" s="325" t="s">
        <v>234</v>
      </c>
      <c r="H81" s="303" t="s">
        <v>896</v>
      </c>
      <c r="I81" s="212"/>
      <c r="J81" s="212"/>
      <c r="K81" s="263"/>
    </row>
    <row r="82" spans="2:11">
      <c r="B82" s="260">
        <v>150</v>
      </c>
      <c r="C82" s="261" t="s">
        <v>69</v>
      </c>
      <c r="D82" s="262" t="s">
        <v>672</v>
      </c>
      <c r="E82" s="325" t="s">
        <v>866</v>
      </c>
      <c r="F82" s="212"/>
      <c r="G82" s="325" t="s">
        <v>184</v>
      </c>
      <c r="H82" s="303" t="s">
        <v>896</v>
      </c>
      <c r="I82" s="212"/>
      <c r="J82" s="212"/>
      <c r="K82" s="263"/>
    </row>
    <row r="83" spans="2:11">
      <c r="B83" s="260">
        <v>149</v>
      </c>
      <c r="C83" s="261" t="s">
        <v>68</v>
      </c>
      <c r="D83" s="262" t="s">
        <v>694</v>
      </c>
      <c r="E83" s="325" t="s">
        <v>866</v>
      </c>
      <c r="F83" s="212"/>
      <c r="G83" s="325" t="s">
        <v>194</v>
      </c>
      <c r="H83" s="303" t="s">
        <v>896</v>
      </c>
      <c r="I83" s="212"/>
      <c r="J83" s="212"/>
      <c r="K83" s="263"/>
    </row>
    <row r="84" spans="2:11">
      <c r="B84" s="260">
        <v>160</v>
      </c>
      <c r="C84" s="261" t="s">
        <v>79</v>
      </c>
      <c r="D84" s="262" t="s">
        <v>673</v>
      </c>
      <c r="E84" s="325" t="s">
        <v>866</v>
      </c>
      <c r="F84" s="212"/>
      <c r="G84" s="325" t="s">
        <v>243</v>
      </c>
      <c r="H84" s="303" t="s">
        <v>896</v>
      </c>
      <c r="I84" s="212"/>
      <c r="J84" s="212"/>
      <c r="K84" s="263"/>
    </row>
    <row r="85" spans="2:11">
      <c r="B85" s="260">
        <v>159</v>
      </c>
      <c r="C85" s="261" t="s">
        <v>78</v>
      </c>
      <c r="D85" s="262" t="s">
        <v>695</v>
      </c>
      <c r="E85" s="325" t="s">
        <v>866</v>
      </c>
      <c r="F85" s="212"/>
      <c r="G85" s="325" t="s">
        <v>253</v>
      </c>
      <c r="H85" s="303" t="s">
        <v>896</v>
      </c>
      <c r="I85" s="212"/>
      <c r="J85" s="212"/>
      <c r="K85" s="263"/>
    </row>
    <row r="86" spans="2:11">
      <c r="B86" s="260">
        <v>128</v>
      </c>
      <c r="C86" s="261" t="s">
        <v>47</v>
      </c>
      <c r="D86" s="262" t="s">
        <v>507</v>
      </c>
      <c r="E86" s="325" t="s">
        <v>866</v>
      </c>
      <c r="F86" s="325"/>
      <c r="G86" s="325" t="s">
        <v>976</v>
      </c>
      <c r="H86" s="212"/>
      <c r="I86" s="212"/>
      <c r="J86" s="212"/>
      <c r="K86" s="263"/>
    </row>
    <row r="87" spans="2:11">
      <c r="B87" s="260">
        <v>127</v>
      </c>
      <c r="C87" s="261" t="s">
        <v>46</v>
      </c>
      <c r="D87" s="262" t="s">
        <v>497</v>
      </c>
      <c r="E87" s="325" t="s">
        <v>866</v>
      </c>
      <c r="F87" s="325"/>
      <c r="G87" s="325" t="s">
        <v>977</v>
      </c>
      <c r="H87" s="212"/>
      <c r="I87" s="212"/>
      <c r="J87" s="212"/>
      <c r="K87" s="263"/>
    </row>
    <row r="88" spans="2:11">
      <c r="B88" s="260">
        <v>79</v>
      </c>
      <c r="C88" s="261" t="s">
        <v>415</v>
      </c>
      <c r="D88" s="264" t="s">
        <v>490</v>
      </c>
      <c r="E88" s="212"/>
      <c r="F88" s="212"/>
      <c r="G88" s="212"/>
      <c r="H88" s="212"/>
      <c r="I88" s="212"/>
      <c r="J88" s="212"/>
      <c r="K88" s="263"/>
    </row>
    <row r="89" spans="2:11">
      <c r="B89" s="260">
        <v>78</v>
      </c>
      <c r="C89" s="261" t="s">
        <v>414</v>
      </c>
      <c r="D89" s="350" t="s">
        <v>498</v>
      </c>
      <c r="E89" s="325" t="s">
        <v>866</v>
      </c>
      <c r="F89" s="325"/>
      <c r="G89" s="329" t="s">
        <v>127</v>
      </c>
      <c r="H89" s="212"/>
      <c r="I89" s="212"/>
      <c r="J89" s="212"/>
      <c r="K89" s="263"/>
    </row>
    <row r="90" spans="2:11">
      <c r="B90" s="260">
        <v>88</v>
      </c>
      <c r="C90" s="261" t="s">
        <v>424</v>
      </c>
      <c r="D90" s="262" t="s">
        <v>499</v>
      </c>
      <c r="E90" s="212"/>
      <c r="F90" s="212"/>
      <c r="G90" s="212"/>
      <c r="H90" s="212"/>
      <c r="I90" s="212"/>
      <c r="J90" s="212"/>
      <c r="K90" s="263"/>
    </row>
    <row r="91" spans="2:11">
      <c r="B91" s="260">
        <v>89</v>
      </c>
      <c r="C91" s="261" t="s">
        <v>425</v>
      </c>
      <c r="D91" s="326" t="s">
        <v>491</v>
      </c>
      <c r="E91" s="325" t="s">
        <v>866</v>
      </c>
      <c r="F91" s="325"/>
      <c r="G91" s="329" t="s">
        <v>137</v>
      </c>
      <c r="H91" s="212"/>
      <c r="I91" s="212"/>
      <c r="J91" s="212"/>
      <c r="K91" s="263"/>
    </row>
    <row r="92" spans="2:11">
      <c r="B92" s="260">
        <v>47</v>
      </c>
      <c r="C92" s="261" t="s">
        <v>383</v>
      </c>
      <c r="D92" s="264" t="s">
        <v>474</v>
      </c>
      <c r="E92" s="212"/>
      <c r="F92" s="212"/>
      <c r="G92" s="212"/>
      <c r="H92" s="212"/>
      <c r="I92" s="212"/>
      <c r="J92" s="212"/>
      <c r="K92" s="263"/>
    </row>
    <row r="93" spans="2:11">
      <c r="B93" s="260">
        <v>57</v>
      </c>
      <c r="C93" s="261" t="s">
        <v>393</v>
      </c>
      <c r="D93" s="264" t="s">
        <v>474</v>
      </c>
      <c r="E93" s="212"/>
      <c r="F93" s="212"/>
      <c r="G93" s="212"/>
      <c r="H93" s="212"/>
      <c r="I93" s="212"/>
      <c r="J93" s="212"/>
      <c r="K93" s="263"/>
    </row>
    <row r="94" spans="2:11">
      <c r="B94" s="260">
        <v>67</v>
      </c>
      <c r="C94" s="261" t="s">
        <v>403</v>
      </c>
      <c r="D94" s="264" t="s">
        <v>474</v>
      </c>
      <c r="E94" s="212"/>
      <c r="F94" s="212"/>
      <c r="G94" s="212"/>
      <c r="H94" s="212"/>
      <c r="I94" s="212"/>
      <c r="J94" s="212"/>
      <c r="K94" s="263"/>
    </row>
    <row r="95" spans="2:11">
      <c r="B95" s="260">
        <v>77</v>
      </c>
      <c r="C95" s="261" t="s">
        <v>413</v>
      </c>
      <c r="D95" s="264" t="s">
        <v>474</v>
      </c>
      <c r="E95" s="212"/>
      <c r="F95" s="212"/>
      <c r="G95" s="212"/>
      <c r="H95" s="212"/>
      <c r="I95" s="212"/>
      <c r="J95" s="212"/>
      <c r="K95" s="263"/>
    </row>
    <row r="96" spans="2:11">
      <c r="B96" s="260">
        <v>87</v>
      </c>
      <c r="C96" s="261" t="s">
        <v>423</v>
      </c>
      <c r="D96" s="262" t="s">
        <v>474</v>
      </c>
      <c r="E96" s="212"/>
      <c r="F96" s="212"/>
      <c r="G96" s="212"/>
      <c r="H96" s="212"/>
      <c r="I96" s="212"/>
      <c r="J96" s="212"/>
      <c r="K96" s="263"/>
    </row>
    <row r="97" spans="2:11">
      <c r="B97" s="260">
        <v>48</v>
      </c>
      <c r="C97" s="261" t="s">
        <v>384</v>
      </c>
      <c r="D97" s="264" t="s">
        <v>474</v>
      </c>
      <c r="E97" s="212"/>
      <c r="F97" s="212"/>
      <c r="G97" s="212"/>
      <c r="H97" s="212"/>
      <c r="I97" s="212"/>
      <c r="J97" s="212"/>
      <c r="K97" s="263"/>
    </row>
    <row r="98" spans="2:11">
      <c r="B98" s="260">
        <v>58</v>
      </c>
      <c r="C98" s="261" t="s">
        <v>394</v>
      </c>
      <c r="D98" s="264" t="s">
        <v>474</v>
      </c>
      <c r="E98" s="212"/>
      <c r="F98" s="212"/>
      <c r="G98" s="212"/>
      <c r="H98" s="212"/>
      <c r="I98" s="212"/>
      <c r="J98" s="212"/>
      <c r="K98" s="263"/>
    </row>
    <row r="99" spans="2:11">
      <c r="B99" s="260">
        <v>68</v>
      </c>
      <c r="C99" s="261" t="s">
        <v>404</v>
      </c>
      <c r="D99" s="264" t="s">
        <v>474</v>
      </c>
      <c r="E99" s="212"/>
      <c r="F99" s="212"/>
      <c r="G99" s="212"/>
      <c r="H99" s="212"/>
      <c r="I99" s="212"/>
      <c r="J99" s="212"/>
      <c r="K99" s="263"/>
    </row>
    <row r="100" spans="2:11">
      <c r="B100" s="260">
        <v>69</v>
      </c>
      <c r="C100" s="261" t="s">
        <v>405</v>
      </c>
      <c r="D100" s="264" t="s">
        <v>474</v>
      </c>
      <c r="E100" s="212"/>
      <c r="F100" s="212"/>
      <c r="G100" s="212"/>
      <c r="H100" s="212"/>
      <c r="I100" s="212"/>
      <c r="J100" s="212"/>
      <c r="K100" s="263"/>
    </row>
    <row r="101" spans="2:11">
      <c r="B101" s="260">
        <v>70</v>
      </c>
      <c r="C101" s="261" t="s">
        <v>406</v>
      </c>
      <c r="D101" s="264" t="s">
        <v>508</v>
      </c>
      <c r="E101" s="212"/>
      <c r="F101" s="212"/>
      <c r="G101" s="212"/>
      <c r="H101" s="212"/>
      <c r="I101" s="212"/>
      <c r="J101" s="212"/>
      <c r="K101" s="263"/>
    </row>
    <row r="102" spans="2:11">
      <c r="B102" s="260">
        <v>80</v>
      </c>
      <c r="C102" s="261" t="s">
        <v>416</v>
      </c>
      <c r="D102" s="264" t="s">
        <v>510</v>
      </c>
      <c r="E102" s="212"/>
      <c r="F102" s="212"/>
      <c r="G102" s="212"/>
      <c r="H102" s="212"/>
      <c r="I102" s="212"/>
      <c r="J102" s="212"/>
      <c r="K102" s="263"/>
    </row>
    <row r="103" spans="2:11">
      <c r="B103" s="260">
        <v>90</v>
      </c>
      <c r="C103" s="261" t="s">
        <v>426</v>
      </c>
      <c r="D103" s="262" t="s">
        <v>509</v>
      </c>
      <c r="E103" s="212"/>
      <c r="F103" s="212"/>
      <c r="G103" s="212"/>
      <c r="H103" s="212"/>
      <c r="I103" s="212"/>
      <c r="J103" s="212"/>
      <c r="K103" s="263"/>
    </row>
    <row r="104" spans="2:11">
      <c r="B104" s="260">
        <v>106</v>
      </c>
      <c r="C104" s="261" t="s">
        <v>25</v>
      </c>
      <c r="D104" s="262" t="s">
        <v>482</v>
      </c>
      <c r="E104" s="212"/>
      <c r="F104" s="212"/>
      <c r="G104" s="212"/>
      <c r="H104" s="212"/>
      <c r="I104" s="212"/>
      <c r="J104" s="212"/>
      <c r="K104" s="263"/>
    </row>
    <row r="105" spans="2:11">
      <c r="B105" s="260">
        <v>116</v>
      </c>
      <c r="C105" s="261" t="s">
        <v>35</v>
      </c>
      <c r="D105" s="262" t="s">
        <v>482</v>
      </c>
      <c r="E105" s="212"/>
      <c r="F105" s="212"/>
      <c r="G105" s="212"/>
      <c r="H105" s="212"/>
      <c r="I105" s="212"/>
      <c r="J105" s="212"/>
      <c r="K105" s="263"/>
    </row>
    <row r="106" spans="2:11">
      <c r="B106" s="260">
        <v>126</v>
      </c>
      <c r="C106" s="261" t="s">
        <v>45</v>
      </c>
      <c r="D106" s="262" t="s">
        <v>482</v>
      </c>
      <c r="E106" s="212"/>
      <c r="F106" s="212"/>
      <c r="G106" s="212"/>
      <c r="H106" s="212"/>
      <c r="I106" s="212"/>
      <c r="J106" s="212"/>
      <c r="K106" s="263"/>
    </row>
    <row r="107" spans="2:11">
      <c r="B107" s="260">
        <v>136</v>
      </c>
      <c r="C107" s="261" t="s">
        <v>55</v>
      </c>
      <c r="D107" s="262" t="s">
        <v>482</v>
      </c>
      <c r="E107" s="212"/>
      <c r="F107" s="212"/>
      <c r="G107" s="212"/>
      <c r="H107" s="212"/>
      <c r="I107" s="212"/>
      <c r="J107" s="212"/>
      <c r="K107" s="263"/>
    </row>
    <row r="108" spans="2:11">
      <c r="B108" s="260">
        <v>97</v>
      </c>
      <c r="C108" s="261" t="s">
        <v>9</v>
      </c>
      <c r="D108" s="262" t="s">
        <v>482</v>
      </c>
      <c r="E108" s="212"/>
      <c r="F108" s="212"/>
      <c r="G108" s="212"/>
      <c r="H108" s="212"/>
      <c r="I108" s="212"/>
      <c r="J108" s="212"/>
      <c r="K108" s="263"/>
    </row>
    <row r="109" spans="2:11">
      <c r="B109" s="260">
        <v>107</v>
      </c>
      <c r="C109" s="261" t="s">
        <v>26</v>
      </c>
      <c r="D109" s="262" t="s">
        <v>482</v>
      </c>
      <c r="E109" s="212"/>
      <c r="F109" s="212"/>
      <c r="G109" s="212"/>
      <c r="H109" s="212"/>
      <c r="I109" s="212"/>
      <c r="J109" s="212"/>
      <c r="K109" s="263"/>
    </row>
    <row r="110" spans="2:11">
      <c r="B110" s="260">
        <v>98</v>
      </c>
      <c r="C110" s="261" t="s">
        <v>10</v>
      </c>
      <c r="D110" s="262" t="s">
        <v>482</v>
      </c>
      <c r="E110" s="212"/>
      <c r="F110" s="212"/>
      <c r="G110" s="212"/>
      <c r="H110" s="212"/>
      <c r="I110" s="212"/>
      <c r="J110" s="212"/>
      <c r="K110" s="263"/>
    </row>
    <row r="111" spans="2:11">
      <c r="B111" s="260">
        <v>108</v>
      </c>
      <c r="C111" s="261" t="s">
        <v>27</v>
      </c>
      <c r="D111" s="262" t="s">
        <v>482</v>
      </c>
      <c r="E111" s="212"/>
      <c r="F111" s="212"/>
      <c r="G111" s="212"/>
      <c r="H111" s="212"/>
      <c r="I111" s="212"/>
      <c r="J111" s="212"/>
      <c r="K111" s="263"/>
    </row>
    <row r="112" spans="2:11">
      <c r="B112" s="260">
        <v>109</v>
      </c>
      <c r="C112" s="261" t="s">
        <v>28</v>
      </c>
      <c r="D112" s="262" t="s">
        <v>482</v>
      </c>
      <c r="E112" s="212"/>
      <c r="F112" s="212"/>
      <c r="G112" s="212"/>
      <c r="H112" s="212"/>
      <c r="I112" s="212"/>
      <c r="J112" s="212"/>
      <c r="K112" s="263"/>
    </row>
    <row r="113" spans="2:11">
      <c r="B113" s="260">
        <v>100</v>
      </c>
      <c r="C113" s="261" t="s">
        <v>12</v>
      </c>
      <c r="D113" s="262" t="s">
        <v>482</v>
      </c>
      <c r="E113" s="212"/>
      <c r="F113" s="212"/>
      <c r="G113" s="212"/>
      <c r="H113" s="212"/>
      <c r="I113" s="212"/>
      <c r="J113" s="212"/>
      <c r="K113" s="263"/>
    </row>
    <row r="114" spans="2:11">
      <c r="B114" s="260">
        <v>110</v>
      </c>
      <c r="C114" s="261" t="s">
        <v>29</v>
      </c>
      <c r="D114" s="262" t="s">
        <v>482</v>
      </c>
      <c r="E114" s="212"/>
      <c r="F114" s="212"/>
      <c r="G114" s="212"/>
      <c r="H114" s="212"/>
      <c r="I114" s="212"/>
      <c r="J114" s="212"/>
      <c r="K114" s="263"/>
    </row>
    <row r="115" spans="2:11">
      <c r="B115" s="260">
        <v>30</v>
      </c>
      <c r="C115" s="261" t="s">
        <v>366</v>
      </c>
      <c r="D115" s="262" t="s">
        <v>511</v>
      </c>
      <c r="E115" s="212"/>
      <c r="F115" s="212"/>
      <c r="G115" s="212"/>
      <c r="H115" s="212"/>
      <c r="I115" s="212"/>
      <c r="J115" s="212"/>
      <c r="K115" s="263"/>
    </row>
    <row r="116" spans="2:11">
      <c r="B116" s="260">
        <v>29</v>
      </c>
      <c r="C116" s="261" t="s">
        <v>365</v>
      </c>
      <c r="D116" s="326" t="s">
        <v>500</v>
      </c>
      <c r="E116" s="325" t="s">
        <v>866</v>
      </c>
      <c r="F116" s="325"/>
      <c r="G116" s="325" t="s">
        <v>67</v>
      </c>
      <c r="H116" s="212"/>
      <c r="I116" s="212"/>
      <c r="J116" s="212"/>
      <c r="K116" s="263"/>
    </row>
    <row r="117" spans="2:11">
      <c r="B117" s="260">
        <v>39</v>
      </c>
      <c r="C117" s="261" t="s">
        <v>375</v>
      </c>
      <c r="D117" s="326" t="s">
        <v>483</v>
      </c>
      <c r="E117" s="325" t="s">
        <v>866</v>
      </c>
      <c r="F117" s="325"/>
      <c r="G117" s="325" t="s">
        <v>1031</v>
      </c>
      <c r="H117" s="212"/>
      <c r="I117" s="212"/>
      <c r="J117" s="212"/>
      <c r="K117" s="263"/>
    </row>
    <row r="118" spans="2:11">
      <c r="B118" s="260">
        <v>40</v>
      </c>
      <c r="C118" s="261" t="s">
        <v>376</v>
      </c>
      <c r="D118" s="326" t="s">
        <v>492</v>
      </c>
      <c r="E118" s="325" t="s">
        <v>866</v>
      </c>
      <c r="F118" s="325"/>
      <c r="G118" s="325" t="s">
        <v>1032</v>
      </c>
      <c r="H118" s="212"/>
      <c r="I118" s="212"/>
      <c r="J118" s="212"/>
      <c r="K118" s="263"/>
    </row>
    <row r="119" spans="2:11">
      <c r="B119" s="260">
        <v>119</v>
      </c>
      <c r="C119" s="261" t="s">
        <v>38</v>
      </c>
      <c r="D119" s="262" t="s">
        <v>506</v>
      </c>
      <c r="E119" s="325" t="s">
        <v>866</v>
      </c>
      <c r="F119" s="325"/>
      <c r="G119" s="325"/>
      <c r="H119" s="212"/>
      <c r="I119" s="212"/>
      <c r="J119" s="212"/>
      <c r="K119" s="263"/>
    </row>
    <row r="120" spans="2:11">
      <c r="B120" s="260">
        <v>120</v>
      </c>
      <c r="C120" s="261" t="s">
        <v>39</v>
      </c>
      <c r="D120" s="326" t="s">
        <v>496</v>
      </c>
      <c r="E120" s="325" t="s">
        <v>866</v>
      </c>
      <c r="F120" s="325"/>
      <c r="G120" s="329" t="s">
        <v>975</v>
      </c>
      <c r="H120" s="212"/>
      <c r="I120" s="212"/>
      <c r="J120" s="212"/>
      <c r="K120" s="263"/>
    </row>
    <row r="121" spans="2:11">
      <c r="B121" s="42">
        <v>267</v>
      </c>
      <c r="C121" s="21" t="s">
        <v>186</v>
      </c>
      <c r="D121" s="22" t="s">
        <v>485</v>
      </c>
      <c r="E121" s="323" t="s">
        <v>865</v>
      </c>
      <c r="F121" s="323"/>
      <c r="G121" s="320" t="s">
        <v>976</v>
      </c>
      <c r="H121" s="5"/>
      <c r="I121" s="5"/>
      <c r="J121" s="5"/>
      <c r="K121" s="14"/>
    </row>
    <row r="122" spans="2:11">
      <c r="B122" s="42">
        <v>268</v>
      </c>
      <c r="C122" s="21" t="s">
        <v>187</v>
      </c>
      <c r="D122" s="22" t="s">
        <v>494</v>
      </c>
      <c r="E122" s="323" t="s">
        <v>865</v>
      </c>
      <c r="F122" s="323"/>
      <c r="G122" s="320" t="s">
        <v>977</v>
      </c>
      <c r="H122" s="5"/>
      <c r="I122" s="5"/>
      <c r="J122" s="5"/>
      <c r="K122" s="14"/>
    </row>
    <row r="123" spans="2:11">
      <c r="B123" s="42">
        <v>258</v>
      </c>
      <c r="C123" s="21" t="s">
        <v>177</v>
      </c>
      <c r="D123" s="22" t="s">
        <v>493</v>
      </c>
      <c r="E123" s="323"/>
      <c r="F123" s="323"/>
      <c r="G123" s="323"/>
      <c r="H123" s="5"/>
      <c r="I123" s="5"/>
      <c r="J123" s="5"/>
      <c r="K123" s="14"/>
    </row>
    <row r="124" spans="2:11">
      <c r="B124" s="42">
        <v>257</v>
      </c>
      <c r="C124" s="21" t="s">
        <v>176</v>
      </c>
      <c r="D124" s="327" t="s">
        <v>484</v>
      </c>
      <c r="E124" s="323" t="s">
        <v>865</v>
      </c>
      <c r="F124" s="323"/>
      <c r="G124" s="332" t="s">
        <v>127</v>
      </c>
      <c r="H124" s="5"/>
      <c r="I124" s="5"/>
      <c r="J124" s="5"/>
      <c r="K124" s="14"/>
    </row>
    <row r="125" spans="2:11">
      <c r="B125" s="42">
        <v>260</v>
      </c>
      <c r="C125" s="21" t="s">
        <v>179</v>
      </c>
      <c r="D125" s="22" t="s">
        <v>516</v>
      </c>
      <c r="E125" s="323"/>
      <c r="F125" s="323"/>
      <c r="G125" s="323"/>
      <c r="H125" s="5"/>
      <c r="I125" s="5"/>
      <c r="J125" s="5"/>
      <c r="K125" s="14"/>
    </row>
    <row r="126" spans="2:11">
      <c r="B126" s="42">
        <v>259</v>
      </c>
      <c r="C126" s="21" t="s">
        <v>178</v>
      </c>
      <c r="D126" s="327" t="s">
        <v>504</v>
      </c>
      <c r="E126" s="323" t="s">
        <v>865</v>
      </c>
      <c r="F126" s="323"/>
      <c r="G126" s="332" t="s">
        <v>137</v>
      </c>
      <c r="H126" s="5"/>
      <c r="I126" s="5"/>
      <c r="J126" s="5"/>
      <c r="K126" s="14"/>
    </row>
    <row r="127" spans="2:11">
      <c r="B127" s="42">
        <v>206</v>
      </c>
      <c r="C127" s="21" t="s">
        <v>125</v>
      </c>
      <c r="D127" s="22" t="s">
        <v>475</v>
      </c>
      <c r="E127" s="5"/>
      <c r="F127" s="5"/>
      <c r="G127" s="5"/>
      <c r="H127" s="5"/>
      <c r="I127" s="5"/>
      <c r="J127" s="5"/>
      <c r="K127" s="14"/>
    </row>
    <row r="128" spans="2:11">
      <c r="B128" s="42">
        <v>216</v>
      </c>
      <c r="C128" s="21" t="s">
        <v>135</v>
      </c>
      <c r="D128" s="22" t="s">
        <v>475</v>
      </c>
      <c r="E128" s="5"/>
      <c r="F128" s="5"/>
      <c r="G128" s="5"/>
      <c r="H128" s="5"/>
      <c r="I128" s="5"/>
      <c r="J128" s="5"/>
      <c r="K128" s="14"/>
    </row>
    <row r="129" spans="2:11">
      <c r="B129" s="42">
        <v>226</v>
      </c>
      <c r="C129" s="21" t="s">
        <v>145</v>
      </c>
      <c r="D129" s="22" t="s">
        <v>475</v>
      </c>
      <c r="E129" s="5"/>
      <c r="F129" s="5"/>
      <c r="G129" s="5"/>
      <c r="H129" s="5"/>
      <c r="I129" s="5"/>
      <c r="J129" s="5"/>
      <c r="K129" s="14"/>
    </row>
    <row r="130" spans="2:11">
      <c r="B130" s="42">
        <v>236</v>
      </c>
      <c r="C130" s="21" t="s">
        <v>155</v>
      </c>
      <c r="D130" s="22" t="s">
        <v>475</v>
      </c>
      <c r="E130" s="5"/>
      <c r="F130" s="5"/>
      <c r="G130" s="5"/>
      <c r="H130" s="5"/>
      <c r="I130" s="5"/>
      <c r="J130" s="5"/>
      <c r="K130" s="14"/>
    </row>
    <row r="131" spans="2:11">
      <c r="B131" s="42">
        <v>246</v>
      </c>
      <c r="C131" s="21" t="s">
        <v>165</v>
      </c>
      <c r="D131" s="22" t="s">
        <v>475</v>
      </c>
      <c r="E131" s="5"/>
      <c r="F131" s="5"/>
      <c r="G131" s="5"/>
      <c r="H131" s="5"/>
      <c r="I131" s="5"/>
      <c r="J131" s="5"/>
      <c r="K131" s="14"/>
    </row>
    <row r="132" spans="2:11">
      <c r="B132" s="42">
        <v>256</v>
      </c>
      <c r="C132" s="21" t="s">
        <v>175</v>
      </c>
      <c r="D132" s="22" t="s">
        <v>475</v>
      </c>
      <c r="E132" s="5"/>
      <c r="F132" s="5"/>
      <c r="G132" s="5"/>
      <c r="H132" s="5"/>
      <c r="I132" s="5"/>
      <c r="J132" s="5"/>
      <c r="K132" s="14"/>
    </row>
    <row r="133" spans="2:11">
      <c r="B133" s="42">
        <v>237</v>
      </c>
      <c r="C133" s="21" t="s">
        <v>156</v>
      </c>
      <c r="D133" s="22" t="s">
        <v>475</v>
      </c>
      <c r="E133" s="5"/>
      <c r="F133" s="5"/>
      <c r="G133" s="5"/>
      <c r="H133" s="5"/>
      <c r="I133" s="5"/>
      <c r="J133" s="5"/>
      <c r="K133" s="14"/>
    </row>
    <row r="134" spans="2:11">
      <c r="B134" s="42">
        <v>247</v>
      </c>
      <c r="C134" s="21" t="s">
        <v>166</v>
      </c>
      <c r="D134" s="22" t="s">
        <v>475</v>
      </c>
      <c r="E134" s="5"/>
      <c r="F134" s="5"/>
      <c r="G134" s="5"/>
      <c r="H134" s="5"/>
      <c r="I134" s="5"/>
      <c r="J134" s="5"/>
      <c r="K134" s="14"/>
    </row>
    <row r="135" spans="2:11">
      <c r="B135" s="42">
        <v>238</v>
      </c>
      <c r="C135" s="21" t="s">
        <v>157</v>
      </c>
      <c r="D135" s="22" t="s">
        <v>475</v>
      </c>
      <c r="E135" s="5"/>
      <c r="F135" s="5"/>
      <c r="G135" s="5"/>
      <c r="H135" s="5"/>
      <c r="I135" s="5"/>
      <c r="J135" s="5"/>
      <c r="K135" s="14"/>
    </row>
    <row r="136" spans="2:11">
      <c r="B136" s="42">
        <v>248</v>
      </c>
      <c r="C136" s="21" t="s">
        <v>167</v>
      </c>
      <c r="D136" s="22" t="s">
        <v>475</v>
      </c>
      <c r="E136" s="5"/>
      <c r="F136" s="5"/>
      <c r="G136" s="5"/>
      <c r="H136" s="5"/>
      <c r="I136" s="5"/>
      <c r="J136" s="5"/>
      <c r="K136" s="14"/>
    </row>
    <row r="137" spans="2:11">
      <c r="B137" s="42">
        <v>239</v>
      </c>
      <c r="C137" s="21" t="s">
        <v>158</v>
      </c>
      <c r="D137" s="22" t="s">
        <v>475</v>
      </c>
      <c r="E137" s="5"/>
      <c r="F137" s="5"/>
      <c r="G137" s="5"/>
      <c r="H137" s="5"/>
      <c r="I137" s="5"/>
      <c r="J137" s="5"/>
      <c r="K137" s="14"/>
    </row>
    <row r="138" spans="2:11">
      <c r="B138" s="42">
        <v>240</v>
      </c>
      <c r="C138" s="21" t="s">
        <v>159</v>
      </c>
      <c r="D138" s="22" t="s">
        <v>514</v>
      </c>
      <c r="E138" s="5"/>
      <c r="F138" s="5"/>
      <c r="G138" s="5"/>
      <c r="H138" s="5"/>
      <c r="I138" s="5"/>
      <c r="J138" s="5"/>
      <c r="K138" s="14"/>
    </row>
    <row r="139" spans="2:11">
      <c r="B139" s="42">
        <v>250</v>
      </c>
      <c r="C139" s="21" t="s">
        <v>169</v>
      </c>
      <c r="D139" s="22" t="s">
        <v>515</v>
      </c>
      <c r="E139" s="5"/>
      <c r="F139" s="5"/>
      <c r="G139" s="5"/>
      <c r="H139" s="5"/>
      <c r="I139" s="5"/>
      <c r="J139" s="5"/>
      <c r="K139" s="14"/>
    </row>
    <row r="140" spans="2:11">
      <c r="B140" s="42">
        <v>249</v>
      </c>
      <c r="C140" s="21" t="s">
        <v>168</v>
      </c>
      <c r="D140" s="22" t="s">
        <v>503</v>
      </c>
      <c r="E140" s="5"/>
      <c r="F140" s="5"/>
      <c r="G140" s="5"/>
      <c r="H140" s="5"/>
      <c r="I140" s="5"/>
      <c r="J140" s="5"/>
      <c r="K140" s="14"/>
    </row>
    <row r="141" spans="2:11">
      <c r="B141" s="42">
        <v>266</v>
      </c>
      <c r="C141" s="21" t="s">
        <v>185</v>
      </c>
      <c r="D141" s="22" t="s">
        <v>476</v>
      </c>
      <c r="E141" s="5"/>
      <c r="F141" s="5"/>
      <c r="G141" s="5"/>
      <c r="H141" s="5"/>
      <c r="I141" s="5"/>
      <c r="J141" s="5"/>
      <c r="K141" s="14"/>
    </row>
    <row r="142" spans="2:11">
      <c r="B142" s="42">
        <v>276</v>
      </c>
      <c r="C142" s="21" t="s">
        <v>195</v>
      </c>
      <c r="D142" s="22" t="s">
        <v>476</v>
      </c>
      <c r="E142" s="5"/>
      <c r="F142" s="5"/>
      <c r="G142" s="5"/>
      <c r="H142" s="5"/>
      <c r="I142" s="5"/>
      <c r="J142" s="5"/>
      <c r="K142" s="14"/>
    </row>
    <row r="143" spans="2:11">
      <c r="B143" s="42">
        <v>286</v>
      </c>
      <c r="C143" s="21" t="s">
        <v>205</v>
      </c>
      <c r="D143" s="22" t="s">
        <v>476</v>
      </c>
      <c r="E143" s="5"/>
      <c r="F143" s="5"/>
      <c r="G143" s="5"/>
      <c r="H143" s="5"/>
      <c r="I143" s="5"/>
      <c r="J143" s="5"/>
      <c r="K143" s="14"/>
    </row>
    <row r="144" spans="2:11">
      <c r="B144" s="42">
        <v>296</v>
      </c>
      <c r="C144" s="21" t="s">
        <v>215</v>
      </c>
      <c r="D144" s="22" t="s">
        <v>476</v>
      </c>
      <c r="E144" s="5"/>
      <c r="F144" s="5"/>
      <c r="G144" s="5"/>
      <c r="H144" s="5"/>
      <c r="I144" s="5"/>
      <c r="J144" s="5"/>
      <c r="K144" s="14"/>
    </row>
    <row r="145" spans="2:11">
      <c r="B145" s="42">
        <v>306</v>
      </c>
      <c r="C145" s="21" t="s">
        <v>225</v>
      </c>
      <c r="D145" s="22" t="s">
        <v>476</v>
      </c>
      <c r="E145" s="5"/>
      <c r="F145" s="5"/>
      <c r="G145" s="5"/>
      <c r="H145" s="5"/>
      <c r="I145" s="5"/>
      <c r="J145" s="5"/>
      <c r="K145" s="14"/>
    </row>
    <row r="146" spans="2:11">
      <c r="B146" s="42">
        <v>316</v>
      </c>
      <c r="C146" s="21" t="s">
        <v>235</v>
      </c>
      <c r="D146" s="22" t="s">
        <v>476</v>
      </c>
      <c r="E146" s="5"/>
      <c r="F146" s="5"/>
      <c r="G146" s="5"/>
      <c r="H146" s="5"/>
      <c r="I146" s="5"/>
      <c r="J146" s="5"/>
      <c r="K146" s="14"/>
    </row>
    <row r="147" spans="2:11">
      <c r="B147" s="42">
        <v>326</v>
      </c>
      <c r="C147" s="21" t="s">
        <v>245</v>
      </c>
      <c r="D147" s="22" t="s">
        <v>476</v>
      </c>
      <c r="E147" s="5"/>
      <c r="F147" s="5"/>
      <c r="G147" s="5"/>
      <c r="H147" s="5"/>
      <c r="I147" s="5"/>
      <c r="J147" s="5"/>
      <c r="K147" s="14"/>
    </row>
    <row r="148" spans="2:11">
      <c r="B148" s="42">
        <v>328</v>
      </c>
      <c r="C148" s="21" t="s">
        <v>247</v>
      </c>
      <c r="D148" s="22" t="s">
        <v>476</v>
      </c>
      <c r="E148" s="5"/>
      <c r="F148" s="5"/>
      <c r="G148" s="5"/>
      <c r="H148" s="5"/>
      <c r="I148" s="5"/>
      <c r="J148" s="5"/>
      <c r="K148" s="14"/>
    </row>
    <row r="149" spans="2:11">
      <c r="B149" s="42">
        <v>329</v>
      </c>
      <c r="C149" s="21" t="s">
        <v>248</v>
      </c>
      <c r="D149" s="22" t="s">
        <v>476</v>
      </c>
      <c r="E149" s="5"/>
      <c r="F149" s="5"/>
      <c r="G149" s="5"/>
      <c r="H149" s="5"/>
      <c r="I149" s="5"/>
      <c r="J149" s="5"/>
      <c r="K149" s="14"/>
    </row>
    <row r="150" spans="2:11">
      <c r="B150" s="42">
        <v>330</v>
      </c>
      <c r="C150" s="21" t="s">
        <v>249</v>
      </c>
      <c r="D150" s="22" t="s">
        <v>476</v>
      </c>
      <c r="E150" s="5"/>
      <c r="F150" s="5"/>
      <c r="G150" s="5"/>
      <c r="H150" s="5"/>
      <c r="I150" s="5"/>
      <c r="J150" s="5"/>
      <c r="K150" s="14"/>
    </row>
    <row r="151" spans="2:11" ht="16.5" thickBot="1">
      <c r="B151" s="42">
        <v>219</v>
      </c>
      <c r="C151" s="21" t="s">
        <v>138</v>
      </c>
      <c r="D151" s="22" t="s">
        <v>501</v>
      </c>
      <c r="E151" s="5"/>
      <c r="F151" s="5"/>
      <c r="G151" s="5"/>
      <c r="H151" s="5"/>
      <c r="I151" s="5"/>
      <c r="J151" s="5"/>
      <c r="K151" s="14"/>
    </row>
    <row r="152" spans="2:11">
      <c r="B152" s="42">
        <v>220</v>
      </c>
      <c r="C152" s="21" t="s">
        <v>139</v>
      </c>
      <c r="D152" s="327" t="s">
        <v>512</v>
      </c>
      <c r="E152" s="322" t="s">
        <v>865</v>
      </c>
      <c r="F152" s="323"/>
      <c r="G152" s="320" t="s">
        <v>67</v>
      </c>
      <c r="H152" s="5"/>
      <c r="I152" s="5"/>
      <c r="J152" s="5"/>
      <c r="K152" s="14"/>
    </row>
    <row r="153" spans="2:11">
      <c r="B153" s="42">
        <v>229</v>
      </c>
      <c r="C153" s="21" t="s">
        <v>148</v>
      </c>
      <c r="D153" s="327" t="s">
        <v>502</v>
      </c>
      <c r="E153" s="323" t="s">
        <v>865</v>
      </c>
      <c r="F153" s="323"/>
      <c r="G153" s="332" t="s">
        <v>1031</v>
      </c>
      <c r="H153" s="5"/>
      <c r="I153" s="5"/>
      <c r="J153" s="5"/>
      <c r="K153" s="14"/>
    </row>
    <row r="154" spans="2:11">
      <c r="B154" s="42">
        <v>230</v>
      </c>
      <c r="C154" s="21" t="s">
        <v>149</v>
      </c>
      <c r="D154" s="327" t="s">
        <v>513</v>
      </c>
      <c r="E154" s="323" t="s">
        <v>865</v>
      </c>
      <c r="F154" s="323"/>
      <c r="G154" s="332" t="s">
        <v>1032</v>
      </c>
      <c r="H154" s="5"/>
      <c r="I154" s="5"/>
      <c r="J154" s="5"/>
      <c r="K154" s="14"/>
    </row>
    <row r="155" spans="2:11">
      <c r="B155" s="42">
        <v>269</v>
      </c>
      <c r="C155" s="21" t="s">
        <v>188</v>
      </c>
      <c r="D155" s="390" t="s">
        <v>517</v>
      </c>
      <c r="E155" s="323" t="s">
        <v>865</v>
      </c>
      <c r="F155" s="323"/>
      <c r="G155" s="396" t="s">
        <v>317</v>
      </c>
      <c r="H155" s="5"/>
      <c r="I155" s="5"/>
      <c r="J155" s="5"/>
      <c r="K155" s="14"/>
    </row>
    <row r="156" spans="2:11">
      <c r="B156" s="42">
        <v>270</v>
      </c>
      <c r="C156" s="21" t="s">
        <v>189</v>
      </c>
      <c r="D156" s="327" t="s">
        <v>505</v>
      </c>
      <c r="E156" s="323" t="s">
        <v>865</v>
      </c>
      <c r="F156" s="323"/>
      <c r="G156" s="320" t="s">
        <v>975</v>
      </c>
      <c r="H156" s="5"/>
      <c r="I156" s="5"/>
      <c r="J156" s="5"/>
      <c r="K156" s="14"/>
    </row>
    <row r="157" spans="2:11">
      <c r="B157" s="260">
        <v>400</v>
      </c>
      <c r="C157" s="261" t="s">
        <v>319</v>
      </c>
      <c r="D157" s="262" t="s">
        <v>709</v>
      </c>
      <c r="E157" s="325" t="s">
        <v>866</v>
      </c>
      <c r="F157" s="212"/>
      <c r="G157" s="325" t="s">
        <v>123</v>
      </c>
      <c r="H157" s="340" t="s">
        <v>899</v>
      </c>
      <c r="I157" s="212"/>
      <c r="J157" s="212"/>
      <c r="K157" s="263"/>
    </row>
    <row r="158" spans="2:11">
      <c r="B158" s="260">
        <v>399</v>
      </c>
      <c r="C158" s="261" t="s">
        <v>318</v>
      </c>
      <c r="D158" s="262" t="s">
        <v>687</v>
      </c>
      <c r="E158" s="325" t="s">
        <v>866</v>
      </c>
      <c r="F158" s="212"/>
      <c r="G158" s="325" t="s">
        <v>133</v>
      </c>
      <c r="H158" s="13" t="s">
        <v>899</v>
      </c>
      <c r="I158" s="212"/>
      <c r="J158" s="212"/>
      <c r="K158" s="263"/>
    </row>
    <row r="159" spans="2:11">
      <c r="B159" s="260">
        <v>398</v>
      </c>
      <c r="C159" s="261" t="s">
        <v>317</v>
      </c>
      <c r="D159" s="262" t="s">
        <v>665</v>
      </c>
      <c r="E159" s="325" t="s">
        <v>866</v>
      </c>
      <c r="F159" s="212"/>
      <c r="G159" s="325" t="s">
        <v>142</v>
      </c>
      <c r="H159" s="13" t="s">
        <v>899</v>
      </c>
      <c r="I159" s="212"/>
      <c r="J159" s="212"/>
      <c r="K159" s="263"/>
    </row>
    <row r="160" spans="2:11">
      <c r="B160" s="260">
        <v>397</v>
      </c>
      <c r="C160" s="261" t="s">
        <v>316</v>
      </c>
      <c r="D160" s="262" t="s">
        <v>642</v>
      </c>
      <c r="E160" s="325" t="s">
        <v>866</v>
      </c>
      <c r="F160" s="212"/>
      <c r="G160" s="325" t="s">
        <v>152</v>
      </c>
      <c r="H160" s="13" t="s">
        <v>899</v>
      </c>
      <c r="I160" s="212"/>
      <c r="J160" s="212"/>
      <c r="K160" s="263"/>
    </row>
    <row r="161" spans="2:11">
      <c r="B161" s="260">
        <v>366</v>
      </c>
      <c r="C161" s="261" t="s">
        <v>285</v>
      </c>
      <c r="D161" s="262" t="s">
        <v>618</v>
      </c>
      <c r="E161" s="325" t="s">
        <v>866</v>
      </c>
      <c r="F161" s="212"/>
      <c r="G161" s="325" t="s">
        <v>102</v>
      </c>
      <c r="H161" s="13" t="s">
        <v>899</v>
      </c>
      <c r="I161" s="212"/>
      <c r="J161" s="212"/>
      <c r="K161" s="263"/>
    </row>
    <row r="162" spans="2:11">
      <c r="B162" s="260">
        <v>376</v>
      </c>
      <c r="C162" s="261" t="s">
        <v>295</v>
      </c>
      <c r="D162" s="262" t="s">
        <v>619</v>
      </c>
      <c r="E162" s="325" t="s">
        <v>866</v>
      </c>
      <c r="F162" s="212"/>
      <c r="G162" s="325" t="s">
        <v>112</v>
      </c>
      <c r="H162" s="13" t="s">
        <v>899</v>
      </c>
      <c r="I162" s="212"/>
      <c r="J162" s="212"/>
      <c r="K162" s="263"/>
    </row>
    <row r="163" spans="2:11">
      <c r="B163" s="260">
        <v>390</v>
      </c>
      <c r="C163" s="261" t="s">
        <v>309</v>
      </c>
      <c r="D163" s="262" t="s">
        <v>708</v>
      </c>
      <c r="E163" s="325" t="s">
        <v>866</v>
      </c>
      <c r="F163" s="212"/>
      <c r="G163" s="325" t="s">
        <v>161</v>
      </c>
      <c r="H163" s="13" t="s">
        <v>899</v>
      </c>
      <c r="I163" s="212"/>
      <c r="J163" s="212"/>
      <c r="K163" s="263"/>
    </row>
    <row r="164" spans="2:11">
      <c r="B164" s="260">
        <v>389</v>
      </c>
      <c r="C164" s="261" t="s">
        <v>308</v>
      </c>
      <c r="D164" s="262" t="s">
        <v>686</v>
      </c>
      <c r="E164" s="325" t="s">
        <v>866</v>
      </c>
      <c r="F164" s="212"/>
      <c r="G164" s="325" t="s">
        <v>171</v>
      </c>
      <c r="H164" s="13" t="s">
        <v>899</v>
      </c>
      <c r="I164" s="212"/>
      <c r="J164" s="212"/>
      <c r="K164" s="263"/>
    </row>
    <row r="165" spans="2:11">
      <c r="B165" s="260">
        <v>370</v>
      </c>
      <c r="C165" s="261" t="s">
        <v>289</v>
      </c>
      <c r="D165" s="262" t="s">
        <v>706</v>
      </c>
      <c r="E165" s="325" t="s">
        <v>866</v>
      </c>
      <c r="F165" s="212"/>
      <c r="G165" s="325" t="s">
        <v>165</v>
      </c>
      <c r="H165" s="13" t="s">
        <v>899</v>
      </c>
      <c r="I165" s="212"/>
      <c r="J165" s="212"/>
      <c r="K165" s="263"/>
    </row>
    <row r="166" spans="2:11">
      <c r="B166" s="260">
        <v>369</v>
      </c>
      <c r="C166" s="261" t="s">
        <v>288</v>
      </c>
      <c r="D166" s="262" t="s">
        <v>684</v>
      </c>
      <c r="E166" s="325" t="s">
        <v>866</v>
      </c>
      <c r="F166" s="212"/>
      <c r="G166" s="325" t="s">
        <v>175</v>
      </c>
      <c r="H166" s="13" t="s">
        <v>899</v>
      </c>
      <c r="I166" s="212"/>
      <c r="J166" s="212"/>
      <c r="K166" s="263"/>
    </row>
    <row r="167" spans="2:11">
      <c r="B167" s="260">
        <v>377</v>
      </c>
      <c r="C167" s="261" t="s">
        <v>296</v>
      </c>
      <c r="D167" s="262" t="s">
        <v>641</v>
      </c>
      <c r="E167" s="325" t="s">
        <v>866</v>
      </c>
      <c r="F167" s="212"/>
      <c r="G167" s="325" t="s">
        <v>125</v>
      </c>
      <c r="H167" s="13" t="s">
        <v>899</v>
      </c>
      <c r="I167" s="212"/>
      <c r="J167" s="212"/>
      <c r="K167" s="263"/>
    </row>
    <row r="168" spans="2:11">
      <c r="B168" s="260">
        <v>378</v>
      </c>
      <c r="C168" s="261" t="s">
        <v>297</v>
      </c>
      <c r="D168" s="262" t="s">
        <v>664</v>
      </c>
      <c r="E168" s="325" t="s">
        <v>866</v>
      </c>
      <c r="F168" s="212"/>
      <c r="G168" s="325" t="s">
        <v>135</v>
      </c>
      <c r="H168" s="13" t="s">
        <v>899</v>
      </c>
      <c r="I168" s="212"/>
      <c r="J168" s="212"/>
      <c r="K168" s="263"/>
    </row>
    <row r="169" spans="2:11">
      <c r="B169" s="260">
        <v>367</v>
      </c>
      <c r="C169" s="261" t="s">
        <v>286</v>
      </c>
      <c r="D169" s="262" t="s">
        <v>640</v>
      </c>
      <c r="E169" s="325" t="s">
        <v>866</v>
      </c>
      <c r="F169" s="212"/>
      <c r="G169" s="325" t="s">
        <v>144</v>
      </c>
      <c r="H169" s="13" t="s">
        <v>899</v>
      </c>
      <c r="I169" s="212"/>
      <c r="J169" s="212"/>
      <c r="K169" s="263"/>
    </row>
    <row r="170" spans="2:11">
      <c r="B170" s="260">
        <v>368</v>
      </c>
      <c r="C170" s="261" t="s">
        <v>287</v>
      </c>
      <c r="D170" s="262" t="s">
        <v>663</v>
      </c>
      <c r="E170" s="325" t="s">
        <v>866</v>
      </c>
      <c r="F170" s="212"/>
      <c r="G170" s="325" t="s">
        <v>154</v>
      </c>
      <c r="H170" s="13" t="s">
        <v>899</v>
      </c>
      <c r="I170" s="212"/>
      <c r="J170" s="212"/>
      <c r="K170" s="263"/>
    </row>
    <row r="171" spans="2:11">
      <c r="B171" s="260">
        <v>380</v>
      </c>
      <c r="C171" s="261" t="s">
        <v>299</v>
      </c>
      <c r="D171" s="262" t="s">
        <v>707</v>
      </c>
      <c r="E171" s="325" t="s">
        <v>866</v>
      </c>
      <c r="F171" s="212"/>
      <c r="G171" s="325" t="s">
        <v>104</v>
      </c>
      <c r="H171" s="13" t="s">
        <v>899</v>
      </c>
      <c r="I171" s="212"/>
      <c r="J171" s="212"/>
      <c r="K171" s="263"/>
    </row>
    <row r="172" spans="2:11">
      <c r="B172" s="260">
        <v>379</v>
      </c>
      <c r="C172" s="261" t="s">
        <v>298</v>
      </c>
      <c r="D172" s="262" t="s">
        <v>685</v>
      </c>
      <c r="E172" s="325" t="s">
        <v>866</v>
      </c>
      <c r="F172" s="212"/>
      <c r="G172" s="325" t="s">
        <v>114</v>
      </c>
      <c r="H172" s="13" t="s">
        <v>899</v>
      </c>
      <c r="I172" s="212"/>
      <c r="J172" s="212"/>
      <c r="K172" s="263"/>
    </row>
    <row r="173" spans="2:11">
      <c r="B173" s="260">
        <v>394</v>
      </c>
      <c r="C173" s="261" t="s">
        <v>313</v>
      </c>
      <c r="D173" s="262" t="s">
        <v>599</v>
      </c>
      <c r="E173" s="325" t="s">
        <v>866</v>
      </c>
      <c r="F173" s="212"/>
      <c r="G173" s="325" t="s">
        <v>43</v>
      </c>
      <c r="H173" s="338" t="s">
        <v>910</v>
      </c>
      <c r="I173" s="212"/>
      <c r="J173" s="212"/>
      <c r="K173" s="263"/>
    </row>
    <row r="174" spans="2:11">
      <c r="B174" s="260">
        <v>384</v>
      </c>
      <c r="C174" s="261" t="s">
        <v>303</v>
      </c>
      <c r="D174" s="262" t="s">
        <v>598</v>
      </c>
      <c r="E174" s="325" t="s">
        <v>866</v>
      </c>
      <c r="F174" s="212"/>
      <c r="G174" s="325" t="s">
        <v>53</v>
      </c>
      <c r="H174" s="303" t="s">
        <v>910</v>
      </c>
      <c r="I174" s="212"/>
      <c r="J174" s="212"/>
      <c r="K174" s="263"/>
    </row>
    <row r="175" spans="2:11">
      <c r="B175" s="260">
        <v>374</v>
      </c>
      <c r="C175" s="261" t="s">
        <v>293</v>
      </c>
      <c r="D175" s="262" t="s">
        <v>597</v>
      </c>
      <c r="E175" s="325" t="s">
        <v>866</v>
      </c>
      <c r="F175" s="212"/>
      <c r="G175" s="325" t="s">
        <v>62</v>
      </c>
      <c r="H175" s="303" t="s">
        <v>910</v>
      </c>
      <c r="I175" s="212"/>
      <c r="J175" s="212"/>
      <c r="K175" s="263"/>
    </row>
    <row r="176" spans="2:11">
      <c r="B176" s="260">
        <v>364</v>
      </c>
      <c r="C176" s="261" t="s">
        <v>283</v>
      </c>
      <c r="D176" s="262" t="s">
        <v>596</v>
      </c>
      <c r="E176" s="325" t="s">
        <v>866</v>
      </c>
      <c r="F176" s="212"/>
      <c r="G176" s="325" t="s">
        <v>72</v>
      </c>
      <c r="H176" s="303" t="s">
        <v>910</v>
      </c>
      <c r="I176" s="212"/>
      <c r="J176" s="212"/>
      <c r="K176" s="263"/>
    </row>
    <row r="177" spans="2:11">
      <c r="B177" s="260">
        <v>375</v>
      </c>
      <c r="C177" s="261" t="s">
        <v>294</v>
      </c>
      <c r="D177" s="262" t="s">
        <v>609</v>
      </c>
      <c r="E177" s="325" t="s">
        <v>866</v>
      </c>
      <c r="F177" s="212"/>
      <c r="G177" s="325" t="s">
        <v>22</v>
      </c>
      <c r="H177" s="303" t="s">
        <v>910</v>
      </c>
      <c r="I177" s="212"/>
      <c r="J177" s="212"/>
      <c r="K177" s="263"/>
    </row>
    <row r="178" spans="2:11">
      <c r="B178" s="260">
        <v>365</v>
      </c>
      <c r="C178" s="261" t="s">
        <v>284</v>
      </c>
      <c r="D178" s="262" t="s">
        <v>608</v>
      </c>
      <c r="E178" s="325" t="s">
        <v>866</v>
      </c>
      <c r="F178" s="212"/>
      <c r="G178" s="325" t="s">
        <v>32</v>
      </c>
      <c r="H178" s="303" t="s">
        <v>910</v>
      </c>
      <c r="I178" s="212"/>
      <c r="J178" s="212"/>
      <c r="K178" s="263"/>
    </row>
    <row r="179" spans="2:11">
      <c r="B179" s="260">
        <v>373</v>
      </c>
      <c r="C179" s="261" t="s">
        <v>292</v>
      </c>
      <c r="D179" s="262" t="s">
        <v>576</v>
      </c>
      <c r="E179" s="325" t="s">
        <v>866</v>
      </c>
      <c r="F179" s="212"/>
      <c r="G179" s="325" t="s">
        <v>81</v>
      </c>
      <c r="H179" s="303" t="s">
        <v>910</v>
      </c>
      <c r="I179" s="212"/>
      <c r="J179" s="212"/>
      <c r="K179" s="263"/>
    </row>
    <row r="180" spans="2:11">
      <c r="B180" s="260">
        <v>363</v>
      </c>
      <c r="C180" s="261" t="s">
        <v>282</v>
      </c>
      <c r="D180" s="262" t="s">
        <v>575</v>
      </c>
      <c r="E180" s="325" t="s">
        <v>866</v>
      </c>
      <c r="F180" s="212"/>
      <c r="G180" s="325" t="s">
        <v>91</v>
      </c>
      <c r="H180" s="303" t="s">
        <v>910</v>
      </c>
      <c r="I180" s="212"/>
      <c r="J180" s="212"/>
      <c r="K180" s="263"/>
    </row>
    <row r="181" spans="2:11">
      <c r="B181" s="260">
        <v>391</v>
      </c>
      <c r="C181" s="261" t="s">
        <v>310</v>
      </c>
      <c r="D181" s="262" t="s">
        <v>533</v>
      </c>
      <c r="E181" s="325" t="s">
        <v>866</v>
      </c>
      <c r="F181" s="212"/>
      <c r="G181" s="325" t="s">
        <v>85</v>
      </c>
      <c r="H181" s="303" t="s">
        <v>910</v>
      </c>
      <c r="I181" s="212"/>
      <c r="J181" s="212"/>
      <c r="K181" s="263"/>
    </row>
    <row r="182" spans="2:11">
      <c r="B182" s="260">
        <v>381</v>
      </c>
      <c r="C182" s="261" t="s">
        <v>300</v>
      </c>
      <c r="D182" s="262" t="s">
        <v>532</v>
      </c>
      <c r="E182" s="325" t="s">
        <v>866</v>
      </c>
      <c r="F182" s="212"/>
      <c r="G182" s="325" t="s">
        <v>95</v>
      </c>
      <c r="H182" s="303" t="s">
        <v>910</v>
      </c>
      <c r="I182" s="212"/>
      <c r="J182" s="212"/>
      <c r="K182" s="263"/>
    </row>
    <row r="183" spans="2:11">
      <c r="B183" s="260">
        <v>371</v>
      </c>
      <c r="C183" s="261" t="s">
        <v>290</v>
      </c>
      <c r="D183" s="262" t="s">
        <v>531</v>
      </c>
      <c r="E183" s="325" t="s">
        <v>866</v>
      </c>
      <c r="F183" s="212"/>
      <c r="G183" s="325" t="s">
        <v>45</v>
      </c>
      <c r="H183" s="303" t="s">
        <v>910</v>
      </c>
      <c r="I183" s="212"/>
      <c r="J183" s="212"/>
      <c r="K183" s="263"/>
    </row>
    <row r="184" spans="2:11">
      <c r="B184" s="260">
        <v>361</v>
      </c>
      <c r="C184" s="261" t="s">
        <v>280</v>
      </c>
      <c r="D184" s="262" t="s">
        <v>530</v>
      </c>
      <c r="E184" s="325" t="s">
        <v>866</v>
      </c>
      <c r="F184" s="212"/>
      <c r="G184" s="325" t="s">
        <v>55</v>
      </c>
      <c r="H184" s="303" t="s">
        <v>910</v>
      </c>
      <c r="I184" s="212"/>
      <c r="J184" s="212"/>
      <c r="K184" s="263"/>
    </row>
    <row r="185" spans="2:11">
      <c r="B185" s="260">
        <v>372</v>
      </c>
      <c r="C185" s="261" t="s">
        <v>291</v>
      </c>
      <c r="D185" s="262" t="s">
        <v>551</v>
      </c>
      <c r="E185" s="325" t="s">
        <v>866</v>
      </c>
      <c r="F185" s="212"/>
      <c r="G185" s="325" t="s">
        <v>64</v>
      </c>
      <c r="H185" s="303" t="s">
        <v>910</v>
      </c>
      <c r="I185" s="212"/>
      <c r="J185" s="212"/>
      <c r="K185" s="263"/>
    </row>
    <row r="186" spans="2:11">
      <c r="B186" s="260">
        <v>362</v>
      </c>
      <c r="C186" s="261" t="s">
        <v>281</v>
      </c>
      <c r="D186" s="262" t="s">
        <v>550</v>
      </c>
      <c r="E186" s="325" t="s">
        <v>866</v>
      </c>
      <c r="F186" s="212"/>
      <c r="G186" s="325" t="s">
        <v>74</v>
      </c>
      <c r="H186" s="303" t="s">
        <v>910</v>
      </c>
      <c r="I186" s="212"/>
      <c r="J186" s="212"/>
      <c r="K186" s="263"/>
    </row>
    <row r="187" spans="2:11">
      <c r="B187" s="260">
        <v>354</v>
      </c>
      <c r="C187" s="261" t="s">
        <v>273</v>
      </c>
      <c r="D187" s="262" t="s">
        <v>595</v>
      </c>
      <c r="E187" s="325" t="s">
        <v>866</v>
      </c>
      <c r="F187" s="212"/>
      <c r="G187" s="325" t="s">
        <v>24</v>
      </c>
      <c r="H187" s="303" t="s">
        <v>910</v>
      </c>
      <c r="I187" s="212"/>
      <c r="J187" s="212"/>
      <c r="K187" s="263"/>
    </row>
    <row r="188" spans="2:11">
      <c r="B188" s="260">
        <v>353</v>
      </c>
      <c r="C188" s="261" t="s">
        <v>272</v>
      </c>
      <c r="D188" s="262" t="s">
        <v>574</v>
      </c>
      <c r="E188" s="325" t="s">
        <v>866</v>
      </c>
      <c r="F188" s="212"/>
      <c r="G188" s="325" t="s">
        <v>34</v>
      </c>
      <c r="H188" s="303" t="s">
        <v>910</v>
      </c>
      <c r="I188" s="212"/>
      <c r="J188" s="212"/>
      <c r="K188" s="263"/>
    </row>
    <row r="189" spans="2:11">
      <c r="B189" s="42">
        <v>93</v>
      </c>
      <c r="C189" s="258" t="s">
        <v>5</v>
      </c>
      <c r="D189" s="257" t="s">
        <v>558</v>
      </c>
      <c r="E189" s="324" t="s">
        <v>865</v>
      </c>
      <c r="F189" s="13"/>
      <c r="G189" s="324" t="s">
        <v>123</v>
      </c>
      <c r="H189" s="339" t="s">
        <v>888</v>
      </c>
      <c r="I189" s="13"/>
      <c r="J189" s="13"/>
      <c r="K189" s="20"/>
    </row>
    <row r="190" spans="2:11">
      <c r="B190" s="42">
        <v>94</v>
      </c>
      <c r="C190" s="258" t="s">
        <v>6</v>
      </c>
      <c r="D190" s="257" t="s">
        <v>583</v>
      </c>
      <c r="E190" s="324" t="s">
        <v>865</v>
      </c>
      <c r="F190" s="13"/>
      <c r="G190" s="324" t="s">
        <v>133</v>
      </c>
      <c r="H190" s="13" t="s">
        <v>888</v>
      </c>
      <c r="I190" s="13"/>
      <c r="J190" s="13"/>
      <c r="K190" s="20"/>
    </row>
    <row r="191" spans="2:11">
      <c r="B191" s="42">
        <v>103</v>
      </c>
      <c r="C191" s="258" t="s">
        <v>22</v>
      </c>
      <c r="D191" s="257" t="s">
        <v>559</v>
      </c>
      <c r="E191" s="324" t="s">
        <v>865</v>
      </c>
      <c r="F191" s="13"/>
      <c r="G191" s="324" t="s">
        <v>142</v>
      </c>
      <c r="H191" s="13" t="s">
        <v>888</v>
      </c>
      <c r="I191" s="13"/>
      <c r="J191" s="13"/>
      <c r="K191" s="20"/>
    </row>
    <row r="192" spans="2:11">
      <c r="B192" s="42">
        <v>104</v>
      </c>
      <c r="C192" s="258" t="s">
        <v>23</v>
      </c>
      <c r="D192" s="257" t="s">
        <v>584</v>
      </c>
      <c r="E192" s="324" t="s">
        <v>865</v>
      </c>
      <c r="F192" s="13"/>
      <c r="G192" s="324" t="s">
        <v>152</v>
      </c>
      <c r="H192" s="13" t="s">
        <v>888</v>
      </c>
      <c r="I192" s="13"/>
      <c r="J192" s="13"/>
      <c r="K192" s="20"/>
    </row>
    <row r="193" spans="2:11">
      <c r="B193" s="42">
        <v>101</v>
      </c>
      <c r="C193" s="258" t="s">
        <v>20</v>
      </c>
      <c r="D193" s="257" t="s">
        <v>522</v>
      </c>
      <c r="E193" s="324" t="s">
        <v>865</v>
      </c>
      <c r="F193" s="13"/>
      <c r="G193" s="324" t="s">
        <v>102</v>
      </c>
      <c r="H193" s="13" t="s">
        <v>888</v>
      </c>
      <c r="I193" s="13"/>
      <c r="J193" s="13"/>
      <c r="K193" s="20"/>
    </row>
    <row r="194" spans="2:11">
      <c r="B194" s="42">
        <v>102</v>
      </c>
      <c r="C194" s="258" t="s">
        <v>21</v>
      </c>
      <c r="D194" s="257" t="s">
        <v>538</v>
      </c>
      <c r="E194" s="324" t="s">
        <v>865</v>
      </c>
      <c r="F194" s="13"/>
      <c r="G194" s="324" t="s">
        <v>112</v>
      </c>
      <c r="H194" s="13" t="s">
        <v>888</v>
      </c>
      <c r="I194" s="13"/>
      <c r="J194" s="13"/>
      <c r="K194" s="20"/>
    </row>
    <row r="195" spans="2:11">
      <c r="B195" s="260">
        <v>95</v>
      </c>
      <c r="C195" s="261" t="s">
        <v>7</v>
      </c>
      <c r="D195" s="262" t="s">
        <v>602</v>
      </c>
      <c r="E195" s="325" t="s">
        <v>865</v>
      </c>
      <c r="F195" s="212"/>
      <c r="G195" s="325" t="s">
        <v>161</v>
      </c>
      <c r="H195" s="13" t="s">
        <v>888</v>
      </c>
      <c r="I195" s="212"/>
      <c r="J195" s="212"/>
      <c r="K195" s="263"/>
    </row>
    <row r="196" spans="2:11">
      <c r="B196" s="260">
        <v>96</v>
      </c>
      <c r="C196" s="261" t="s">
        <v>8</v>
      </c>
      <c r="D196" s="262" t="s">
        <v>616</v>
      </c>
      <c r="E196" s="325" t="s">
        <v>865</v>
      </c>
      <c r="F196" s="212"/>
      <c r="G196" s="325" t="s">
        <v>171</v>
      </c>
      <c r="H196" s="13" t="s">
        <v>888</v>
      </c>
      <c r="I196" s="212"/>
      <c r="J196" s="212"/>
      <c r="K196" s="263"/>
    </row>
    <row r="197" spans="2:11">
      <c r="B197" s="42">
        <v>86</v>
      </c>
      <c r="C197" s="258" t="s">
        <v>422</v>
      </c>
      <c r="D197" s="257" t="s">
        <v>615</v>
      </c>
      <c r="E197" s="324" t="s">
        <v>865</v>
      </c>
      <c r="F197" s="13"/>
      <c r="G197" s="324" t="s">
        <v>165</v>
      </c>
      <c r="H197" s="13" t="s">
        <v>888</v>
      </c>
      <c r="I197" s="13"/>
      <c r="J197" s="13"/>
      <c r="K197" s="20"/>
    </row>
    <row r="198" spans="2:11">
      <c r="B198" s="42">
        <v>85</v>
      </c>
      <c r="C198" s="258" t="s">
        <v>421</v>
      </c>
      <c r="D198" s="257" t="s">
        <v>601</v>
      </c>
      <c r="E198" s="324" t="s">
        <v>865</v>
      </c>
      <c r="F198" s="13"/>
      <c r="G198" s="324" t="s">
        <v>175</v>
      </c>
      <c r="H198" s="13" t="s">
        <v>888</v>
      </c>
      <c r="I198" s="13"/>
      <c r="J198" s="13"/>
      <c r="K198" s="20"/>
    </row>
    <row r="199" spans="2:11">
      <c r="B199" s="42">
        <v>76</v>
      </c>
      <c r="C199" s="258" t="s">
        <v>412</v>
      </c>
      <c r="D199" s="271" t="s">
        <v>614</v>
      </c>
      <c r="E199" s="324" t="s">
        <v>865</v>
      </c>
      <c r="F199" s="13"/>
      <c r="G199" s="324" t="s">
        <v>125</v>
      </c>
      <c r="H199" s="13" t="s">
        <v>888</v>
      </c>
      <c r="I199" s="13"/>
      <c r="J199" s="13"/>
      <c r="K199" s="20"/>
    </row>
    <row r="200" spans="2:11">
      <c r="B200" s="42">
        <v>75</v>
      </c>
      <c r="C200" s="258" t="s">
        <v>411</v>
      </c>
      <c r="D200" s="271" t="s">
        <v>600</v>
      </c>
      <c r="E200" s="324" t="s">
        <v>865</v>
      </c>
      <c r="F200" s="13"/>
      <c r="G200" s="324" t="s">
        <v>135</v>
      </c>
      <c r="H200" s="13" t="s">
        <v>888</v>
      </c>
      <c r="I200" s="13"/>
      <c r="J200" s="13"/>
      <c r="K200" s="20"/>
    </row>
    <row r="201" spans="2:11">
      <c r="B201" s="42">
        <v>74</v>
      </c>
      <c r="C201" s="258" t="s">
        <v>410</v>
      </c>
      <c r="D201" s="271" t="s">
        <v>581</v>
      </c>
      <c r="E201" s="324" t="s">
        <v>865</v>
      </c>
      <c r="F201" s="13"/>
      <c r="G201" s="324" t="s">
        <v>144</v>
      </c>
      <c r="H201" s="13" t="s">
        <v>888</v>
      </c>
      <c r="I201" s="13"/>
      <c r="J201" s="13"/>
      <c r="K201" s="20"/>
    </row>
    <row r="202" spans="2:11">
      <c r="B202" s="42">
        <v>73</v>
      </c>
      <c r="C202" s="258" t="s">
        <v>409</v>
      </c>
      <c r="D202" s="271" t="s">
        <v>556</v>
      </c>
      <c r="E202" s="324" t="s">
        <v>865</v>
      </c>
      <c r="F202" s="13"/>
      <c r="G202" s="324" t="s">
        <v>154</v>
      </c>
      <c r="H202" s="13" t="s">
        <v>888</v>
      </c>
      <c r="I202" s="13"/>
      <c r="J202" s="13"/>
      <c r="K202" s="20"/>
    </row>
    <row r="203" spans="2:11">
      <c r="B203" s="260">
        <v>83</v>
      </c>
      <c r="C203" s="261" t="s">
        <v>419</v>
      </c>
      <c r="D203" s="262" t="s">
        <v>557</v>
      </c>
      <c r="E203" s="325" t="s">
        <v>865</v>
      </c>
      <c r="F203" s="212"/>
      <c r="G203" s="325" t="s">
        <v>104</v>
      </c>
      <c r="H203" s="13" t="s">
        <v>888</v>
      </c>
      <c r="I203" s="212"/>
      <c r="J203" s="212"/>
      <c r="K203" s="263"/>
    </row>
    <row r="204" spans="2:11">
      <c r="B204" s="260">
        <v>84</v>
      </c>
      <c r="C204" s="261" t="s">
        <v>420</v>
      </c>
      <c r="D204" s="262" t="s">
        <v>582</v>
      </c>
      <c r="E204" s="325" t="s">
        <v>865</v>
      </c>
      <c r="F204" s="212"/>
      <c r="G204" s="325" t="s">
        <v>114</v>
      </c>
      <c r="H204" s="13" t="s">
        <v>888</v>
      </c>
      <c r="I204" s="212"/>
      <c r="J204" s="212"/>
      <c r="K204" s="263"/>
    </row>
    <row r="205" spans="2:11">
      <c r="B205" s="42">
        <v>24</v>
      </c>
      <c r="C205" s="258" t="s">
        <v>360</v>
      </c>
      <c r="D205" s="257" t="s">
        <v>579</v>
      </c>
      <c r="E205" s="324" t="s">
        <v>865</v>
      </c>
      <c r="F205" s="13"/>
      <c r="G205" s="324" t="s">
        <v>43</v>
      </c>
      <c r="H205" s="382" t="s">
        <v>889</v>
      </c>
      <c r="I205" s="13"/>
      <c r="J205" s="13"/>
      <c r="K205" s="20"/>
    </row>
    <row r="206" spans="2:11">
      <c r="B206" s="42">
        <v>34</v>
      </c>
      <c r="C206" s="258" t="s">
        <v>370</v>
      </c>
      <c r="D206" s="257" t="s">
        <v>580</v>
      </c>
      <c r="E206" s="324" t="s">
        <v>865</v>
      </c>
      <c r="F206" s="13"/>
      <c r="G206" s="324" t="s">
        <v>53</v>
      </c>
      <c r="H206" s="13" t="s">
        <v>889</v>
      </c>
      <c r="I206" s="13"/>
      <c r="J206" s="13"/>
      <c r="K206" s="20"/>
    </row>
    <row r="207" spans="2:11">
      <c r="B207" s="42">
        <v>14</v>
      </c>
      <c r="C207" s="258" t="s">
        <v>350</v>
      </c>
      <c r="D207" s="257" t="s">
        <v>578</v>
      </c>
      <c r="E207" s="324" t="s">
        <v>865</v>
      </c>
      <c r="F207" s="13"/>
      <c r="G207" s="324" t="s">
        <v>62</v>
      </c>
      <c r="H207" s="13" t="s">
        <v>889</v>
      </c>
      <c r="I207" s="13"/>
      <c r="J207" s="13"/>
      <c r="K207" s="20"/>
    </row>
    <row r="208" spans="2:11">
      <c r="B208" s="42">
        <v>4</v>
      </c>
      <c r="C208" s="258" t="s">
        <v>340</v>
      </c>
      <c r="D208" s="257" t="s">
        <v>577</v>
      </c>
      <c r="E208" s="324" t="s">
        <v>865</v>
      </c>
      <c r="F208" s="13"/>
      <c r="G208" s="324" t="s">
        <v>72</v>
      </c>
      <c r="H208" s="13" t="s">
        <v>889</v>
      </c>
      <c r="I208" s="13"/>
      <c r="J208" s="13"/>
      <c r="K208" s="20"/>
    </row>
    <row r="209" spans="2:11">
      <c r="B209" s="42">
        <v>13</v>
      </c>
      <c r="C209" s="258" t="s">
        <v>349</v>
      </c>
      <c r="D209" s="257" t="s">
        <v>553</v>
      </c>
      <c r="E209" s="324" t="s">
        <v>865</v>
      </c>
      <c r="F209" s="13"/>
      <c r="G209" s="324" t="s">
        <v>22</v>
      </c>
      <c r="H209" s="13" t="s">
        <v>889</v>
      </c>
      <c r="I209" s="13"/>
      <c r="J209" s="13"/>
      <c r="K209" s="20"/>
    </row>
    <row r="210" spans="2:11">
      <c r="B210" s="42">
        <v>3</v>
      </c>
      <c r="C210" s="258" t="s">
        <v>339</v>
      </c>
      <c r="D210" s="257" t="s">
        <v>552</v>
      </c>
      <c r="E210" s="324" t="s">
        <v>865</v>
      </c>
      <c r="F210" s="13"/>
      <c r="G210" s="324" t="s">
        <v>32</v>
      </c>
      <c r="H210" s="13" t="s">
        <v>889</v>
      </c>
      <c r="I210" s="13"/>
      <c r="J210" s="13"/>
      <c r="K210" s="20"/>
    </row>
    <row r="211" spans="2:11">
      <c r="B211" s="260">
        <v>33</v>
      </c>
      <c r="C211" s="261" t="s">
        <v>369</v>
      </c>
      <c r="D211" s="262" t="s">
        <v>555</v>
      </c>
      <c r="E211" s="325" t="s">
        <v>865</v>
      </c>
      <c r="F211" s="212"/>
      <c r="G211" s="325" t="s">
        <v>81</v>
      </c>
      <c r="H211" s="13" t="s">
        <v>889</v>
      </c>
      <c r="I211" s="212"/>
      <c r="J211" s="212"/>
      <c r="K211" s="263"/>
    </row>
    <row r="212" spans="2:11">
      <c r="B212" s="260">
        <v>23</v>
      </c>
      <c r="C212" s="261" t="s">
        <v>359</v>
      </c>
      <c r="D212" s="262" t="s">
        <v>554</v>
      </c>
      <c r="E212" s="325" t="s">
        <v>865</v>
      </c>
      <c r="F212" s="212"/>
      <c r="G212" s="325" t="s">
        <v>91</v>
      </c>
      <c r="H212" s="13" t="s">
        <v>889</v>
      </c>
      <c r="I212" s="212"/>
      <c r="J212" s="212"/>
      <c r="K212" s="263"/>
    </row>
    <row r="213" spans="2:11">
      <c r="B213" s="42">
        <v>31</v>
      </c>
      <c r="C213" s="258" t="s">
        <v>367</v>
      </c>
      <c r="D213" s="257" t="s">
        <v>521</v>
      </c>
      <c r="E213" s="324" t="s">
        <v>865</v>
      </c>
      <c r="F213" s="13"/>
      <c r="G213" s="324" t="s">
        <v>85</v>
      </c>
      <c r="H213" s="13" t="s">
        <v>889</v>
      </c>
      <c r="I213" s="13"/>
      <c r="J213" s="13"/>
      <c r="K213" s="20"/>
    </row>
    <row r="214" spans="2:11">
      <c r="B214" s="42">
        <v>32</v>
      </c>
      <c r="C214" s="258" t="s">
        <v>368</v>
      </c>
      <c r="D214" s="257" t="s">
        <v>537</v>
      </c>
      <c r="E214" s="324" t="s">
        <v>865</v>
      </c>
      <c r="F214" s="13"/>
      <c r="G214" s="324" t="s">
        <v>95</v>
      </c>
      <c r="H214" s="13" t="s">
        <v>889</v>
      </c>
      <c r="I214" s="13"/>
      <c r="J214" s="13"/>
      <c r="K214" s="20"/>
    </row>
    <row r="215" spans="2:11">
      <c r="B215" s="42">
        <v>21</v>
      </c>
      <c r="C215" s="258" t="s">
        <v>357</v>
      </c>
      <c r="D215" s="257" t="s">
        <v>520</v>
      </c>
      <c r="E215" s="324" t="s">
        <v>865</v>
      </c>
      <c r="F215" s="13"/>
      <c r="G215" s="324" t="s">
        <v>45</v>
      </c>
      <c r="H215" s="13" t="s">
        <v>889</v>
      </c>
      <c r="I215" s="13"/>
      <c r="J215" s="13"/>
      <c r="K215" s="20"/>
    </row>
    <row r="216" spans="2:11">
      <c r="B216" s="42">
        <v>22</v>
      </c>
      <c r="C216" s="258" t="s">
        <v>358</v>
      </c>
      <c r="D216" s="257" t="s">
        <v>536</v>
      </c>
      <c r="E216" s="324" t="s">
        <v>865</v>
      </c>
      <c r="F216" s="13"/>
      <c r="G216" s="324" t="s">
        <v>55</v>
      </c>
      <c r="H216" s="13" t="s">
        <v>889</v>
      </c>
      <c r="I216" s="13"/>
      <c r="J216" s="13"/>
      <c r="K216" s="20"/>
    </row>
    <row r="217" spans="2:11">
      <c r="B217" s="42">
        <v>11</v>
      </c>
      <c r="C217" s="258" t="s">
        <v>347</v>
      </c>
      <c r="D217" s="257" t="s">
        <v>519</v>
      </c>
      <c r="E217" s="324" t="s">
        <v>865</v>
      </c>
      <c r="F217" s="13"/>
      <c r="G217" s="324" t="s">
        <v>64</v>
      </c>
      <c r="H217" s="13" t="s">
        <v>889</v>
      </c>
      <c r="I217" s="13"/>
      <c r="J217" s="13"/>
      <c r="K217" s="20"/>
    </row>
    <row r="218" spans="2:11">
      <c r="B218" s="42">
        <v>12</v>
      </c>
      <c r="C218" s="258" t="s">
        <v>348</v>
      </c>
      <c r="D218" s="257" t="s">
        <v>535</v>
      </c>
      <c r="E218" s="324" t="s">
        <v>865</v>
      </c>
      <c r="F218" s="13"/>
      <c r="G218" s="324" t="s">
        <v>74</v>
      </c>
      <c r="H218" s="13" t="s">
        <v>889</v>
      </c>
      <c r="I218" s="13"/>
      <c r="J218" s="13"/>
      <c r="K218" s="20"/>
    </row>
    <row r="219" spans="2:11">
      <c r="B219" s="260">
        <v>1</v>
      </c>
      <c r="C219" s="261" t="s">
        <v>337</v>
      </c>
      <c r="D219" s="262" t="s">
        <v>518</v>
      </c>
      <c r="E219" s="325" t="s">
        <v>865</v>
      </c>
      <c r="F219" s="212"/>
      <c r="G219" s="325" t="s">
        <v>24</v>
      </c>
      <c r="H219" s="13" t="s">
        <v>889</v>
      </c>
      <c r="I219" s="212"/>
      <c r="J219" s="212"/>
      <c r="K219" s="263"/>
    </row>
    <row r="220" spans="2:11">
      <c r="B220" s="260">
        <v>2</v>
      </c>
      <c r="C220" s="261" t="s">
        <v>338</v>
      </c>
      <c r="D220" s="262" t="s">
        <v>534</v>
      </c>
      <c r="E220" s="325" t="s">
        <v>865</v>
      </c>
      <c r="F220" s="212"/>
      <c r="G220" s="325" t="s">
        <v>34</v>
      </c>
      <c r="H220" s="13" t="s">
        <v>889</v>
      </c>
      <c r="I220" s="212"/>
      <c r="J220" s="212"/>
      <c r="K220" s="263"/>
    </row>
    <row r="221" spans="2:11">
      <c r="B221" s="42">
        <v>43</v>
      </c>
      <c r="C221" s="258" t="s">
        <v>379</v>
      </c>
      <c r="D221" s="271" t="s">
        <v>447</v>
      </c>
      <c r="E221" s="323" t="s">
        <v>865</v>
      </c>
      <c r="F221" s="324"/>
      <c r="G221" s="320" t="s">
        <v>306</v>
      </c>
      <c r="H221" s="13"/>
      <c r="I221" s="13"/>
      <c r="J221" s="13"/>
      <c r="K221" s="20"/>
    </row>
    <row r="222" spans="2:11">
      <c r="B222" s="42">
        <v>44</v>
      </c>
      <c r="C222" s="258" t="s">
        <v>380</v>
      </c>
      <c r="D222" s="271" t="s">
        <v>455</v>
      </c>
      <c r="E222" s="323" t="s">
        <v>865</v>
      </c>
      <c r="F222" s="324"/>
      <c r="G222" s="320" t="s">
        <v>316</v>
      </c>
      <c r="H222" s="13"/>
      <c r="I222" s="13"/>
      <c r="J222" s="13"/>
      <c r="K222" s="20"/>
    </row>
    <row r="223" spans="2:11">
      <c r="B223" s="42">
        <v>62</v>
      </c>
      <c r="C223" s="258" t="s">
        <v>398</v>
      </c>
      <c r="D223" s="271" t="s">
        <v>428</v>
      </c>
      <c r="E223" s="13"/>
      <c r="F223" s="13"/>
      <c r="G223" s="13"/>
      <c r="H223" s="13"/>
      <c r="I223" s="13"/>
      <c r="J223" s="13"/>
      <c r="K223" s="20"/>
    </row>
    <row r="224" spans="2:11">
      <c r="B224" s="42">
        <v>61</v>
      </c>
      <c r="C224" s="258" t="s">
        <v>397</v>
      </c>
      <c r="D224" s="330" t="s">
        <v>322</v>
      </c>
      <c r="E224" s="323" t="s">
        <v>865</v>
      </c>
      <c r="F224" s="324"/>
      <c r="G224" s="332" t="s">
        <v>47</v>
      </c>
      <c r="H224" s="13"/>
      <c r="I224" s="13"/>
      <c r="J224" s="13"/>
      <c r="K224" s="20"/>
    </row>
    <row r="225" spans="2:11">
      <c r="B225" s="42">
        <v>71</v>
      </c>
      <c r="C225" s="258" t="s">
        <v>407</v>
      </c>
      <c r="D225" s="271" t="s">
        <v>323</v>
      </c>
      <c r="E225" s="13"/>
      <c r="F225" s="13"/>
      <c r="G225" s="324"/>
      <c r="H225" s="13"/>
      <c r="I225" s="13"/>
      <c r="J225" s="13"/>
      <c r="K225" s="20"/>
    </row>
    <row r="226" spans="2:11">
      <c r="B226" s="42">
        <v>72</v>
      </c>
      <c r="C226" s="258" t="s">
        <v>408</v>
      </c>
      <c r="D226" s="330" t="s">
        <v>429</v>
      </c>
      <c r="E226" s="323" t="s">
        <v>865</v>
      </c>
      <c r="F226" s="324"/>
      <c r="G226" s="332" t="s">
        <v>57</v>
      </c>
      <c r="H226" s="13"/>
      <c r="I226" s="13"/>
      <c r="J226" s="13"/>
      <c r="K226" s="20"/>
    </row>
    <row r="227" spans="2:11">
      <c r="B227" s="42">
        <v>51</v>
      </c>
      <c r="C227" s="258" t="s">
        <v>387</v>
      </c>
      <c r="D227" s="271" t="s">
        <v>464</v>
      </c>
      <c r="E227" s="13"/>
      <c r="F227" s="13"/>
      <c r="G227" s="13"/>
      <c r="H227" s="13"/>
      <c r="I227" s="13"/>
      <c r="J227" s="13"/>
      <c r="K227" s="20"/>
    </row>
    <row r="228" spans="2:11">
      <c r="B228" s="42">
        <v>52</v>
      </c>
      <c r="C228" s="258" t="s">
        <v>388</v>
      </c>
      <c r="D228" s="271" t="s">
        <v>464</v>
      </c>
      <c r="E228" s="13"/>
      <c r="F228" s="13"/>
      <c r="G228" s="13"/>
      <c r="H228" s="13"/>
      <c r="I228" s="13"/>
      <c r="J228" s="13"/>
      <c r="K228" s="20"/>
    </row>
    <row r="229" spans="2:11">
      <c r="B229" s="42">
        <v>53</v>
      </c>
      <c r="C229" s="258" t="s">
        <v>389</v>
      </c>
      <c r="D229" s="271" t="s">
        <v>464</v>
      </c>
      <c r="E229" s="13"/>
      <c r="F229" s="13"/>
      <c r="G229" s="13"/>
      <c r="H229" s="13"/>
      <c r="I229" s="13"/>
      <c r="J229" s="13"/>
      <c r="K229" s="20"/>
    </row>
    <row r="230" spans="2:11">
      <c r="B230" s="42">
        <v>63</v>
      </c>
      <c r="C230" s="258" t="s">
        <v>399</v>
      </c>
      <c r="D230" s="271" t="s">
        <v>464</v>
      </c>
      <c r="E230" s="13"/>
      <c r="F230" s="13"/>
      <c r="G230" s="13"/>
      <c r="H230" s="13"/>
      <c r="I230" s="13"/>
      <c r="J230" s="13"/>
      <c r="K230" s="20"/>
    </row>
    <row r="231" spans="2:11">
      <c r="B231" s="42">
        <v>54</v>
      </c>
      <c r="C231" s="258" t="s">
        <v>390</v>
      </c>
      <c r="D231" s="271" t="s">
        <v>464</v>
      </c>
      <c r="E231" s="13"/>
      <c r="F231" s="13"/>
      <c r="G231" s="13"/>
      <c r="H231" s="13"/>
      <c r="I231" s="13"/>
      <c r="J231" s="13"/>
      <c r="K231" s="20"/>
    </row>
    <row r="232" spans="2:11">
      <c r="B232" s="42">
        <v>64</v>
      </c>
      <c r="C232" s="258" t="s">
        <v>400</v>
      </c>
      <c r="D232" s="271" t="s">
        <v>464</v>
      </c>
      <c r="E232" s="13"/>
      <c r="F232" s="13"/>
      <c r="G232" s="13"/>
      <c r="H232" s="13"/>
      <c r="I232" s="13"/>
      <c r="J232" s="13"/>
      <c r="K232" s="20"/>
    </row>
    <row r="233" spans="2:11">
      <c r="B233" s="42">
        <v>105</v>
      </c>
      <c r="C233" s="258" t="s">
        <v>24</v>
      </c>
      <c r="D233" s="257" t="s">
        <v>464</v>
      </c>
      <c r="E233" s="13"/>
      <c r="F233" s="13"/>
      <c r="G233" s="13"/>
      <c r="H233" s="13"/>
      <c r="I233" s="13"/>
      <c r="J233" s="13"/>
      <c r="K233" s="20"/>
    </row>
    <row r="234" spans="2:11">
      <c r="B234" s="42">
        <v>46</v>
      </c>
      <c r="C234" s="258" t="s">
        <v>382</v>
      </c>
      <c r="D234" s="271" t="s">
        <v>471</v>
      </c>
      <c r="E234" s="13"/>
      <c r="F234" s="13"/>
      <c r="G234" s="13"/>
      <c r="H234" s="13"/>
      <c r="I234" s="13"/>
      <c r="J234" s="13"/>
      <c r="K234" s="20"/>
    </row>
    <row r="235" spans="2:11">
      <c r="B235" s="42">
        <v>66</v>
      </c>
      <c r="C235" s="258" t="s">
        <v>402</v>
      </c>
      <c r="D235" s="271" t="s">
        <v>473</v>
      </c>
      <c r="E235" s="13"/>
      <c r="F235" s="13"/>
      <c r="G235" s="13"/>
      <c r="H235" s="13"/>
      <c r="I235" s="13"/>
      <c r="J235" s="13"/>
      <c r="K235" s="20"/>
    </row>
    <row r="236" spans="2:11">
      <c r="B236" s="42">
        <v>56</v>
      </c>
      <c r="C236" s="258" t="s">
        <v>392</v>
      </c>
      <c r="D236" s="271" t="s">
        <v>472</v>
      </c>
      <c r="E236" s="13"/>
      <c r="F236" s="13"/>
      <c r="G236" s="13"/>
      <c r="H236" s="13"/>
      <c r="I236" s="13"/>
      <c r="J236" s="13"/>
      <c r="K236" s="20"/>
    </row>
    <row r="237" spans="2:11">
      <c r="B237" s="42">
        <v>5</v>
      </c>
      <c r="C237" s="258" t="s">
        <v>341</v>
      </c>
      <c r="D237" s="257" t="s">
        <v>321</v>
      </c>
      <c r="E237" s="13"/>
      <c r="F237" s="13"/>
      <c r="G237" s="13"/>
      <c r="H237" s="13"/>
      <c r="I237" s="13"/>
      <c r="J237" s="13"/>
      <c r="K237" s="20"/>
    </row>
    <row r="238" spans="2:11">
      <c r="B238" s="42">
        <v>15</v>
      </c>
      <c r="C238" s="258" t="s">
        <v>351</v>
      </c>
      <c r="D238" s="257" t="s">
        <v>321</v>
      </c>
      <c r="E238" s="13"/>
      <c r="F238" s="13"/>
      <c r="G238" s="13"/>
      <c r="H238" s="13"/>
      <c r="I238" s="13"/>
      <c r="J238" s="13"/>
      <c r="K238" s="20"/>
    </row>
    <row r="239" spans="2:11">
      <c r="B239" s="42">
        <v>25</v>
      </c>
      <c r="C239" s="258" t="s">
        <v>361</v>
      </c>
      <c r="D239" s="257" t="s">
        <v>321</v>
      </c>
      <c r="E239" s="13"/>
      <c r="F239" s="13"/>
      <c r="G239" s="13"/>
      <c r="H239" s="13"/>
      <c r="I239" s="13"/>
      <c r="J239" s="13"/>
      <c r="K239" s="20"/>
    </row>
    <row r="240" spans="2:11">
      <c r="B240" s="42">
        <v>35</v>
      </c>
      <c r="C240" s="258" t="s">
        <v>371</v>
      </c>
      <c r="D240" s="257" t="s">
        <v>321</v>
      </c>
      <c r="E240" s="13"/>
      <c r="F240" s="13"/>
      <c r="G240" s="13"/>
      <c r="H240" s="13"/>
      <c r="I240" s="13"/>
      <c r="J240" s="13"/>
      <c r="K240" s="20"/>
    </row>
    <row r="241" spans="2:11">
      <c r="B241" s="42">
        <v>45</v>
      </c>
      <c r="C241" s="258" t="s">
        <v>381</v>
      </c>
      <c r="D241" s="271" t="s">
        <v>321</v>
      </c>
      <c r="E241" s="13"/>
      <c r="F241" s="13"/>
      <c r="G241" s="13"/>
      <c r="H241" s="13"/>
      <c r="I241" s="13"/>
      <c r="J241" s="13"/>
      <c r="K241" s="20"/>
    </row>
    <row r="242" spans="2:11">
      <c r="B242" s="42">
        <v>55</v>
      </c>
      <c r="C242" s="258" t="s">
        <v>391</v>
      </c>
      <c r="D242" s="271" t="s">
        <v>321</v>
      </c>
      <c r="E242" s="13"/>
      <c r="F242" s="13"/>
      <c r="G242" s="13"/>
      <c r="H242" s="13"/>
      <c r="I242" s="13"/>
      <c r="J242" s="13"/>
      <c r="K242" s="20"/>
    </row>
    <row r="243" spans="2:11">
      <c r="B243" s="42">
        <v>65</v>
      </c>
      <c r="C243" s="258" t="s">
        <v>401</v>
      </c>
      <c r="D243" s="271" t="s">
        <v>321</v>
      </c>
      <c r="E243" s="13"/>
      <c r="F243" s="13"/>
      <c r="G243" s="13"/>
      <c r="H243" s="13"/>
      <c r="I243" s="13"/>
      <c r="J243" s="13"/>
      <c r="K243" s="20"/>
    </row>
    <row r="244" spans="2:11" ht="16.5" thickBot="1">
      <c r="B244" s="42">
        <v>92</v>
      </c>
      <c r="C244" s="258" t="s">
        <v>4</v>
      </c>
      <c r="D244" s="257" t="s">
        <v>431</v>
      </c>
      <c r="E244" s="13"/>
      <c r="F244" s="13"/>
      <c r="G244" s="13"/>
      <c r="H244" s="13"/>
      <c r="I244" s="13"/>
      <c r="J244" s="13"/>
      <c r="K244" s="20"/>
    </row>
    <row r="245" spans="2:11" ht="16.5" thickBot="1">
      <c r="B245" s="42">
        <v>91</v>
      </c>
      <c r="C245" s="258" t="s">
        <v>0</v>
      </c>
      <c r="D245" s="328" t="s">
        <v>325</v>
      </c>
      <c r="E245" s="322" t="s">
        <v>865</v>
      </c>
      <c r="F245" s="324"/>
      <c r="G245" s="332" t="s">
        <v>187</v>
      </c>
      <c r="H245" s="13"/>
      <c r="I245" s="13"/>
      <c r="J245" s="13"/>
      <c r="K245" s="20"/>
    </row>
    <row r="246" spans="2:11" ht="16.5" thickBot="1">
      <c r="B246" s="42">
        <v>81</v>
      </c>
      <c r="C246" s="258" t="s">
        <v>417</v>
      </c>
      <c r="D246" s="328" t="s">
        <v>324</v>
      </c>
      <c r="E246" s="322" t="s">
        <v>865</v>
      </c>
      <c r="F246" s="13"/>
      <c r="G246" s="320" t="s">
        <v>970</v>
      </c>
      <c r="H246" s="13"/>
      <c r="I246" s="13"/>
      <c r="J246" s="13"/>
      <c r="K246" s="20"/>
    </row>
    <row r="247" spans="2:11">
      <c r="B247" s="42">
        <v>82</v>
      </c>
      <c r="C247" s="258" t="s">
        <v>418</v>
      </c>
      <c r="D247" s="328" t="s">
        <v>430</v>
      </c>
      <c r="E247" s="322" t="s">
        <v>865</v>
      </c>
      <c r="F247" s="13"/>
      <c r="G247" s="320" t="s">
        <v>971</v>
      </c>
      <c r="H247" s="13"/>
      <c r="I247" s="13"/>
      <c r="J247" s="13"/>
      <c r="K247" s="20"/>
    </row>
    <row r="248" spans="2:11">
      <c r="B248" s="42">
        <v>41</v>
      </c>
      <c r="C248" s="258" t="s">
        <v>377</v>
      </c>
      <c r="D248" s="330" t="s">
        <v>427</v>
      </c>
      <c r="E248" s="324" t="s">
        <v>865</v>
      </c>
      <c r="F248" s="324"/>
      <c r="G248" s="396" t="s">
        <v>317</v>
      </c>
      <c r="H248" s="13"/>
      <c r="I248" s="13"/>
      <c r="J248" s="13"/>
      <c r="K248" s="20"/>
    </row>
    <row r="249" spans="2:11">
      <c r="B249" s="42">
        <v>42</v>
      </c>
      <c r="C249" s="258" t="s">
        <v>378</v>
      </c>
      <c r="D249" s="330" t="s">
        <v>320</v>
      </c>
      <c r="E249" s="323" t="s">
        <v>865</v>
      </c>
      <c r="F249" s="324"/>
      <c r="G249" s="320" t="s">
        <v>297</v>
      </c>
      <c r="H249" s="13"/>
      <c r="I249" s="13"/>
      <c r="J249" s="13"/>
      <c r="K249" s="20"/>
    </row>
    <row r="250" spans="2:11">
      <c r="B250" s="260">
        <v>393</v>
      </c>
      <c r="C250" s="261" t="s">
        <v>312</v>
      </c>
      <c r="D250" s="262" t="s">
        <v>453</v>
      </c>
      <c r="E250" s="325" t="s">
        <v>866</v>
      </c>
      <c r="F250" s="325"/>
      <c r="G250" s="325" t="s">
        <v>306</v>
      </c>
      <c r="H250" s="212"/>
      <c r="I250" s="212"/>
      <c r="J250" s="212"/>
      <c r="K250" s="263"/>
    </row>
    <row r="251" spans="2:11">
      <c r="B251" s="260">
        <v>383</v>
      </c>
      <c r="C251" s="261" t="s">
        <v>302</v>
      </c>
      <c r="D251" s="262" t="s">
        <v>452</v>
      </c>
      <c r="E251" s="325" t="s">
        <v>866</v>
      </c>
      <c r="F251" s="325"/>
      <c r="G251" s="325" t="s">
        <v>316</v>
      </c>
      <c r="H251" s="212"/>
      <c r="I251" s="212"/>
      <c r="J251" s="212"/>
      <c r="K251" s="263"/>
    </row>
    <row r="252" spans="2:11">
      <c r="B252" s="260">
        <v>337</v>
      </c>
      <c r="C252" s="261" t="s">
        <v>256</v>
      </c>
      <c r="D252" s="262" t="s">
        <v>487</v>
      </c>
      <c r="E252" s="212"/>
      <c r="F252" s="212"/>
      <c r="G252" s="212"/>
      <c r="H252" s="212"/>
      <c r="I252" s="212"/>
      <c r="J252" s="212"/>
      <c r="K252" s="263"/>
    </row>
    <row r="253" spans="2:11">
      <c r="B253" s="260">
        <v>327</v>
      </c>
      <c r="C253" s="261" t="s">
        <v>246</v>
      </c>
      <c r="D253" s="326" t="s">
        <v>486</v>
      </c>
      <c r="E253" s="325" t="s">
        <v>866</v>
      </c>
      <c r="F253" s="325"/>
      <c r="G253" s="325" t="s">
        <v>47</v>
      </c>
      <c r="H253" s="212"/>
      <c r="I253" s="212"/>
      <c r="J253" s="212"/>
      <c r="K253" s="263"/>
    </row>
    <row r="254" spans="2:11">
      <c r="B254" s="260">
        <v>346</v>
      </c>
      <c r="C254" s="261" t="s">
        <v>265</v>
      </c>
      <c r="D254" s="262" t="s">
        <v>478</v>
      </c>
      <c r="E254" s="212"/>
      <c r="F254" s="212"/>
      <c r="G254" s="212"/>
      <c r="H254" s="212"/>
      <c r="I254" s="212"/>
      <c r="J254" s="212"/>
      <c r="K254" s="263"/>
    </row>
    <row r="255" spans="2:11">
      <c r="B255" s="260">
        <v>336</v>
      </c>
      <c r="C255" s="261" t="s">
        <v>255</v>
      </c>
      <c r="D255" s="326" t="s">
        <v>477</v>
      </c>
      <c r="E255" s="325" t="s">
        <v>866</v>
      </c>
      <c r="F255" s="325"/>
      <c r="G255" s="325" t="s">
        <v>57</v>
      </c>
      <c r="H255" s="212"/>
      <c r="I255" s="212"/>
      <c r="J255" s="212"/>
      <c r="K255" s="263"/>
    </row>
    <row r="256" spans="2:11">
      <c r="B256" s="260">
        <v>347</v>
      </c>
      <c r="C256" s="261" t="s">
        <v>266</v>
      </c>
      <c r="D256" s="262" t="s">
        <v>488</v>
      </c>
      <c r="E256" s="212"/>
      <c r="F256" s="212"/>
      <c r="G256" s="212"/>
      <c r="H256" s="212"/>
      <c r="I256" s="212"/>
      <c r="J256" s="212"/>
      <c r="K256" s="263"/>
    </row>
    <row r="257" spans="2:11">
      <c r="B257" s="260">
        <v>357</v>
      </c>
      <c r="C257" s="261" t="s">
        <v>276</v>
      </c>
      <c r="D257" s="262" t="s">
        <v>488</v>
      </c>
      <c r="E257" s="212"/>
      <c r="F257" s="212"/>
      <c r="G257" s="212"/>
      <c r="H257" s="212"/>
      <c r="I257" s="212"/>
      <c r="J257" s="212"/>
      <c r="K257" s="263"/>
    </row>
    <row r="258" spans="2:11">
      <c r="B258" s="260">
        <v>338</v>
      </c>
      <c r="C258" s="261" t="s">
        <v>257</v>
      </c>
      <c r="D258" s="262" t="s">
        <v>488</v>
      </c>
      <c r="E258" s="212"/>
      <c r="F258" s="212"/>
      <c r="G258" s="212"/>
      <c r="H258" s="212"/>
      <c r="I258" s="212"/>
      <c r="J258" s="212"/>
      <c r="K258" s="263"/>
    </row>
    <row r="259" spans="2:11">
      <c r="B259" s="260">
        <v>348</v>
      </c>
      <c r="C259" s="261" t="s">
        <v>267</v>
      </c>
      <c r="D259" s="262" t="s">
        <v>488</v>
      </c>
      <c r="E259" s="212"/>
      <c r="F259" s="212"/>
      <c r="G259" s="212"/>
      <c r="H259" s="212"/>
      <c r="I259" s="212"/>
      <c r="J259" s="212"/>
      <c r="K259" s="263"/>
    </row>
    <row r="260" spans="2:11">
      <c r="B260" s="260">
        <v>358</v>
      </c>
      <c r="C260" s="261" t="s">
        <v>277</v>
      </c>
      <c r="D260" s="262" t="s">
        <v>488</v>
      </c>
      <c r="E260" s="212"/>
      <c r="F260" s="212"/>
      <c r="G260" s="212"/>
      <c r="H260" s="212"/>
      <c r="I260" s="212"/>
      <c r="J260" s="212"/>
      <c r="K260" s="263"/>
    </row>
    <row r="261" spans="2:11">
      <c r="B261" s="260">
        <v>339</v>
      </c>
      <c r="C261" s="261" t="s">
        <v>258</v>
      </c>
      <c r="D261" s="262" t="s">
        <v>488</v>
      </c>
      <c r="E261" s="212"/>
      <c r="F261" s="212"/>
      <c r="G261" s="212"/>
      <c r="H261" s="212"/>
      <c r="I261" s="212"/>
      <c r="J261" s="212"/>
      <c r="K261" s="263"/>
    </row>
    <row r="262" spans="2:11">
      <c r="B262" s="260">
        <v>349</v>
      </c>
      <c r="C262" s="261" t="s">
        <v>268</v>
      </c>
      <c r="D262" s="262" t="s">
        <v>488</v>
      </c>
      <c r="E262" s="212"/>
      <c r="F262" s="212"/>
      <c r="G262" s="212"/>
      <c r="H262" s="212"/>
      <c r="I262" s="212"/>
      <c r="J262" s="212"/>
      <c r="K262" s="263"/>
    </row>
    <row r="263" spans="2:11">
      <c r="B263" s="260">
        <v>359</v>
      </c>
      <c r="C263" s="261" t="s">
        <v>278</v>
      </c>
      <c r="D263" s="262" t="s">
        <v>488</v>
      </c>
      <c r="E263" s="212"/>
      <c r="F263" s="212"/>
      <c r="G263" s="212"/>
      <c r="H263" s="212"/>
      <c r="I263" s="212"/>
      <c r="J263" s="212"/>
      <c r="K263" s="263"/>
    </row>
    <row r="264" spans="2:11">
      <c r="B264" s="260">
        <v>340</v>
      </c>
      <c r="C264" s="261" t="s">
        <v>259</v>
      </c>
      <c r="D264" s="262" t="s">
        <v>488</v>
      </c>
      <c r="E264" s="212"/>
      <c r="F264" s="212"/>
      <c r="G264" s="212"/>
      <c r="H264" s="212"/>
      <c r="I264" s="212"/>
      <c r="J264" s="212"/>
      <c r="K264" s="263"/>
    </row>
    <row r="265" spans="2:11">
      <c r="B265" s="260">
        <v>350</v>
      </c>
      <c r="C265" s="261" t="s">
        <v>269</v>
      </c>
      <c r="D265" s="262" t="s">
        <v>488</v>
      </c>
      <c r="E265" s="212"/>
      <c r="F265" s="212"/>
      <c r="G265" s="212"/>
      <c r="H265" s="212"/>
      <c r="I265" s="212"/>
      <c r="J265" s="212"/>
      <c r="K265" s="263"/>
    </row>
    <row r="266" spans="2:11">
      <c r="B266" s="260">
        <v>360</v>
      </c>
      <c r="C266" s="261" t="s">
        <v>279</v>
      </c>
      <c r="D266" s="262" t="s">
        <v>488</v>
      </c>
      <c r="E266" s="212"/>
      <c r="F266" s="212"/>
      <c r="G266" s="212"/>
      <c r="H266" s="212"/>
      <c r="I266" s="212"/>
      <c r="J266" s="212"/>
      <c r="K266" s="263"/>
    </row>
    <row r="267" spans="2:11">
      <c r="B267" s="260">
        <v>356</v>
      </c>
      <c r="C267" s="261" t="s">
        <v>275</v>
      </c>
      <c r="D267" s="262" t="s">
        <v>479</v>
      </c>
      <c r="E267" s="212"/>
      <c r="F267" s="212"/>
      <c r="G267" s="212"/>
      <c r="H267" s="212"/>
      <c r="I267" s="212"/>
      <c r="J267" s="212"/>
      <c r="K267" s="263"/>
    </row>
    <row r="268" spans="2:11">
      <c r="B268" s="260">
        <v>385</v>
      </c>
      <c r="C268" s="261" t="s">
        <v>304</v>
      </c>
      <c r="D268" s="262" t="s">
        <v>469</v>
      </c>
      <c r="E268" s="212"/>
      <c r="F268" s="212"/>
      <c r="G268" s="212"/>
      <c r="H268" s="212"/>
      <c r="I268" s="212"/>
      <c r="J268" s="212"/>
      <c r="K268" s="263"/>
    </row>
    <row r="269" spans="2:11">
      <c r="B269" s="260">
        <v>395</v>
      </c>
      <c r="C269" s="261" t="s">
        <v>314</v>
      </c>
      <c r="D269" s="262" t="s">
        <v>470</v>
      </c>
      <c r="E269" s="212"/>
      <c r="F269" s="212"/>
      <c r="G269" s="212"/>
      <c r="H269" s="212"/>
      <c r="I269" s="212"/>
      <c r="J269" s="212"/>
      <c r="K269" s="263"/>
    </row>
    <row r="270" spans="2:11">
      <c r="B270" s="260">
        <v>341</v>
      </c>
      <c r="C270" s="261" t="s">
        <v>260</v>
      </c>
      <c r="D270" s="262" t="s">
        <v>336</v>
      </c>
      <c r="E270" s="212"/>
      <c r="F270" s="212"/>
      <c r="G270" s="212"/>
      <c r="H270" s="212"/>
      <c r="I270" s="212"/>
      <c r="J270" s="212"/>
      <c r="K270" s="263"/>
    </row>
    <row r="271" spans="2:11">
      <c r="B271" s="260">
        <v>351</v>
      </c>
      <c r="C271" s="261" t="s">
        <v>270</v>
      </c>
      <c r="D271" s="262" t="s">
        <v>336</v>
      </c>
      <c r="E271" s="212"/>
      <c r="F271" s="212"/>
      <c r="G271" s="212"/>
      <c r="H271" s="212"/>
      <c r="I271" s="212"/>
      <c r="J271" s="212"/>
      <c r="K271" s="263"/>
    </row>
    <row r="272" spans="2:11">
      <c r="B272" s="260">
        <v>342</v>
      </c>
      <c r="C272" s="261" t="s">
        <v>261</v>
      </c>
      <c r="D272" s="262" t="s">
        <v>336</v>
      </c>
      <c r="E272" s="212"/>
      <c r="F272" s="212"/>
      <c r="G272" s="212"/>
      <c r="H272" s="212"/>
      <c r="I272" s="212"/>
      <c r="J272" s="212"/>
      <c r="K272" s="263"/>
    </row>
    <row r="273" spans="2:11">
      <c r="B273" s="260">
        <v>352</v>
      </c>
      <c r="C273" s="261" t="s">
        <v>271</v>
      </c>
      <c r="D273" s="262" t="s">
        <v>336</v>
      </c>
      <c r="E273" s="212"/>
      <c r="F273" s="212"/>
      <c r="G273" s="212"/>
      <c r="H273" s="212"/>
      <c r="I273" s="212"/>
      <c r="J273" s="212"/>
      <c r="K273" s="263"/>
    </row>
    <row r="274" spans="2:11">
      <c r="B274" s="260">
        <v>333</v>
      </c>
      <c r="C274" s="261" t="s">
        <v>252</v>
      </c>
      <c r="D274" s="262" t="s">
        <v>336</v>
      </c>
      <c r="E274" s="212"/>
      <c r="F274" s="212"/>
      <c r="G274" s="212"/>
      <c r="H274" s="212"/>
      <c r="I274" s="212"/>
      <c r="J274" s="212"/>
      <c r="K274" s="263"/>
    </row>
    <row r="275" spans="2:11">
      <c r="B275" s="260">
        <v>343</v>
      </c>
      <c r="C275" s="261" t="s">
        <v>262</v>
      </c>
      <c r="D275" s="262" t="s">
        <v>336</v>
      </c>
      <c r="E275" s="212"/>
      <c r="F275" s="212"/>
      <c r="G275" s="212"/>
      <c r="H275" s="212"/>
      <c r="I275" s="212"/>
      <c r="J275" s="212"/>
      <c r="K275" s="263"/>
    </row>
    <row r="276" spans="2:11">
      <c r="B276" s="260">
        <v>334</v>
      </c>
      <c r="C276" s="261" t="s">
        <v>253</v>
      </c>
      <c r="D276" s="262" t="s">
        <v>336</v>
      </c>
      <c r="E276" s="212"/>
      <c r="F276" s="212"/>
      <c r="G276" s="212"/>
      <c r="H276" s="212"/>
      <c r="I276" s="212"/>
      <c r="J276" s="212"/>
      <c r="K276" s="263"/>
    </row>
    <row r="277" spans="2:11">
      <c r="B277" s="260">
        <v>344</v>
      </c>
      <c r="C277" s="261" t="s">
        <v>263</v>
      </c>
      <c r="D277" s="262" t="s">
        <v>336</v>
      </c>
      <c r="E277" s="212"/>
      <c r="F277" s="212"/>
      <c r="G277" s="212"/>
      <c r="H277" s="212"/>
      <c r="I277" s="212"/>
      <c r="J277" s="212"/>
      <c r="K277" s="263"/>
    </row>
    <row r="278" spans="2:11">
      <c r="B278" s="260">
        <v>345</v>
      </c>
      <c r="C278" s="261" t="s">
        <v>264</v>
      </c>
      <c r="D278" s="262" t="s">
        <v>336</v>
      </c>
      <c r="E278" s="212"/>
      <c r="F278" s="212"/>
      <c r="G278" s="212"/>
      <c r="H278" s="212"/>
      <c r="I278" s="212"/>
      <c r="J278" s="212"/>
      <c r="K278" s="263"/>
    </row>
    <row r="279" spans="2:11">
      <c r="B279" s="260">
        <v>355</v>
      </c>
      <c r="C279" s="261" t="s">
        <v>274</v>
      </c>
      <c r="D279" s="262" t="s">
        <v>336</v>
      </c>
      <c r="E279" s="212"/>
      <c r="F279" s="212"/>
      <c r="G279" s="212"/>
      <c r="H279" s="212"/>
      <c r="I279" s="212"/>
      <c r="J279" s="212"/>
      <c r="K279" s="263"/>
    </row>
    <row r="280" spans="2:11">
      <c r="B280" s="260">
        <v>396</v>
      </c>
      <c r="C280" s="261" t="s">
        <v>315</v>
      </c>
      <c r="D280" s="262" t="s">
        <v>481</v>
      </c>
      <c r="E280" s="212"/>
      <c r="F280" s="212"/>
      <c r="G280" s="212"/>
      <c r="H280" s="212"/>
      <c r="I280" s="212"/>
      <c r="J280" s="212"/>
      <c r="K280" s="263"/>
    </row>
    <row r="281" spans="2:11">
      <c r="B281" s="260">
        <v>386</v>
      </c>
      <c r="C281" s="261" t="s">
        <v>305</v>
      </c>
      <c r="D281" s="326" t="s">
        <v>480</v>
      </c>
      <c r="E281" s="325" t="s">
        <v>866</v>
      </c>
      <c r="F281" s="325"/>
      <c r="G281" s="325" t="s">
        <v>187</v>
      </c>
      <c r="H281" s="212"/>
      <c r="I281" s="212"/>
      <c r="J281" s="212"/>
      <c r="K281" s="263"/>
    </row>
    <row r="282" spans="2:11">
      <c r="B282" s="260">
        <v>387</v>
      </c>
      <c r="C282" s="261" t="s">
        <v>306</v>
      </c>
      <c r="D282" s="326" t="s">
        <v>489</v>
      </c>
      <c r="E282" s="325" t="s">
        <v>866</v>
      </c>
      <c r="F282" s="212"/>
      <c r="G282" s="329" t="s">
        <v>970</v>
      </c>
      <c r="H282" s="212"/>
      <c r="I282" s="212"/>
      <c r="J282" s="212"/>
      <c r="K282" s="263"/>
    </row>
    <row r="283" spans="2:11">
      <c r="B283" s="260">
        <v>388</v>
      </c>
      <c r="C283" s="261" t="s">
        <v>307</v>
      </c>
      <c r="D283" s="326" t="s">
        <v>495</v>
      </c>
      <c r="E283" s="325" t="s">
        <v>866</v>
      </c>
      <c r="F283" s="212"/>
      <c r="G283" s="329" t="s">
        <v>971</v>
      </c>
      <c r="H283" s="212"/>
      <c r="I283" s="212"/>
      <c r="J283" s="212"/>
      <c r="K283" s="263"/>
    </row>
    <row r="284" spans="2:11">
      <c r="B284" s="260">
        <v>392</v>
      </c>
      <c r="C284" s="261" t="s">
        <v>311</v>
      </c>
      <c r="D284" s="326" t="s">
        <v>440</v>
      </c>
      <c r="E284" s="325" t="s">
        <v>866</v>
      </c>
      <c r="F284" s="325"/>
      <c r="G284" s="325"/>
      <c r="H284" s="212"/>
      <c r="I284" s="212"/>
      <c r="J284" s="212"/>
      <c r="K284" s="263"/>
    </row>
    <row r="285" spans="2:11">
      <c r="B285" s="260">
        <v>382</v>
      </c>
      <c r="C285" s="261" t="s">
        <v>301</v>
      </c>
      <c r="D285" s="326" t="s">
        <v>441</v>
      </c>
      <c r="E285" s="325" t="s">
        <v>866</v>
      </c>
      <c r="F285" s="325"/>
      <c r="G285" s="329" t="s">
        <v>297</v>
      </c>
      <c r="H285" s="212"/>
      <c r="I285" s="212"/>
      <c r="J285" s="212"/>
      <c r="K285" s="263"/>
    </row>
    <row r="286" spans="2:11">
      <c r="B286" s="42">
        <v>194</v>
      </c>
      <c r="C286" s="21" t="s">
        <v>113</v>
      </c>
      <c r="D286" s="22" t="s">
        <v>587</v>
      </c>
      <c r="E286" s="323" t="s">
        <v>867</v>
      </c>
      <c r="F286" s="5"/>
      <c r="G286" s="320" t="s">
        <v>201</v>
      </c>
      <c r="H286" s="338" t="s">
        <v>904</v>
      </c>
      <c r="I286" s="5"/>
      <c r="J286" s="5"/>
      <c r="K286" s="14"/>
    </row>
    <row r="287" spans="2:11">
      <c r="B287" s="42">
        <v>193</v>
      </c>
      <c r="C287" s="21" t="s">
        <v>112</v>
      </c>
      <c r="D287" s="22" t="s">
        <v>564</v>
      </c>
      <c r="E287" s="323" t="s">
        <v>867</v>
      </c>
      <c r="F287" s="5"/>
      <c r="G287" s="320" t="s">
        <v>211</v>
      </c>
      <c r="H287" s="303" t="s">
        <v>904</v>
      </c>
      <c r="I287" s="5"/>
      <c r="J287" s="5"/>
      <c r="K287" s="14"/>
    </row>
    <row r="288" spans="2:11">
      <c r="B288" s="42">
        <v>184</v>
      </c>
      <c r="C288" s="21" t="s">
        <v>103</v>
      </c>
      <c r="D288" s="22" t="s">
        <v>586</v>
      </c>
      <c r="E288" s="323" t="s">
        <v>867</v>
      </c>
      <c r="F288" s="5"/>
      <c r="G288" s="320" t="s">
        <v>220</v>
      </c>
      <c r="H288" s="303" t="s">
        <v>904</v>
      </c>
      <c r="I288" s="5"/>
      <c r="J288" s="5"/>
      <c r="K288" s="14"/>
    </row>
    <row r="289" spans="2:11">
      <c r="B289" s="42">
        <v>183</v>
      </c>
      <c r="C289" s="21" t="s">
        <v>102</v>
      </c>
      <c r="D289" s="22" t="s">
        <v>563</v>
      </c>
      <c r="E289" s="323" t="s">
        <v>867</v>
      </c>
      <c r="F289" s="5"/>
      <c r="G289" s="320" t="s">
        <v>230</v>
      </c>
      <c r="H289" s="303" t="s">
        <v>904</v>
      </c>
      <c r="I289" s="5"/>
      <c r="J289" s="5"/>
      <c r="K289" s="14"/>
    </row>
    <row r="290" spans="2:11">
      <c r="B290" s="42">
        <v>182</v>
      </c>
      <c r="C290" s="21" t="s">
        <v>101</v>
      </c>
      <c r="D290" s="22" t="s">
        <v>542</v>
      </c>
      <c r="E290" s="323" t="s">
        <v>867</v>
      </c>
      <c r="F290" s="5"/>
      <c r="G290" s="320" t="s">
        <v>180</v>
      </c>
      <c r="H290" s="303" t="s">
        <v>904</v>
      </c>
      <c r="I290" s="5"/>
      <c r="J290" s="5"/>
      <c r="K290" s="14"/>
    </row>
    <row r="291" spans="2:11">
      <c r="B291" s="42">
        <v>192</v>
      </c>
      <c r="C291" s="21" t="s">
        <v>111</v>
      </c>
      <c r="D291" s="22" t="s">
        <v>543</v>
      </c>
      <c r="E291" s="323" t="s">
        <v>867</v>
      </c>
      <c r="F291" s="5"/>
      <c r="G291" s="320" t="s">
        <v>190</v>
      </c>
      <c r="H291" s="303" t="s">
        <v>904</v>
      </c>
      <c r="I291" s="5"/>
      <c r="J291" s="5"/>
      <c r="K291" s="14"/>
    </row>
    <row r="292" spans="2:11">
      <c r="B292" s="42">
        <v>214</v>
      </c>
      <c r="C292" s="21" t="s">
        <v>133</v>
      </c>
      <c r="D292" s="22" t="s">
        <v>589</v>
      </c>
      <c r="E292" s="323" t="s">
        <v>867</v>
      </c>
      <c r="F292" s="5"/>
      <c r="G292" s="320" t="s">
        <v>222</v>
      </c>
      <c r="H292" s="303" t="s">
        <v>904</v>
      </c>
      <c r="I292" s="5"/>
      <c r="J292" s="5"/>
      <c r="K292" s="14"/>
    </row>
    <row r="293" spans="2:11">
      <c r="B293" s="42">
        <v>213</v>
      </c>
      <c r="C293" s="21" t="s">
        <v>132</v>
      </c>
      <c r="D293" s="22" t="s">
        <v>566</v>
      </c>
      <c r="E293" s="323" t="s">
        <v>867</v>
      </c>
      <c r="F293" s="5"/>
      <c r="G293" s="320" t="s">
        <v>232</v>
      </c>
      <c r="H293" s="303" t="s">
        <v>904</v>
      </c>
      <c r="I293" s="5"/>
      <c r="J293" s="5"/>
      <c r="K293" s="14"/>
    </row>
    <row r="294" spans="2:11">
      <c r="B294" s="42">
        <v>204</v>
      </c>
      <c r="C294" s="21" t="s">
        <v>123</v>
      </c>
      <c r="D294" s="22" t="s">
        <v>588</v>
      </c>
      <c r="E294" s="323" t="s">
        <v>867</v>
      </c>
      <c r="F294" s="5"/>
      <c r="G294" s="320" t="s">
        <v>182</v>
      </c>
      <c r="H294" s="303" t="s">
        <v>904</v>
      </c>
      <c r="I294" s="5"/>
      <c r="J294" s="5"/>
      <c r="K294" s="14"/>
    </row>
    <row r="295" spans="2:11">
      <c r="B295" s="42">
        <v>203</v>
      </c>
      <c r="C295" s="21" t="s">
        <v>122</v>
      </c>
      <c r="D295" s="22" t="s">
        <v>565</v>
      </c>
      <c r="E295" s="323" t="s">
        <v>867</v>
      </c>
      <c r="F295" s="5"/>
      <c r="G295" s="320" t="s">
        <v>192</v>
      </c>
      <c r="H295" s="303" t="s">
        <v>904</v>
      </c>
      <c r="I295" s="5"/>
      <c r="J295" s="5"/>
      <c r="K295" s="14"/>
    </row>
    <row r="296" spans="2:11">
      <c r="B296" s="42">
        <v>176</v>
      </c>
      <c r="C296" s="21" t="s">
        <v>95</v>
      </c>
      <c r="D296" s="22" t="s">
        <v>617</v>
      </c>
      <c r="E296" s="323" t="s">
        <v>867</v>
      </c>
      <c r="F296" s="5"/>
      <c r="G296" s="320" t="s">
        <v>241</v>
      </c>
      <c r="H296" s="303" t="s">
        <v>904</v>
      </c>
      <c r="I296" s="5"/>
      <c r="J296" s="5"/>
      <c r="K296" s="14"/>
    </row>
    <row r="297" spans="2:11">
      <c r="B297" s="42">
        <v>175</v>
      </c>
      <c r="C297" s="21" t="s">
        <v>94</v>
      </c>
      <c r="D297" s="22" t="s">
        <v>604</v>
      </c>
      <c r="E297" s="323" t="s">
        <v>867</v>
      </c>
      <c r="F297" s="5"/>
      <c r="G297" s="320" t="s">
        <v>251</v>
      </c>
      <c r="H297" s="303" t="s">
        <v>904</v>
      </c>
      <c r="I297" s="5"/>
      <c r="J297" s="5"/>
      <c r="K297" s="14"/>
    </row>
    <row r="298" spans="2:11">
      <c r="B298" s="42">
        <v>114</v>
      </c>
      <c r="C298" s="21" t="s">
        <v>33</v>
      </c>
      <c r="D298" s="22" t="s">
        <v>585</v>
      </c>
      <c r="E298" s="323" t="s">
        <v>867</v>
      </c>
      <c r="F298" s="5"/>
      <c r="G298" s="320" t="s">
        <v>184</v>
      </c>
      <c r="H298" s="303" t="s">
        <v>904</v>
      </c>
      <c r="I298" s="5"/>
      <c r="J298" s="5"/>
      <c r="K298" s="14"/>
    </row>
    <row r="299" spans="2:11">
      <c r="B299" s="42">
        <v>115</v>
      </c>
      <c r="C299" s="21" t="s">
        <v>34</v>
      </c>
      <c r="D299" s="22" t="s">
        <v>603</v>
      </c>
      <c r="E299" s="323" t="s">
        <v>867</v>
      </c>
      <c r="F299" s="5"/>
      <c r="G299" s="320" t="s">
        <v>194</v>
      </c>
      <c r="H299" s="303" t="s">
        <v>904</v>
      </c>
      <c r="I299" s="5"/>
      <c r="J299" s="5"/>
      <c r="K299" s="14"/>
    </row>
    <row r="300" spans="2:11">
      <c r="B300" s="42">
        <v>122</v>
      </c>
      <c r="C300" s="21" t="s">
        <v>41</v>
      </c>
      <c r="D300" s="22" t="s">
        <v>540</v>
      </c>
      <c r="E300" s="323" t="s">
        <v>867</v>
      </c>
      <c r="F300" s="5"/>
      <c r="G300" s="320" t="s">
        <v>243</v>
      </c>
      <c r="H300" s="303" t="s">
        <v>904</v>
      </c>
      <c r="I300" s="5"/>
      <c r="J300" s="5"/>
      <c r="K300" s="14"/>
    </row>
    <row r="301" spans="2:11">
      <c r="B301" s="42">
        <v>123</v>
      </c>
      <c r="C301" s="21" t="s">
        <v>42</v>
      </c>
      <c r="D301" s="22" t="s">
        <v>561</v>
      </c>
      <c r="E301" s="323" t="s">
        <v>867</v>
      </c>
      <c r="F301" s="5"/>
      <c r="G301" s="320" t="s">
        <v>253</v>
      </c>
      <c r="H301" s="303" t="s">
        <v>904</v>
      </c>
      <c r="I301" s="5"/>
      <c r="J301" s="5"/>
      <c r="K301" s="14"/>
    </row>
    <row r="302" spans="2:11">
      <c r="B302" s="42">
        <v>112</v>
      </c>
      <c r="C302" s="21" t="s">
        <v>31</v>
      </c>
      <c r="D302" s="22" t="s">
        <v>539</v>
      </c>
      <c r="E302" s="323" t="s">
        <v>867</v>
      </c>
      <c r="F302" s="5"/>
      <c r="G302" s="320" t="s">
        <v>203</v>
      </c>
      <c r="H302" s="303" t="s">
        <v>904</v>
      </c>
      <c r="I302" s="5"/>
      <c r="J302" s="5"/>
      <c r="K302" s="14"/>
    </row>
    <row r="303" spans="2:11">
      <c r="B303" s="42">
        <v>113</v>
      </c>
      <c r="C303" s="21" t="s">
        <v>32</v>
      </c>
      <c r="D303" s="22" t="s">
        <v>560</v>
      </c>
      <c r="E303" s="323" t="s">
        <v>867</v>
      </c>
      <c r="F303" s="5"/>
      <c r="G303" s="320" t="s">
        <v>213</v>
      </c>
      <c r="H303" s="303" t="s">
        <v>904</v>
      </c>
      <c r="I303" s="5"/>
      <c r="J303" s="5"/>
      <c r="K303" s="14"/>
    </row>
    <row r="304" spans="2:11">
      <c r="B304" s="42">
        <v>141</v>
      </c>
      <c r="C304" s="21" t="s">
        <v>60</v>
      </c>
      <c r="D304" s="22" t="s">
        <v>526</v>
      </c>
      <c r="E304" s="323" t="s">
        <v>867</v>
      </c>
      <c r="F304" s="5"/>
      <c r="G304" s="320" t="s">
        <v>245</v>
      </c>
      <c r="H304" s="303" t="s">
        <v>904</v>
      </c>
      <c r="I304" s="5"/>
      <c r="J304" s="5"/>
      <c r="K304" s="14"/>
    </row>
    <row r="305" spans="2:11">
      <c r="B305" s="42">
        <v>131</v>
      </c>
      <c r="C305" s="21" t="s">
        <v>50</v>
      </c>
      <c r="D305" s="22" t="s">
        <v>525</v>
      </c>
      <c r="E305" s="323" t="s">
        <v>867</v>
      </c>
      <c r="F305" s="5"/>
      <c r="G305" s="320" t="s">
        <v>255</v>
      </c>
      <c r="H305" s="303" t="s">
        <v>904</v>
      </c>
      <c r="I305" s="5"/>
      <c r="J305" s="5"/>
      <c r="K305" s="14"/>
    </row>
    <row r="306" spans="2:11">
      <c r="B306" s="42">
        <v>121</v>
      </c>
      <c r="C306" s="21" t="s">
        <v>40</v>
      </c>
      <c r="D306" s="22" t="s">
        <v>524</v>
      </c>
      <c r="E306" s="323" t="s">
        <v>867</v>
      </c>
      <c r="F306" s="5"/>
      <c r="G306" s="320" t="s">
        <v>205</v>
      </c>
      <c r="H306" s="303" t="s">
        <v>904</v>
      </c>
      <c r="I306" s="5"/>
      <c r="J306" s="5"/>
      <c r="K306" s="14"/>
    </row>
    <row r="307" spans="2:11">
      <c r="B307" s="42">
        <v>111</v>
      </c>
      <c r="C307" s="21" t="s">
        <v>30</v>
      </c>
      <c r="D307" s="22" t="s">
        <v>523</v>
      </c>
      <c r="E307" s="323" t="s">
        <v>867</v>
      </c>
      <c r="F307" s="5"/>
      <c r="G307" s="320" t="s">
        <v>215</v>
      </c>
      <c r="H307" s="303" t="s">
        <v>904</v>
      </c>
      <c r="I307" s="5"/>
      <c r="J307" s="5"/>
      <c r="K307" s="14"/>
    </row>
    <row r="308" spans="2:11">
      <c r="B308" s="42">
        <v>132</v>
      </c>
      <c r="C308" s="21" t="s">
        <v>51</v>
      </c>
      <c r="D308" s="22" t="s">
        <v>541</v>
      </c>
      <c r="E308" s="323" t="s">
        <v>867</v>
      </c>
      <c r="F308" s="5"/>
      <c r="G308" s="320" t="s">
        <v>224</v>
      </c>
      <c r="H308" s="303" t="s">
        <v>904</v>
      </c>
      <c r="I308" s="5"/>
      <c r="J308" s="5"/>
      <c r="K308" s="14"/>
    </row>
    <row r="309" spans="2:11">
      <c r="B309" s="42">
        <v>133</v>
      </c>
      <c r="C309" s="21" t="s">
        <v>52</v>
      </c>
      <c r="D309" s="22" t="s">
        <v>562</v>
      </c>
      <c r="E309" s="323" t="s">
        <v>867</v>
      </c>
      <c r="F309" s="5"/>
      <c r="G309" s="320" t="s">
        <v>234</v>
      </c>
      <c r="H309" s="303" t="s">
        <v>904</v>
      </c>
      <c r="I309" s="5"/>
      <c r="J309" s="5"/>
      <c r="K309" s="14"/>
    </row>
    <row r="310" spans="2:11">
      <c r="B310" s="42">
        <v>124</v>
      </c>
      <c r="C310" s="21" t="s">
        <v>43</v>
      </c>
      <c r="D310" s="22" t="s">
        <v>465</v>
      </c>
      <c r="E310" s="323" t="s">
        <v>867</v>
      </c>
      <c r="F310" s="323"/>
      <c r="G310" s="320" t="s">
        <v>978</v>
      </c>
      <c r="H310" s="5"/>
      <c r="I310" s="5"/>
      <c r="J310" s="5"/>
      <c r="K310" s="14"/>
    </row>
    <row r="311" spans="2:11">
      <c r="B311" s="42">
        <v>125</v>
      </c>
      <c r="C311" s="21" t="s">
        <v>44</v>
      </c>
      <c r="D311" s="22" t="s">
        <v>456</v>
      </c>
      <c r="E311" s="323" t="s">
        <v>867</v>
      </c>
      <c r="F311" s="323"/>
      <c r="G311" s="320" t="s">
        <v>979</v>
      </c>
      <c r="H311" s="5"/>
      <c r="I311" s="5"/>
      <c r="J311" s="5"/>
      <c r="K311" s="14"/>
    </row>
    <row r="312" spans="2:11">
      <c r="B312" s="42">
        <v>162</v>
      </c>
      <c r="C312" s="21" t="s">
        <v>81</v>
      </c>
      <c r="D312" s="22" t="s">
        <v>433</v>
      </c>
      <c r="E312" s="5"/>
      <c r="F312" s="5"/>
      <c r="G312" s="5"/>
      <c r="H312" s="5"/>
      <c r="I312" s="5"/>
      <c r="J312" s="5"/>
      <c r="K312" s="14"/>
    </row>
    <row r="313" spans="2:11">
      <c r="B313" s="42">
        <v>161</v>
      </c>
      <c r="C313" s="21" t="s">
        <v>80</v>
      </c>
      <c r="D313" s="327" t="s">
        <v>327</v>
      </c>
      <c r="E313" s="323" t="s">
        <v>867</v>
      </c>
      <c r="F313" s="323"/>
      <c r="G313" s="320" t="s">
        <v>87</v>
      </c>
      <c r="H313" s="5"/>
      <c r="I313" s="5"/>
      <c r="J313" s="5"/>
      <c r="K313" s="14"/>
    </row>
    <row r="314" spans="2:11">
      <c r="B314" s="42">
        <v>164</v>
      </c>
      <c r="C314" s="21" t="s">
        <v>83</v>
      </c>
      <c r="D314" s="22" t="s">
        <v>458</v>
      </c>
      <c r="E314" s="5"/>
      <c r="F314" s="5"/>
      <c r="G314" s="5"/>
      <c r="H314" s="5"/>
      <c r="I314" s="5"/>
      <c r="J314" s="5"/>
      <c r="K314" s="14"/>
    </row>
    <row r="315" spans="2:11">
      <c r="B315" s="42">
        <v>163</v>
      </c>
      <c r="C315" s="21" t="s">
        <v>82</v>
      </c>
      <c r="D315" s="327" t="s">
        <v>448</v>
      </c>
      <c r="E315" s="323" t="s">
        <v>867</v>
      </c>
      <c r="F315" s="323"/>
      <c r="G315" s="320" t="s">
        <v>97</v>
      </c>
      <c r="H315" s="5"/>
      <c r="I315" s="5"/>
      <c r="J315" s="5"/>
      <c r="K315" s="14"/>
    </row>
    <row r="316" spans="2:11">
      <c r="B316" s="42">
        <v>181</v>
      </c>
      <c r="C316" s="21" t="s">
        <v>100</v>
      </c>
      <c r="D316" s="22" t="s">
        <v>432</v>
      </c>
      <c r="E316" s="5"/>
      <c r="F316" s="5"/>
      <c r="G316" s="5"/>
      <c r="H316" s="5"/>
      <c r="I316" s="5"/>
      <c r="J316" s="5"/>
      <c r="K316" s="14"/>
    </row>
    <row r="317" spans="2:11">
      <c r="B317" s="42">
        <v>191</v>
      </c>
      <c r="C317" s="21" t="s">
        <v>110</v>
      </c>
      <c r="D317" s="22" t="s">
        <v>432</v>
      </c>
      <c r="E317" s="5"/>
      <c r="F317" s="5"/>
      <c r="G317" s="5"/>
      <c r="H317" s="5"/>
      <c r="I317" s="5"/>
      <c r="J317" s="5"/>
      <c r="K317" s="14"/>
    </row>
    <row r="318" spans="2:11">
      <c r="B318" s="42">
        <v>201</v>
      </c>
      <c r="C318" s="21" t="s">
        <v>120</v>
      </c>
      <c r="D318" s="22" t="s">
        <v>432</v>
      </c>
      <c r="E318" s="5"/>
      <c r="F318" s="5"/>
      <c r="G318" s="5"/>
      <c r="H318" s="5"/>
      <c r="I318" s="5"/>
      <c r="J318" s="5"/>
      <c r="K318" s="14"/>
    </row>
    <row r="319" spans="2:11">
      <c r="B319" s="42">
        <v>211</v>
      </c>
      <c r="C319" s="21" t="s">
        <v>130</v>
      </c>
      <c r="D319" s="22" t="s">
        <v>432</v>
      </c>
      <c r="E319" s="5"/>
      <c r="F319" s="5"/>
      <c r="G319" s="5"/>
      <c r="H319" s="5"/>
      <c r="I319" s="5"/>
      <c r="J319" s="5"/>
      <c r="K319" s="14"/>
    </row>
    <row r="320" spans="2:11">
      <c r="B320" s="42">
        <v>185</v>
      </c>
      <c r="C320" s="21" t="s">
        <v>104</v>
      </c>
      <c r="D320" s="22" t="s">
        <v>432</v>
      </c>
      <c r="E320" s="5"/>
      <c r="F320" s="5"/>
      <c r="G320" s="5"/>
      <c r="H320" s="5"/>
      <c r="I320" s="5"/>
      <c r="J320" s="5"/>
      <c r="K320" s="14"/>
    </row>
    <row r="321" spans="2:11">
      <c r="B321" s="42">
        <v>195</v>
      </c>
      <c r="C321" s="21" t="s">
        <v>114</v>
      </c>
      <c r="D321" s="22" t="s">
        <v>432</v>
      </c>
      <c r="E321" s="5"/>
      <c r="F321" s="5"/>
      <c r="G321" s="5"/>
      <c r="H321" s="5"/>
      <c r="I321" s="5"/>
      <c r="J321" s="5"/>
      <c r="K321" s="14"/>
    </row>
    <row r="322" spans="2:11">
      <c r="B322" s="42">
        <v>205</v>
      </c>
      <c r="C322" s="21" t="s">
        <v>124</v>
      </c>
      <c r="D322" s="22" t="s">
        <v>432</v>
      </c>
      <c r="E322" s="5"/>
      <c r="F322" s="5"/>
      <c r="G322" s="5"/>
      <c r="H322" s="5"/>
      <c r="I322" s="5"/>
      <c r="J322" s="5"/>
      <c r="K322" s="14"/>
    </row>
    <row r="323" spans="2:11">
      <c r="B323" s="42">
        <v>215</v>
      </c>
      <c r="C323" s="21" t="s">
        <v>134</v>
      </c>
      <c r="D323" s="22" t="s">
        <v>432</v>
      </c>
      <c r="E323" s="5"/>
      <c r="F323" s="5"/>
      <c r="G323" s="5"/>
      <c r="H323" s="5"/>
      <c r="I323" s="5"/>
      <c r="J323" s="5"/>
      <c r="K323" s="14"/>
    </row>
    <row r="324" spans="2:11">
      <c r="B324" s="42">
        <v>186</v>
      </c>
      <c r="C324" s="21" t="s">
        <v>105</v>
      </c>
      <c r="D324" s="22" t="s">
        <v>432</v>
      </c>
      <c r="E324" s="5"/>
      <c r="F324" s="5"/>
      <c r="G324" s="5"/>
      <c r="H324" s="5"/>
      <c r="I324" s="5"/>
      <c r="J324" s="5"/>
      <c r="K324" s="14"/>
    </row>
    <row r="325" spans="2:11">
      <c r="B325" s="42">
        <v>196</v>
      </c>
      <c r="C325" s="21" t="s">
        <v>115</v>
      </c>
      <c r="D325" s="22" t="s">
        <v>432</v>
      </c>
      <c r="E325" s="5"/>
      <c r="F325" s="5"/>
      <c r="G325" s="5"/>
      <c r="H325" s="5"/>
      <c r="I325" s="5"/>
      <c r="J325" s="5"/>
      <c r="K325" s="14"/>
    </row>
    <row r="326" spans="2:11">
      <c r="B326" s="42">
        <v>151</v>
      </c>
      <c r="C326" s="21" t="s">
        <v>70</v>
      </c>
      <c r="D326" s="22" t="s">
        <v>326</v>
      </c>
      <c r="E326" s="5"/>
      <c r="F326" s="5"/>
      <c r="G326" s="5"/>
      <c r="H326" s="5"/>
      <c r="I326" s="5"/>
      <c r="J326" s="5"/>
      <c r="K326" s="14"/>
    </row>
    <row r="327" spans="2:11">
      <c r="B327" s="42">
        <v>172</v>
      </c>
      <c r="C327" s="21" t="s">
        <v>91</v>
      </c>
      <c r="D327" s="22" t="s">
        <v>434</v>
      </c>
      <c r="E327" s="5"/>
      <c r="F327" s="5"/>
      <c r="G327" s="5"/>
      <c r="H327" s="5"/>
      <c r="I327" s="5"/>
      <c r="J327" s="5"/>
      <c r="K327" s="14"/>
    </row>
    <row r="328" spans="2:11">
      <c r="B328" s="42">
        <v>171</v>
      </c>
      <c r="C328" s="21" t="s">
        <v>90</v>
      </c>
      <c r="D328" s="22" t="s">
        <v>328</v>
      </c>
      <c r="E328" s="5"/>
      <c r="F328" s="5"/>
      <c r="G328" s="5"/>
      <c r="H328" s="5"/>
      <c r="I328" s="5"/>
      <c r="J328" s="5"/>
      <c r="K328" s="14"/>
    </row>
    <row r="329" spans="2:11">
      <c r="B329" s="42">
        <v>142</v>
      </c>
      <c r="C329" s="21" t="s">
        <v>61</v>
      </c>
      <c r="D329" s="22" t="s">
        <v>329</v>
      </c>
      <c r="E329" s="5"/>
      <c r="F329" s="5"/>
      <c r="G329" s="5"/>
      <c r="H329" s="5"/>
      <c r="I329" s="5"/>
      <c r="J329" s="5"/>
      <c r="K329" s="14"/>
    </row>
    <row r="330" spans="2:11">
      <c r="B330" s="42">
        <v>152</v>
      </c>
      <c r="C330" s="21" t="s">
        <v>71</v>
      </c>
      <c r="D330" s="22" t="s">
        <v>329</v>
      </c>
      <c r="E330" s="5"/>
      <c r="F330" s="5"/>
      <c r="G330" s="5"/>
      <c r="H330" s="5"/>
      <c r="I330" s="5"/>
      <c r="J330" s="5"/>
      <c r="K330" s="14"/>
    </row>
    <row r="331" spans="2:11">
      <c r="B331" s="42">
        <v>143</v>
      </c>
      <c r="C331" s="21" t="s">
        <v>62</v>
      </c>
      <c r="D331" s="22" t="s">
        <v>329</v>
      </c>
      <c r="E331" s="5"/>
      <c r="F331" s="5"/>
      <c r="G331" s="5"/>
      <c r="H331" s="5"/>
      <c r="I331" s="5"/>
      <c r="J331" s="5"/>
      <c r="K331" s="14"/>
    </row>
    <row r="332" spans="2:11">
      <c r="B332" s="42">
        <v>153</v>
      </c>
      <c r="C332" s="21" t="s">
        <v>72</v>
      </c>
      <c r="D332" s="22" t="s">
        <v>329</v>
      </c>
      <c r="E332" s="5"/>
      <c r="F332" s="5"/>
      <c r="G332" s="5"/>
      <c r="H332" s="5"/>
      <c r="I332" s="5"/>
      <c r="J332" s="5"/>
      <c r="K332" s="14"/>
    </row>
    <row r="333" spans="2:11">
      <c r="B333" s="42">
        <v>144</v>
      </c>
      <c r="C333" s="21" t="s">
        <v>63</v>
      </c>
      <c r="D333" s="22" t="s">
        <v>329</v>
      </c>
      <c r="E333" s="5"/>
      <c r="F333" s="5"/>
      <c r="G333" s="5"/>
      <c r="H333" s="5"/>
      <c r="I333" s="5"/>
      <c r="J333" s="5"/>
      <c r="K333" s="14"/>
    </row>
    <row r="334" spans="2:11">
      <c r="B334" s="42">
        <v>154</v>
      </c>
      <c r="C334" s="21" t="s">
        <v>73</v>
      </c>
      <c r="D334" s="22" t="s">
        <v>329</v>
      </c>
      <c r="E334" s="5"/>
      <c r="F334" s="5"/>
      <c r="G334" s="5"/>
      <c r="H334" s="5"/>
      <c r="I334" s="5"/>
      <c r="J334" s="5"/>
      <c r="K334" s="14"/>
    </row>
    <row r="335" spans="2:11">
      <c r="B335" s="42">
        <v>145</v>
      </c>
      <c r="C335" s="21" t="s">
        <v>64</v>
      </c>
      <c r="D335" s="22" t="s">
        <v>329</v>
      </c>
      <c r="E335" s="5"/>
      <c r="F335" s="5"/>
      <c r="G335" s="5"/>
      <c r="H335" s="5"/>
      <c r="I335" s="5"/>
      <c r="J335" s="5"/>
      <c r="K335" s="14"/>
    </row>
    <row r="336" spans="2:11">
      <c r="B336" s="42">
        <v>155</v>
      </c>
      <c r="C336" s="21" t="s">
        <v>74</v>
      </c>
      <c r="D336" s="22" t="s">
        <v>329</v>
      </c>
      <c r="E336" s="5"/>
      <c r="F336" s="5"/>
      <c r="G336" s="5"/>
      <c r="H336" s="5"/>
      <c r="I336" s="5"/>
      <c r="J336" s="5"/>
      <c r="K336" s="14"/>
    </row>
    <row r="337" spans="2:48">
      <c r="B337" s="42">
        <v>165</v>
      </c>
      <c r="C337" s="21" t="s">
        <v>84</v>
      </c>
      <c r="D337" s="22" t="s">
        <v>329</v>
      </c>
      <c r="E337" s="5"/>
      <c r="F337" s="5"/>
      <c r="G337" s="5"/>
      <c r="H337" s="5"/>
      <c r="I337" s="5"/>
      <c r="J337" s="5"/>
      <c r="K337" s="14"/>
    </row>
    <row r="338" spans="2:48">
      <c r="B338" s="42">
        <v>146</v>
      </c>
      <c r="C338" s="21" t="s">
        <v>65</v>
      </c>
      <c r="D338" s="22" t="s">
        <v>329</v>
      </c>
      <c r="E338" s="5"/>
      <c r="F338" s="5"/>
      <c r="G338" s="5"/>
      <c r="H338" s="5"/>
      <c r="I338" s="5"/>
      <c r="J338" s="5"/>
      <c r="K338" s="14"/>
    </row>
    <row r="339" spans="2:48">
      <c r="B339" s="42">
        <v>156</v>
      </c>
      <c r="C339" s="21" t="s">
        <v>75</v>
      </c>
      <c r="D339" s="22" t="s">
        <v>329</v>
      </c>
      <c r="E339" s="5"/>
      <c r="F339" s="5"/>
      <c r="G339" s="5"/>
      <c r="H339" s="5"/>
      <c r="I339" s="5"/>
      <c r="J339" s="5"/>
      <c r="K339" s="14"/>
    </row>
    <row r="340" spans="2:48">
      <c r="B340" s="42">
        <v>166</v>
      </c>
      <c r="C340" s="21" t="s">
        <v>85</v>
      </c>
      <c r="D340" s="22" t="s">
        <v>329</v>
      </c>
      <c r="E340" s="5"/>
      <c r="F340" s="5"/>
      <c r="G340" s="5"/>
      <c r="H340" s="5"/>
      <c r="I340" s="5"/>
      <c r="J340" s="5"/>
      <c r="K340" s="14"/>
    </row>
    <row r="341" spans="2:48">
      <c r="B341" s="42">
        <v>212</v>
      </c>
      <c r="C341" s="21" t="s">
        <v>131</v>
      </c>
      <c r="D341" s="22" t="s">
        <v>436</v>
      </c>
      <c r="E341" s="5"/>
      <c r="F341" s="5"/>
      <c r="G341" s="5"/>
      <c r="H341" s="5"/>
      <c r="I341" s="5"/>
      <c r="J341" s="5"/>
      <c r="K341" s="14"/>
    </row>
    <row r="342" spans="2:48">
      <c r="B342" s="42">
        <v>202</v>
      </c>
      <c r="C342" s="21" t="s">
        <v>121</v>
      </c>
      <c r="D342" s="327" t="s">
        <v>435</v>
      </c>
      <c r="E342" s="323" t="s">
        <v>867</v>
      </c>
      <c r="F342" s="323"/>
      <c r="G342" s="320" t="s">
        <v>27</v>
      </c>
      <c r="H342" s="5"/>
      <c r="I342" s="5"/>
      <c r="J342" s="5"/>
      <c r="K342" s="14"/>
    </row>
    <row r="343" spans="2:48">
      <c r="B343" s="42">
        <v>174</v>
      </c>
      <c r="C343" s="21" t="s">
        <v>93</v>
      </c>
      <c r="D343" s="327" t="s">
        <v>459</v>
      </c>
      <c r="E343" s="323" t="s">
        <v>867</v>
      </c>
      <c r="F343" s="5"/>
      <c r="G343" s="320" t="s">
        <v>1037</v>
      </c>
      <c r="H343" s="5"/>
      <c r="I343" s="5"/>
      <c r="J343" s="5"/>
      <c r="K343" s="14"/>
    </row>
    <row r="344" spans="2:48">
      <c r="B344" s="42">
        <v>173</v>
      </c>
      <c r="C344" s="21" t="s">
        <v>92</v>
      </c>
      <c r="D344" s="327" t="s">
        <v>449</v>
      </c>
      <c r="E344" s="323" t="s">
        <v>867</v>
      </c>
      <c r="F344" s="5"/>
      <c r="G344" s="332" t="s">
        <v>1038</v>
      </c>
      <c r="H344" s="5"/>
      <c r="I344" s="5"/>
      <c r="J344" s="5"/>
      <c r="K344" s="14"/>
    </row>
    <row r="345" spans="2:48">
      <c r="B345" s="42">
        <v>135</v>
      </c>
      <c r="C345" s="21" t="s">
        <v>54</v>
      </c>
      <c r="D345" s="327" t="s">
        <v>457</v>
      </c>
      <c r="E345" s="323" t="s">
        <v>867</v>
      </c>
      <c r="F345" s="323"/>
      <c r="G345" s="396" t="s">
        <v>317</v>
      </c>
      <c r="H345" s="5"/>
      <c r="I345" s="5"/>
      <c r="J345" s="5"/>
      <c r="K345" s="14"/>
    </row>
    <row r="346" spans="2:48">
      <c r="B346" s="42">
        <v>134</v>
      </c>
      <c r="C346" s="21" t="s">
        <v>53</v>
      </c>
      <c r="D346" s="327" t="s">
        <v>466</v>
      </c>
      <c r="E346" s="323" t="s">
        <v>867</v>
      </c>
      <c r="F346" s="323"/>
      <c r="G346" s="320" t="s">
        <v>974</v>
      </c>
      <c r="H346" s="5"/>
      <c r="I346" s="5"/>
      <c r="J346" s="5"/>
      <c r="K346" s="14"/>
    </row>
    <row r="347" spans="2:48">
      <c r="B347" s="260">
        <v>332</v>
      </c>
      <c r="C347" s="261" t="s">
        <v>251</v>
      </c>
      <c r="D347" s="262" t="s">
        <v>549</v>
      </c>
      <c r="E347" s="325" t="s">
        <v>867</v>
      </c>
      <c r="F347" s="212"/>
      <c r="G347" s="386" t="s">
        <v>121</v>
      </c>
      <c r="H347" s="336" t="s">
        <v>905</v>
      </c>
      <c r="I347" s="212"/>
      <c r="J347" s="212"/>
      <c r="K347" s="263"/>
      <c r="AQ347"/>
      <c r="AR347"/>
      <c r="AS347"/>
      <c r="AT347"/>
      <c r="AU347"/>
      <c r="AV347"/>
    </row>
    <row r="348" spans="2:48">
      <c r="B348" s="260">
        <v>331</v>
      </c>
      <c r="C348" s="261" t="s">
        <v>250</v>
      </c>
      <c r="D348" s="262" t="s">
        <v>529</v>
      </c>
      <c r="E348" s="325" t="s">
        <v>867</v>
      </c>
      <c r="F348" s="212"/>
      <c r="G348" s="386" t="s">
        <v>131</v>
      </c>
      <c r="H348" s="346" t="s">
        <v>905</v>
      </c>
      <c r="I348" s="212"/>
      <c r="J348" s="212"/>
      <c r="K348" s="263"/>
      <c r="AQ348"/>
      <c r="AR348"/>
      <c r="AS348"/>
      <c r="AT348"/>
      <c r="AU348"/>
      <c r="AV348"/>
    </row>
    <row r="349" spans="2:48">
      <c r="B349" s="260">
        <v>322</v>
      </c>
      <c r="C349" s="261" t="s">
        <v>241</v>
      </c>
      <c r="D349" s="262" t="s">
        <v>548</v>
      </c>
      <c r="E349" s="325" t="s">
        <v>867</v>
      </c>
      <c r="F349" s="212"/>
      <c r="G349" s="386" t="s">
        <v>140</v>
      </c>
      <c r="H349" s="346" t="s">
        <v>905</v>
      </c>
      <c r="I349" s="212"/>
      <c r="J349" s="212"/>
      <c r="K349" s="263"/>
      <c r="AQ349"/>
      <c r="AR349"/>
      <c r="AS349"/>
      <c r="AT349"/>
      <c r="AU349"/>
      <c r="AV349"/>
    </row>
    <row r="350" spans="2:48">
      <c r="B350" s="260">
        <v>321</v>
      </c>
      <c r="C350" s="261" t="s">
        <v>240</v>
      </c>
      <c r="D350" s="262" t="s">
        <v>528</v>
      </c>
      <c r="E350" s="325" t="s">
        <v>867</v>
      </c>
      <c r="F350" s="212"/>
      <c r="G350" s="386" t="s">
        <v>150</v>
      </c>
      <c r="H350" s="346" t="s">
        <v>905</v>
      </c>
      <c r="I350" s="212"/>
      <c r="J350" s="212"/>
      <c r="K350" s="263"/>
      <c r="AQ350"/>
      <c r="AR350"/>
      <c r="AS350"/>
      <c r="AT350"/>
      <c r="AU350"/>
      <c r="AV350"/>
    </row>
    <row r="351" spans="2:48">
      <c r="B351" s="260">
        <v>312</v>
      </c>
      <c r="C351" s="261" t="s">
        <v>231</v>
      </c>
      <c r="D351" s="262" t="s">
        <v>547</v>
      </c>
      <c r="E351" s="325" t="s">
        <v>867</v>
      </c>
      <c r="F351" s="212"/>
      <c r="G351" s="386" t="s">
        <v>100</v>
      </c>
      <c r="H351" s="346" t="s">
        <v>905</v>
      </c>
      <c r="I351" s="212"/>
      <c r="J351" s="212"/>
      <c r="K351" s="263"/>
      <c r="AQ351"/>
      <c r="AR351"/>
      <c r="AS351"/>
      <c r="AT351"/>
      <c r="AU351"/>
      <c r="AV351"/>
    </row>
    <row r="352" spans="2:48">
      <c r="B352" s="260">
        <v>311</v>
      </c>
      <c r="C352" s="261" t="s">
        <v>230</v>
      </c>
      <c r="D352" s="262" t="s">
        <v>527</v>
      </c>
      <c r="E352" s="325" t="s">
        <v>867</v>
      </c>
      <c r="F352" s="212"/>
      <c r="G352" s="386" t="s">
        <v>110</v>
      </c>
      <c r="H352" s="346" t="s">
        <v>905</v>
      </c>
      <c r="I352" s="212"/>
      <c r="J352" s="212"/>
      <c r="K352" s="263"/>
      <c r="AQ352"/>
      <c r="AR352"/>
      <c r="AS352"/>
      <c r="AT352"/>
      <c r="AU352"/>
      <c r="AV352"/>
    </row>
    <row r="353" spans="2:48">
      <c r="B353" s="260">
        <v>313</v>
      </c>
      <c r="C353" s="261" t="s">
        <v>232</v>
      </c>
      <c r="D353" s="262" t="s">
        <v>572</v>
      </c>
      <c r="E353" s="325" t="s">
        <v>867</v>
      </c>
      <c r="F353" s="212"/>
      <c r="G353" s="386" t="s">
        <v>142</v>
      </c>
      <c r="H353" s="346" t="s">
        <v>905</v>
      </c>
      <c r="I353" s="212"/>
      <c r="J353" s="212"/>
      <c r="K353" s="263"/>
      <c r="AQ353"/>
      <c r="AR353"/>
      <c r="AS353"/>
      <c r="AT353"/>
      <c r="AU353"/>
      <c r="AV353"/>
    </row>
    <row r="354" spans="2:48">
      <c r="B354" s="260">
        <v>323</v>
      </c>
      <c r="C354" s="261" t="s">
        <v>242</v>
      </c>
      <c r="D354" s="262" t="s">
        <v>573</v>
      </c>
      <c r="E354" s="325" t="s">
        <v>867</v>
      </c>
      <c r="F354" s="212"/>
      <c r="G354" s="386" t="s">
        <v>152</v>
      </c>
      <c r="H354" s="346" t="s">
        <v>905</v>
      </c>
      <c r="I354" s="212"/>
      <c r="J354" s="212"/>
      <c r="K354" s="263"/>
      <c r="AQ354"/>
      <c r="AR354"/>
      <c r="AS354"/>
      <c r="AT354"/>
      <c r="AU354"/>
      <c r="AV354"/>
    </row>
    <row r="355" spans="2:48">
      <c r="B355" s="260">
        <v>303</v>
      </c>
      <c r="C355" s="261" t="s">
        <v>222</v>
      </c>
      <c r="D355" s="262" t="s">
        <v>571</v>
      </c>
      <c r="E355" s="325" t="s">
        <v>867</v>
      </c>
      <c r="F355" s="212"/>
      <c r="G355" s="386" t="s">
        <v>102</v>
      </c>
      <c r="H355" s="346" t="s">
        <v>905</v>
      </c>
      <c r="I355" s="212"/>
      <c r="J355" s="212"/>
      <c r="K355" s="263"/>
      <c r="AQ355"/>
      <c r="AR355"/>
      <c r="AS355"/>
      <c r="AT355"/>
      <c r="AU355"/>
      <c r="AV355"/>
    </row>
    <row r="356" spans="2:48">
      <c r="B356" s="260">
        <v>293</v>
      </c>
      <c r="C356" s="261" t="s">
        <v>212</v>
      </c>
      <c r="D356" s="262" t="s">
        <v>570</v>
      </c>
      <c r="E356" s="325" t="s">
        <v>867</v>
      </c>
      <c r="F356" s="212"/>
      <c r="G356" s="386" t="s">
        <v>112</v>
      </c>
      <c r="H356" s="346" t="s">
        <v>905</v>
      </c>
      <c r="I356" s="212"/>
      <c r="J356" s="212"/>
      <c r="K356" s="263"/>
      <c r="AQ356"/>
      <c r="AR356"/>
      <c r="AS356"/>
      <c r="AT356"/>
      <c r="AU356"/>
      <c r="AV356"/>
    </row>
    <row r="357" spans="2:48">
      <c r="B357" s="260">
        <v>324</v>
      </c>
      <c r="C357" s="261" t="s">
        <v>243</v>
      </c>
      <c r="D357" s="262" t="s">
        <v>594</v>
      </c>
      <c r="E357" s="325" t="s">
        <v>867</v>
      </c>
      <c r="F357" s="212"/>
      <c r="G357" s="386" t="s">
        <v>161</v>
      </c>
      <c r="H357" s="346" t="s">
        <v>905</v>
      </c>
      <c r="I357" s="212"/>
      <c r="J357" s="212"/>
      <c r="K357" s="263"/>
      <c r="AQ357"/>
      <c r="AR357"/>
      <c r="AS357"/>
      <c r="AT357"/>
      <c r="AU357"/>
      <c r="AV357"/>
    </row>
    <row r="358" spans="2:48">
      <c r="B358" s="260">
        <v>314</v>
      </c>
      <c r="C358" s="261" t="s">
        <v>233</v>
      </c>
      <c r="D358" s="262" t="s">
        <v>593</v>
      </c>
      <c r="E358" s="325" t="s">
        <v>867</v>
      </c>
      <c r="F358" s="212"/>
      <c r="G358" s="386" t="s">
        <v>171</v>
      </c>
      <c r="H358" s="346" t="s">
        <v>905</v>
      </c>
      <c r="I358" s="212"/>
      <c r="J358" s="212"/>
      <c r="K358" s="263"/>
      <c r="AQ358"/>
      <c r="AR358"/>
      <c r="AS358"/>
      <c r="AT358"/>
      <c r="AU358"/>
      <c r="AV358"/>
    </row>
    <row r="359" spans="2:48">
      <c r="B359" s="260">
        <v>244</v>
      </c>
      <c r="C359" s="261" t="s">
        <v>163</v>
      </c>
      <c r="D359" s="262" t="s">
        <v>592</v>
      </c>
      <c r="E359" s="325" t="s">
        <v>867</v>
      </c>
      <c r="F359" s="212"/>
      <c r="G359" s="386" t="s">
        <v>104</v>
      </c>
      <c r="H359" s="346" t="s">
        <v>905</v>
      </c>
      <c r="I359" s="212"/>
      <c r="J359" s="212"/>
      <c r="K359" s="263"/>
      <c r="AQ359"/>
      <c r="AR359"/>
      <c r="AS359"/>
      <c r="AT359"/>
      <c r="AU359"/>
      <c r="AV359"/>
    </row>
    <row r="360" spans="2:48">
      <c r="B360" s="260">
        <v>245</v>
      </c>
      <c r="C360" s="261" t="s">
        <v>164</v>
      </c>
      <c r="D360" s="262" t="s">
        <v>607</v>
      </c>
      <c r="E360" s="325" t="s">
        <v>867</v>
      </c>
      <c r="F360" s="212"/>
      <c r="G360" s="386" t="s">
        <v>114</v>
      </c>
      <c r="H360" s="346" t="s">
        <v>905</v>
      </c>
      <c r="I360" s="212"/>
      <c r="J360" s="212"/>
      <c r="K360" s="263"/>
      <c r="AQ360"/>
      <c r="AR360"/>
      <c r="AS360"/>
      <c r="AT360"/>
      <c r="AU360"/>
      <c r="AV360"/>
    </row>
    <row r="361" spans="2:48">
      <c r="B361" s="260">
        <v>234</v>
      </c>
      <c r="C361" s="261" t="s">
        <v>153</v>
      </c>
      <c r="D361" s="262" t="s">
        <v>591</v>
      </c>
      <c r="E361" s="325" t="s">
        <v>867</v>
      </c>
      <c r="F361" s="212"/>
      <c r="G361" s="386" t="s">
        <v>163</v>
      </c>
      <c r="H361" s="346" t="s">
        <v>905</v>
      </c>
      <c r="I361" s="212"/>
      <c r="J361" s="212"/>
      <c r="K361" s="263"/>
      <c r="AQ361"/>
      <c r="AR361"/>
      <c r="AS361"/>
      <c r="AT361"/>
      <c r="AU361"/>
      <c r="AV361"/>
    </row>
    <row r="362" spans="2:48">
      <c r="B362" s="260">
        <v>235</v>
      </c>
      <c r="C362" s="261" t="s">
        <v>154</v>
      </c>
      <c r="D362" s="262" t="s">
        <v>606</v>
      </c>
      <c r="E362" s="325" t="s">
        <v>867</v>
      </c>
      <c r="F362" s="212"/>
      <c r="G362" s="386" t="s">
        <v>173</v>
      </c>
      <c r="H362" s="346" t="s">
        <v>905</v>
      </c>
      <c r="I362" s="212"/>
      <c r="J362" s="212"/>
      <c r="K362" s="263"/>
      <c r="AQ362"/>
      <c r="AR362"/>
      <c r="AS362"/>
      <c r="AT362"/>
      <c r="AU362"/>
      <c r="AV362"/>
    </row>
    <row r="363" spans="2:48">
      <c r="B363" s="260">
        <v>224</v>
      </c>
      <c r="C363" s="261" t="s">
        <v>143</v>
      </c>
      <c r="D363" s="262" t="s">
        <v>590</v>
      </c>
      <c r="E363" s="325" t="s">
        <v>867</v>
      </c>
      <c r="F363" s="212"/>
      <c r="G363" s="386" t="s">
        <v>123</v>
      </c>
      <c r="H363" s="346" t="s">
        <v>905</v>
      </c>
      <c r="I363" s="212"/>
      <c r="J363" s="212"/>
      <c r="K363" s="263"/>
      <c r="AQ363"/>
      <c r="AR363"/>
      <c r="AS363"/>
      <c r="AT363"/>
      <c r="AU363"/>
      <c r="AV363"/>
    </row>
    <row r="364" spans="2:48">
      <c r="B364" s="260">
        <v>225</v>
      </c>
      <c r="C364" s="261" t="s">
        <v>144</v>
      </c>
      <c r="D364" s="262" t="s">
        <v>605</v>
      </c>
      <c r="E364" s="325" t="s">
        <v>867</v>
      </c>
      <c r="F364" s="212"/>
      <c r="G364" s="386" t="s">
        <v>133</v>
      </c>
      <c r="H364" s="346" t="s">
        <v>905</v>
      </c>
      <c r="I364" s="212"/>
      <c r="J364" s="212"/>
      <c r="K364" s="263"/>
      <c r="AQ364"/>
      <c r="AR364"/>
      <c r="AS364"/>
      <c r="AT364"/>
      <c r="AU364"/>
      <c r="AV364"/>
    </row>
    <row r="365" spans="2:48">
      <c r="B365" s="260">
        <v>252</v>
      </c>
      <c r="C365" s="261" t="s">
        <v>171</v>
      </c>
      <c r="D365" s="262" t="s">
        <v>546</v>
      </c>
      <c r="E365" s="325" t="s">
        <v>867</v>
      </c>
      <c r="F365" s="212"/>
      <c r="G365" s="386" t="s">
        <v>165</v>
      </c>
      <c r="H365" s="346" t="s">
        <v>905</v>
      </c>
      <c r="I365" s="212"/>
      <c r="J365" s="212"/>
      <c r="K365" s="263"/>
      <c r="AQ365"/>
      <c r="AR365"/>
      <c r="AS365"/>
      <c r="AT365"/>
      <c r="AU365"/>
      <c r="AV365"/>
    </row>
    <row r="366" spans="2:48">
      <c r="B366" s="260">
        <v>253</v>
      </c>
      <c r="C366" s="261" t="s">
        <v>172</v>
      </c>
      <c r="D366" s="262" t="s">
        <v>569</v>
      </c>
      <c r="E366" s="325" t="s">
        <v>867</v>
      </c>
      <c r="F366" s="212"/>
      <c r="G366" s="386" t="s">
        <v>175</v>
      </c>
      <c r="H366" s="346" t="s">
        <v>905</v>
      </c>
      <c r="I366" s="212"/>
      <c r="J366" s="212"/>
      <c r="K366" s="263"/>
      <c r="AQ366"/>
      <c r="AR366"/>
      <c r="AS366"/>
      <c r="AT366"/>
      <c r="AU366"/>
      <c r="AV366"/>
    </row>
    <row r="367" spans="2:48">
      <c r="B367" s="260">
        <v>242</v>
      </c>
      <c r="C367" s="261" t="s">
        <v>161</v>
      </c>
      <c r="D367" s="262" t="s">
        <v>545</v>
      </c>
      <c r="E367" s="325" t="s">
        <v>867</v>
      </c>
      <c r="F367" s="212"/>
      <c r="G367" s="386" t="s">
        <v>125</v>
      </c>
      <c r="H367" s="346" t="s">
        <v>905</v>
      </c>
      <c r="I367" s="212"/>
      <c r="J367" s="212"/>
      <c r="K367" s="263"/>
      <c r="AQ367"/>
      <c r="AR367"/>
      <c r="AS367"/>
      <c r="AT367"/>
      <c r="AU367"/>
      <c r="AV367"/>
    </row>
    <row r="368" spans="2:48">
      <c r="B368" s="260">
        <v>243</v>
      </c>
      <c r="C368" s="261" t="s">
        <v>162</v>
      </c>
      <c r="D368" s="262" t="s">
        <v>568</v>
      </c>
      <c r="E368" s="325" t="s">
        <v>867</v>
      </c>
      <c r="F368" s="212"/>
      <c r="G368" s="386" t="s">
        <v>135</v>
      </c>
      <c r="H368" s="346" t="s">
        <v>905</v>
      </c>
      <c r="I368" s="212"/>
      <c r="J368" s="212"/>
      <c r="K368" s="263"/>
      <c r="AQ368"/>
      <c r="AR368"/>
      <c r="AS368"/>
      <c r="AT368"/>
      <c r="AU368"/>
      <c r="AV368"/>
    </row>
    <row r="369" spans="2:48">
      <c r="B369" s="260">
        <v>222</v>
      </c>
      <c r="C369" s="261" t="s">
        <v>141</v>
      </c>
      <c r="D369" s="262" t="s">
        <v>544</v>
      </c>
      <c r="E369" s="325" t="s">
        <v>867</v>
      </c>
      <c r="F369" s="212"/>
      <c r="G369" s="386" t="s">
        <v>144</v>
      </c>
      <c r="H369" s="346" t="s">
        <v>905</v>
      </c>
      <c r="I369" s="212"/>
      <c r="J369" s="212"/>
      <c r="K369" s="263"/>
      <c r="AQ369"/>
      <c r="AR369"/>
      <c r="AS369"/>
      <c r="AT369"/>
      <c r="AU369"/>
      <c r="AV369"/>
    </row>
    <row r="370" spans="2:48">
      <c r="B370" s="260">
        <v>223</v>
      </c>
      <c r="C370" s="261" t="s">
        <v>142</v>
      </c>
      <c r="D370" s="262" t="s">
        <v>567</v>
      </c>
      <c r="E370" s="325" t="s">
        <v>867</v>
      </c>
      <c r="F370" s="212"/>
      <c r="G370" s="386" t="s">
        <v>154</v>
      </c>
      <c r="H370" s="346" t="s">
        <v>905</v>
      </c>
      <c r="I370" s="212"/>
      <c r="J370" s="212"/>
      <c r="K370" s="263"/>
      <c r="AQ370"/>
      <c r="AR370"/>
      <c r="AS370"/>
      <c r="AT370"/>
      <c r="AU370"/>
      <c r="AV370"/>
    </row>
    <row r="371" spans="2:48">
      <c r="B371" s="260">
        <v>254</v>
      </c>
      <c r="C371" s="261" t="s">
        <v>173</v>
      </c>
      <c r="D371" s="262" t="s">
        <v>460</v>
      </c>
      <c r="E371" s="325" t="s">
        <v>867</v>
      </c>
      <c r="F371" s="325"/>
      <c r="G371" s="325" t="s">
        <v>306</v>
      </c>
      <c r="H371" s="212"/>
      <c r="I371" s="212"/>
      <c r="J371" s="212"/>
      <c r="K371" s="263"/>
    </row>
    <row r="372" spans="2:48">
      <c r="B372" s="260">
        <v>255</v>
      </c>
      <c r="C372" s="261" t="s">
        <v>174</v>
      </c>
      <c r="D372" s="262" t="s">
        <v>467</v>
      </c>
      <c r="E372" s="325" t="s">
        <v>867</v>
      </c>
      <c r="F372" s="325"/>
      <c r="G372" s="325" t="s">
        <v>316</v>
      </c>
      <c r="H372" s="212"/>
      <c r="I372" s="212"/>
      <c r="J372" s="212"/>
      <c r="K372" s="263"/>
    </row>
    <row r="373" spans="2:48">
      <c r="B373" s="260">
        <v>275</v>
      </c>
      <c r="C373" s="261" t="s">
        <v>194</v>
      </c>
      <c r="D373" s="262" t="s">
        <v>468</v>
      </c>
      <c r="E373" s="212"/>
      <c r="F373" s="212"/>
      <c r="G373" s="212"/>
      <c r="H373" s="212"/>
      <c r="I373" s="212"/>
      <c r="J373" s="212"/>
      <c r="K373" s="263"/>
    </row>
    <row r="374" spans="2:48">
      <c r="B374" s="260">
        <v>274</v>
      </c>
      <c r="C374" s="261" t="s">
        <v>193</v>
      </c>
      <c r="D374" s="326" t="s">
        <v>461</v>
      </c>
      <c r="E374" s="325" t="s">
        <v>867</v>
      </c>
      <c r="F374" s="325"/>
      <c r="G374" s="325" t="s">
        <v>47</v>
      </c>
      <c r="H374" s="212"/>
      <c r="I374" s="212"/>
      <c r="J374" s="212"/>
      <c r="K374" s="263"/>
    </row>
    <row r="375" spans="2:48">
      <c r="B375" s="260">
        <v>272</v>
      </c>
      <c r="C375" s="261" t="s">
        <v>191</v>
      </c>
      <c r="D375" s="262" t="s">
        <v>438</v>
      </c>
      <c r="E375" s="212"/>
      <c r="F375" s="212"/>
      <c r="G375" s="212"/>
      <c r="H375" s="212"/>
      <c r="I375" s="212"/>
      <c r="J375" s="212"/>
      <c r="K375" s="263"/>
    </row>
    <row r="376" spans="2:48">
      <c r="B376" s="260">
        <v>273</v>
      </c>
      <c r="C376" s="261" t="s">
        <v>192</v>
      </c>
      <c r="D376" s="326" t="s">
        <v>451</v>
      </c>
      <c r="E376" s="325" t="s">
        <v>867</v>
      </c>
      <c r="F376" s="325"/>
      <c r="G376" s="325" t="s">
        <v>57</v>
      </c>
      <c r="H376" s="212"/>
      <c r="I376" s="212"/>
      <c r="J376" s="212"/>
      <c r="K376" s="263"/>
    </row>
    <row r="377" spans="2:48">
      <c r="B377" s="260">
        <v>291</v>
      </c>
      <c r="C377" s="261" t="s">
        <v>210</v>
      </c>
      <c r="D377" s="262" t="s">
        <v>330</v>
      </c>
      <c r="E377" s="212"/>
      <c r="F377" s="212"/>
      <c r="G377" s="212"/>
      <c r="H377" s="212"/>
      <c r="I377" s="212"/>
      <c r="J377" s="212"/>
      <c r="K377" s="263"/>
    </row>
    <row r="378" spans="2:48">
      <c r="B378" s="260">
        <v>292</v>
      </c>
      <c r="C378" s="261" t="s">
        <v>211</v>
      </c>
      <c r="D378" s="262" t="s">
        <v>330</v>
      </c>
      <c r="E378" s="212"/>
      <c r="F378" s="212"/>
      <c r="G378" s="212"/>
      <c r="H378" s="212"/>
      <c r="I378" s="212"/>
      <c r="J378" s="212"/>
      <c r="K378" s="263"/>
    </row>
    <row r="379" spans="2:48">
      <c r="B379" s="260">
        <v>295</v>
      </c>
      <c r="C379" s="261" t="s">
        <v>214</v>
      </c>
      <c r="D379" s="262" t="s">
        <v>330</v>
      </c>
      <c r="E379" s="212"/>
      <c r="F379" s="212"/>
      <c r="G379" s="212"/>
      <c r="H379" s="212"/>
      <c r="I379" s="212"/>
      <c r="J379" s="212"/>
      <c r="K379" s="263"/>
    </row>
    <row r="380" spans="2:48">
      <c r="B380" s="260">
        <v>305</v>
      </c>
      <c r="C380" s="261" t="s">
        <v>224</v>
      </c>
      <c r="D380" s="262" t="s">
        <v>330</v>
      </c>
      <c r="E380" s="212"/>
      <c r="F380" s="212"/>
      <c r="G380" s="212"/>
      <c r="H380" s="212"/>
      <c r="I380" s="212"/>
      <c r="J380" s="212"/>
      <c r="K380" s="263"/>
    </row>
    <row r="381" spans="2:48">
      <c r="B381" s="260">
        <v>315</v>
      </c>
      <c r="C381" s="261" t="s">
        <v>234</v>
      </c>
      <c r="D381" s="262" t="s">
        <v>330</v>
      </c>
      <c r="E381" s="212"/>
      <c r="F381" s="212"/>
      <c r="G381" s="212"/>
      <c r="H381" s="212"/>
      <c r="I381" s="212"/>
      <c r="J381" s="212"/>
      <c r="K381" s="263"/>
    </row>
    <row r="382" spans="2:48">
      <c r="B382" s="260">
        <v>325</v>
      </c>
      <c r="C382" s="261" t="s">
        <v>244</v>
      </c>
      <c r="D382" s="262" t="s">
        <v>330</v>
      </c>
      <c r="E382" s="212"/>
      <c r="F382" s="212"/>
      <c r="G382" s="212"/>
      <c r="H382" s="212"/>
      <c r="I382" s="212"/>
      <c r="J382" s="212"/>
      <c r="K382" s="263"/>
    </row>
    <row r="383" spans="2:48">
      <c r="B383" s="260">
        <v>261</v>
      </c>
      <c r="C383" s="261" t="s">
        <v>180</v>
      </c>
      <c r="D383" s="262" t="s">
        <v>331</v>
      </c>
      <c r="E383" s="212"/>
      <c r="F383" s="212"/>
      <c r="G383" s="212"/>
      <c r="H383" s="212"/>
      <c r="I383" s="212"/>
      <c r="J383" s="212"/>
      <c r="K383" s="263"/>
    </row>
    <row r="384" spans="2:48">
      <c r="B384" s="260">
        <v>281</v>
      </c>
      <c r="C384" s="261" t="s">
        <v>200</v>
      </c>
      <c r="D384" s="262" t="s">
        <v>333</v>
      </c>
      <c r="E384" s="212"/>
      <c r="F384" s="212"/>
      <c r="G384" s="212"/>
      <c r="H384" s="212"/>
      <c r="I384" s="212"/>
      <c r="J384" s="212"/>
      <c r="K384" s="263"/>
    </row>
    <row r="385" spans="2:11">
      <c r="B385" s="260">
        <v>271</v>
      </c>
      <c r="C385" s="261" t="s">
        <v>190</v>
      </c>
      <c r="D385" s="262" t="s">
        <v>332</v>
      </c>
      <c r="E385" s="212"/>
      <c r="F385" s="212"/>
      <c r="G385" s="212"/>
      <c r="H385" s="212"/>
      <c r="I385" s="212"/>
      <c r="J385" s="212"/>
      <c r="K385" s="263"/>
    </row>
    <row r="386" spans="2:11">
      <c r="B386" s="260">
        <v>221</v>
      </c>
      <c r="C386" s="261" t="s">
        <v>140</v>
      </c>
      <c r="D386" s="262" t="s">
        <v>334</v>
      </c>
      <c r="E386" s="212"/>
      <c r="F386" s="212"/>
      <c r="G386" s="212"/>
      <c r="H386" s="212"/>
      <c r="I386" s="212"/>
      <c r="J386" s="212"/>
      <c r="K386" s="263"/>
    </row>
    <row r="387" spans="2:11">
      <c r="B387" s="260">
        <v>231</v>
      </c>
      <c r="C387" s="261" t="s">
        <v>150</v>
      </c>
      <c r="D387" s="262" t="s">
        <v>334</v>
      </c>
      <c r="E387" s="212"/>
      <c r="F387" s="212"/>
      <c r="G387" s="212"/>
      <c r="H387" s="212"/>
      <c r="I387" s="212"/>
      <c r="J387" s="212"/>
      <c r="K387" s="263"/>
    </row>
    <row r="388" spans="2:11">
      <c r="B388" s="260">
        <v>241</v>
      </c>
      <c r="C388" s="261" t="s">
        <v>160</v>
      </c>
      <c r="D388" s="262" t="s">
        <v>334</v>
      </c>
      <c r="E388" s="212"/>
      <c r="F388" s="212"/>
      <c r="G388" s="212"/>
      <c r="H388" s="212"/>
      <c r="I388" s="212"/>
      <c r="J388" s="212"/>
      <c r="K388" s="263"/>
    </row>
    <row r="389" spans="2:11">
      <c r="B389" s="260">
        <v>251</v>
      </c>
      <c r="C389" s="261" t="s">
        <v>170</v>
      </c>
      <c r="D389" s="262" t="s">
        <v>334</v>
      </c>
      <c r="E389" s="212"/>
      <c r="F389" s="212"/>
      <c r="G389" s="212"/>
      <c r="H389" s="212"/>
      <c r="I389" s="212"/>
      <c r="J389" s="212"/>
      <c r="K389" s="263"/>
    </row>
    <row r="390" spans="2:11">
      <c r="B390" s="260">
        <v>262</v>
      </c>
      <c r="C390" s="261" t="s">
        <v>181</v>
      </c>
      <c r="D390" s="262" t="s">
        <v>334</v>
      </c>
      <c r="E390" s="212"/>
      <c r="F390" s="212"/>
      <c r="G390" s="212"/>
      <c r="H390" s="212"/>
      <c r="I390" s="212"/>
      <c r="J390" s="212"/>
      <c r="K390" s="263"/>
    </row>
    <row r="391" spans="2:11">
      <c r="B391" s="260">
        <v>263</v>
      </c>
      <c r="C391" s="261" t="s">
        <v>182</v>
      </c>
      <c r="D391" s="262" t="s">
        <v>334</v>
      </c>
      <c r="E391" s="212"/>
      <c r="F391" s="212"/>
      <c r="G391" s="212"/>
      <c r="H391" s="212"/>
      <c r="I391" s="212"/>
      <c r="J391" s="212"/>
      <c r="K391" s="263"/>
    </row>
    <row r="392" spans="2:11">
      <c r="B392" s="260">
        <v>264</v>
      </c>
      <c r="C392" s="261" t="s">
        <v>183</v>
      </c>
      <c r="D392" s="262" t="s">
        <v>334</v>
      </c>
      <c r="E392" s="212"/>
      <c r="F392" s="212"/>
      <c r="G392" s="212"/>
      <c r="H392" s="212"/>
      <c r="I392" s="212"/>
      <c r="J392" s="212"/>
      <c r="K392" s="263"/>
    </row>
    <row r="393" spans="2:11">
      <c r="B393" s="260">
        <v>265</v>
      </c>
      <c r="C393" s="261" t="s">
        <v>184</v>
      </c>
      <c r="D393" s="262" t="s">
        <v>334</v>
      </c>
      <c r="E393" s="212"/>
      <c r="F393" s="212"/>
      <c r="G393" s="212"/>
      <c r="H393" s="212"/>
      <c r="I393" s="212"/>
      <c r="J393" s="212"/>
      <c r="K393" s="263"/>
    </row>
    <row r="394" spans="2:11">
      <c r="B394" s="260">
        <v>302</v>
      </c>
      <c r="C394" s="261" t="s">
        <v>221</v>
      </c>
      <c r="D394" s="262" t="s">
        <v>439</v>
      </c>
      <c r="E394" s="212"/>
      <c r="F394" s="212"/>
      <c r="G394" s="212"/>
      <c r="H394" s="212"/>
      <c r="I394" s="212"/>
      <c r="J394" s="212"/>
      <c r="K394" s="263"/>
    </row>
    <row r="395" spans="2:11" ht="16.5" thickBot="1">
      <c r="B395" s="260">
        <v>301</v>
      </c>
      <c r="C395" s="261" t="s">
        <v>220</v>
      </c>
      <c r="D395" s="326" t="s">
        <v>335</v>
      </c>
      <c r="E395" s="325" t="s">
        <v>867</v>
      </c>
      <c r="F395" s="325"/>
      <c r="G395" s="329" t="s">
        <v>187</v>
      </c>
      <c r="H395" s="212"/>
      <c r="I395" s="212"/>
      <c r="J395" s="212"/>
      <c r="K395" s="263"/>
    </row>
    <row r="396" spans="2:11" ht="16.5" thickBot="1">
      <c r="B396" s="260">
        <v>304</v>
      </c>
      <c r="C396" s="261" t="s">
        <v>223</v>
      </c>
      <c r="D396" s="326" t="s">
        <v>463</v>
      </c>
      <c r="E396" s="349" t="s">
        <v>867</v>
      </c>
      <c r="F396" s="212"/>
      <c r="G396" s="391" t="s">
        <v>970</v>
      </c>
      <c r="H396" s="212"/>
      <c r="I396" s="212"/>
      <c r="J396" s="212"/>
      <c r="K396" s="263"/>
    </row>
    <row r="397" spans="2:11">
      <c r="B397" s="260">
        <v>294</v>
      </c>
      <c r="C397" s="261" t="s">
        <v>213</v>
      </c>
      <c r="D397" s="326" t="s">
        <v>462</v>
      </c>
      <c r="E397" s="349" t="s">
        <v>867</v>
      </c>
      <c r="F397" s="212"/>
      <c r="G397" s="391" t="s">
        <v>971</v>
      </c>
      <c r="H397" s="212"/>
      <c r="I397" s="212"/>
      <c r="J397" s="212"/>
      <c r="K397" s="263"/>
    </row>
    <row r="398" spans="2:11">
      <c r="B398" s="260">
        <v>232</v>
      </c>
      <c r="C398" s="261" t="s">
        <v>151</v>
      </c>
      <c r="D398" s="326" t="s">
        <v>450</v>
      </c>
      <c r="E398" s="325" t="s">
        <v>867</v>
      </c>
      <c r="F398" s="325"/>
      <c r="G398" s="325" t="s">
        <v>317</v>
      </c>
      <c r="H398" s="212"/>
      <c r="I398" s="212"/>
      <c r="J398" s="212"/>
      <c r="K398" s="263"/>
    </row>
    <row r="399" spans="2:11">
      <c r="B399" s="260">
        <v>233</v>
      </c>
      <c r="C399" s="261" t="s">
        <v>152</v>
      </c>
      <c r="D399" s="326" t="s">
        <v>437</v>
      </c>
      <c r="E399" s="325" t="s">
        <v>867</v>
      </c>
      <c r="F399" s="325"/>
      <c r="G399" s="325" t="s">
        <v>297</v>
      </c>
      <c r="H399" s="212"/>
      <c r="I399" s="212"/>
      <c r="J399" s="212"/>
      <c r="K399" s="263"/>
    </row>
    <row r="400" spans="2:11">
      <c r="B400" s="213">
        <v>282</v>
      </c>
      <c r="C400" s="214" t="s">
        <v>201</v>
      </c>
      <c r="D400" s="267" t="s">
        <v>454</v>
      </c>
      <c r="E400" s="199"/>
      <c r="F400" s="216"/>
      <c r="G400" s="216"/>
      <c r="H400" s="199"/>
      <c r="I400" s="216"/>
      <c r="J400" s="216"/>
      <c r="K400" s="217"/>
    </row>
    <row r="401" spans="2:11">
      <c r="B401" s="213">
        <v>283</v>
      </c>
      <c r="C401" s="214" t="s">
        <v>202</v>
      </c>
      <c r="D401" s="267" t="s">
        <v>454</v>
      </c>
      <c r="E401" s="199"/>
      <c r="F401" s="216"/>
      <c r="G401" s="216"/>
      <c r="H401" s="199"/>
      <c r="I401" s="216"/>
      <c r="J401" s="216"/>
      <c r="K401" s="217"/>
    </row>
    <row r="402" spans="2:11">
      <c r="B402" s="213">
        <v>284</v>
      </c>
      <c r="C402" s="214" t="s">
        <v>203</v>
      </c>
      <c r="D402" s="267" t="s">
        <v>454</v>
      </c>
      <c r="E402" s="199"/>
      <c r="F402" s="216"/>
      <c r="G402" s="216"/>
      <c r="H402" s="199"/>
      <c r="I402" s="216"/>
      <c r="J402" s="216"/>
      <c r="K402" s="217"/>
    </row>
    <row r="403" spans="2:11">
      <c r="B403" s="213">
        <v>285</v>
      </c>
      <c r="C403" s="214" t="s">
        <v>204</v>
      </c>
      <c r="D403" s="267" t="s">
        <v>454</v>
      </c>
      <c r="E403" s="199"/>
      <c r="F403" s="216"/>
      <c r="G403" s="216"/>
      <c r="H403" s="199"/>
      <c r="I403" s="216"/>
      <c r="J403" s="216"/>
      <c r="K403" s="217"/>
    </row>
    <row r="404" spans="2:11">
      <c r="B404" s="213">
        <v>335</v>
      </c>
      <c r="C404" s="214" t="s">
        <v>254</v>
      </c>
      <c r="D404" s="267" t="s">
        <v>454</v>
      </c>
      <c r="E404" s="199"/>
      <c r="F404" s="216"/>
      <c r="G404" s="216"/>
      <c r="H404" s="199"/>
      <c r="I404" s="216"/>
      <c r="J404" s="216"/>
      <c r="K404" s="217"/>
    </row>
    <row r="405" spans="2:11" ht="16.5" thickBot="1">
      <c r="B405" s="298">
        <v>99</v>
      </c>
      <c r="C405" s="299" t="s">
        <v>11</v>
      </c>
      <c r="D405" s="300" t="s">
        <v>454</v>
      </c>
      <c r="E405" s="290"/>
      <c r="F405" s="301"/>
      <c r="G405" s="301"/>
      <c r="H405" s="290"/>
      <c r="I405" s="301"/>
      <c r="J405" s="301"/>
      <c r="K405" s="302"/>
    </row>
  </sheetData>
  <sortState ref="B6:K405">
    <sortCondition ref="D6:D405"/>
  </sortState>
  <mergeCells count="11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</mergeCells>
  <conditionalFormatting sqref="F117:F118 F282:F283 B6:D405 F398:G405 F92:G116 F250:G281 F285:F311 F395:F397 F227:G244 F127:G151 F120:F122 F342:F370 F284:G284 F245:F249 F157:G220 F315 F316:G341 F313 F314:G314 F226 F224 F225:G225 F223:G223 F126 F124 F125:G125 F91 F89 F90:G90 F221:F222 F152:F156 F123:G123 F119:G119 F371:G394 F312:G312 I6:K405 F6:G88">
    <cfRule type="expression" dxfId="1201" priority="171">
      <formula>MOD(ROW(),2)=0</formula>
    </cfRule>
  </conditionalFormatting>
  <conditionalFormatting sqref="G282:G283">
    <cfRule type="expression" dxfId="1200" priority="162">
      <formula>MOD(ROW(),2)=0</formula>
    </cfRule>
  </conditionalFormatting>
  <conditionalFormatting sqref="G310:G311">
    <cfRule type="expression" dxfId="1199" priority="159">
      <formula>MOD(ROW(),2)=0</formula>
    </cfRule>
  </conditionalFormatting>
  <conditionalFormatting sqref="G89">
    <cfRule type="expression" dxfId="1198" priority="158">
      <formula>MOD(ROW(),2)=0</formula>
    </cfRule>
  </conditionalFormatting>
  <conditionalFormatting sqref="G91">
    <cfRule type="expression" dxfId="1197" priority="157">
      <formula>MOD(ROW(),2)=0</formula>
    </cfRule>
  </conditionalFormatting>
  <conditionalFormatting sqref="G313">
    <cfRule type="expression" dxfId="1196" priority="152">
      <formula>MOD(ROW(),2)=0</formula>
    </cfRule>
  </conditionalFormatting>
  <conditionalFormatting sqref="G315">
    <cfRule type="expression" dxfId="1195" priority="151">
      <formula>MOD(ROW(),2)=0</formula>
    </cfRule>
  </conditionalFormatting>
  <conditionalFormatting sqref="G395">
    <cfRule type="expression" dxfId="1194" priority="133">
      <formula>MOD(ROW(),2)=0</formula>
    </cfRule>
  </conditionalFormatting>
  <conditionalFormatting sqref="G342">
    <cfRule type="expression" dxfId="1193" priority="106">
      <formula>MOD(ROW(),2)=0</formula>
    </cfRule>
  </conditionalFormatting>
  <conditionalFormatting sqref="G120">
    <cfRule type="expression" dxfId="1192" priority="105">
      <formula>MOD(ROW(),2)=0</formula>
    </cfRule>
  </conditionalFormatting>
  <conditionalFormatting sqref="G285">
    <cfRule type="expression" dxfId="1191" priority="102">
      <formula>MOD(ROW(),2)=0</formula>
    </cfRule>
  </conditionalFormatting>
  <conditionalFormatting sqref="G346">
    <cfRule type="expression" dxfId="1190" priority="101">
      <formula>MOD(ROW(),2)=0</formula>
    </cfRule>
  </conditionalFormatting>
  <conditionalFormatting sqref="E396:E397">
    <cfRule type="expression" dxfId="1189" priority="65">
      <formula>MOD(ROW(),2)=0</formula>
    </cfRule>
  </conditionalFormatting>
  <conditionalFormatting sqref="E373 E6:E85 E400:E405 E90 E92:E115 E88 E121:E281 E284:E346 E375 E377:E394">
    <cfRule type="expression" dxfId="1188" priority="70">
      <formula>MOD(ROW(),2)=0</formula>
    </cfRule>
  </conditionalFormatting>
  <conditionalFormatting sqref="E347:E366">
    <cfRule type="expression" dxfId="1187" priority="69">
      <formula>MOD(ROW(),2)=0</formula>
    </cfRule>
  </conditionalFormatting>
  <conditionalFormatting sqref="E367:E370">
    <cfRule type="expression" dxfId="1186" priority="68">
      <formula>MOD(ROW(),2)=0</formula>
    </cfRule>
  </conditionalFormatting>
  <conditionalFormatting sqref="H310:H346 H371:H405 H6:H45 H66:H152 H155:H285">
    <cfRule type="expression" dxfId="1185" priority="64">
      <formula>MOD(ROW(),2)=0</formula>
    </cfRule>
  </conditionalFormatting>
  <conditionalFormatting sqref="H46:H65">
    <cfRule type="expression" dxfId="1184" priority="63">
      <formula>MOD(ROW(),2)=0</formula>
    </cfRule>
  </conditionalFormatting>
  <conditionalFormatting sqref="H286:H309">
    <cfRule type="expression" dxfId="1183" priority="62">
      <formula>MOD(ROW(),2)=0</formula>
    </cfRule>
  </conditionalFormatting>
  <conditionalFormatting sqref="H347:H370">
    <cfRule type="expression" dxfId="1182" priority="61">
      <formula>MOD(ROW(),2)=0</formula>
    </cfRule>
  </conditionalFormatting>
  <conditionalFormatting sqref="E117:E118">
    <cfRule type="expression" dxfId="1181" priority="59">
      <formula>MOD(ROW(),2)=0</formula>
    </cfRule>
  </conditionalFormatting>
  <conditionalFormatting sqref="E282:E283">
    <cfRule type="expression" dxfId="1180" priority="58">
      <formula>MOD(ROW(),2)=0</formula>
    </cfRule>
  </conditionalFormatting>
  <conditionalFormatting sqref="G290:G291">
    <cfRule type="expression" dxfId="1179" priority="57">
      <formula>MOD(ROW(),2)=0</formula>
    </cfRule>
  </conditionalFormatting>
  <conditionalFormatting sqref="G288:G289">
    <cfRule type="expression" dxfId="1178" priority="56">
      <formula>MOD(ROW(),2)=0</formula>
    </cfRule>
  </conditionalFormatting>
  <conditionalFormatting sqref="G286:G287">
    <cfRule type="expression" dxfId="1177" priority="55">
      <formula>MOD(ROW(),2)=0</formula>
    </cfRule>
  </conditionalFormatting>
  <conditionalFormatting sqref="G296:G297">
    <cfRule type="expression" dxfId="1176" priority="54">
      <formula>MOD(ROW(),2)=0</formula>
    </cfRule>
  </conditionalFormatting>
  <conditionalFormatting sqref="G294:G295">
    <cfRule type="expression" dxfId="1175" priority="53">
      <formula>MOD(ROW(),2)=0</formula>
    </cfRule>
  </conditionalFormatting>
  <conditionalFormatting sqref="G292:G293">
    <cfRule type="expression" dxfId="1174" priority="52">
      <formula>MOD(ROW(),2)=0</formula>
    </cfRule>
  </conditionalFormatting>
  <conditionalFormatting sqref="G302:G303">
    <cfRule type="expression" dxfId="1173" priority="51">
      <formula>MOD(ROW(),2)=0</formula>
    </cfRule>
  </conditionalFormatting>
  <conditionalFormatting sqref="G300:G301">
    <cfRule type="expression" dxfId="1172" priority="50">
      <formula>MOD(ROW(),2)=0</formula>
    </cfRule>
  </conditionalFormatting>
  <conditionalFormatting sqref="G298:G299">
    <cfRule type="expression" dxfId="1171" priority="49">
      <formula>MOD(ROW(),2)=0</formula>
    </cfRule>
  </conditionalFormatting>
  <conditionalFormatting sqref="G308:G309">
    <cfRule type="expression" dxfId="1170" priority="48">
      <formula>MOD(ROW(),2)=0</formula>
    </cfRule>
  </conditionalFormatting>
  <conditionalFormatting sqref="G306:G307">
    <cfRule type="expression" dxfId="1169" priority="47">
      <formula>MOD(ROW(),2)=0</formula>
    </cfRule>
  </conditionalFormatting>
  <conditionalFormatting sqref="G304:G305">
    <cfRule type="expression" dxfId="1168" priority="46">
      <formula>MOD(ROW(),2)=0</formula>
    </cfRule>
  </conditionalFormatting>
  <conditionalFormatting sqref="G351:G352">
    <cfRule type="expression" dxfId="1167" priority="45">
      <formula>MOD(ROW(),2)=0</formula>
    </cfRule>
  </conditionalFormatting>
  <conditionalFormatting sqref="G349:G350">
    <cfRule type="expression" dxfId="1166" priority="44">
      <formula>MOD(ROW(),2)=0</formula>
    </cfRule>
  </conditionalFormatting>
  <conditionalFormatting sqref="G347:G348">
    <cfRule type="expression" dxfId="1165" priority="43">
      <formula>MOD(ROW(),2)=0</formula>
    </cfRule>
  </conditionalFormatting>
  <conditionalFormatting sqref="G357:G358">
    <cfRule type="expression" dxfId="1164" priority="42">
      <formula>MOD(ROW(),2)=0</formula>
    </cfRule>
  </conditionalFormatting>
  <conditionalFormatting sqref="G355:G356">
    <cfRule type="expression" dxfId="1163" priority="41">
      <formula>MOD(ROW(),2)=0</formula>
    </cfRule>
  </conditionalFormatting>
  <conditionalFormatting sqref="G353:G354">
    <cfRule type="expression" dxfId="1162" priority="40">
      <formula>MOD(ROW(),2)=0</formula>
    </cfRule>
  </conditionalFormatting>
  <conditionalFormatting sqref="G363:G364">
    <cfRule type="expression" dxfId="1161" priority="39">
      <formula>MOD(ROW(),2)=0</formula>
    </cfRule>
  </conditionalFormatting>
  <conditionalFormatting sqref="G361:G362">
    <cfRule type="expression" dxfId="1160" priority="38">
      <formula>MOD(ROW(),2)=0</formula>
    </cfRule>
  </conditionalFormatting>
  <conditionalFormatting sqref="G359:G360">
    <cfRule type="expression" dxfId="1159" priority="37">
      <formula>MOD(ROW(),2)=0</formula>
    </cfRule>
  </conditionalFormatting>
  <conditionalFormatting sqref="G369:G370">
    <cfRule type="expression" dxfId="1158" priority="36">
      <formula>MOD(ROW(),2)=0</formula>
    </cfRule>
  </conditionalFormatting>
  <conditionalFormatting sqref="G367:G368">
    <cfRule type="expression" dxfId="1157" priority="35">
      <formula>MOD(ROW(),2)=0</formula>
    </cfRule>
  </conditionalFormatting>
  <conditionalFormatting sqref="G365:G366">
    <cfRule type="expression" dxfId="1156" priority="34">
      <formula>MOD(ROW(),2)=0</formula>
    </cfRule>
  </conditionalFormatting>
  <conditionalFormatting sqref="G154">
    <cfRule type="expression" dxfId="1155" priority="33">
      <formula>MOD(ROW(),2)=0</formula>
    </cfRule>
  </conditionalFormatting>
  <conditionalFormatting sqref="G153">
    <cfRule type="expression" dxfId="1154" priority="32">
      <formula>MOD(ROW(),2)=0</formula>
    </cfRule>
  </conditionalFormatting>
  <conditionalFormatting sqref="H153:H154">
    <cfRule type="expression" dxfId="1153" priority="31">
      <formula>MOD(ROW(),2)=0</formula>
    </cfRule>
  </conditionalFormatting>
  <conditionalFormatting sqref="G152">
    <cfRule type="expression" dxfId="1152" priority="30">
      <formula>MOD(ROW(),2)=0</formula>
    </cfRule>
  </conditionalFormatting>
  <conditionalFormatting sqref="G156">
    <cfRule type="expression" dxfId="1151" priority="29">
      <formula>MOD(ROW(),2)=0</formula>
    </cfRule>
  </conditionalFormatting>
  <conditionalFormatting sqref="G124">
    <cfRule type="expression" dxfId="1150" priority="28">
      <formula>MOD(ROW(),2)=0</formula>
    </cfRule>
  </conditionalFormatting>
  <conditionalFormatting sqref="G126">
    <cfRule type="expression" dxfId="1149" priority="27">
      <formula>MOD(ROW(),2)=0</formula>
    </cfRule>
  </conditionalFormatting>
  <conditionalFormatting sqref="G121:G122">
    <cfRule type="expression" dxfId="1148" priority="26">
      <formula>MOD(ROW(),2)=0</formula>
    </cfRule>
  </conditionalFormatting>
  <conditionalFormatting sqref="G117:G118">
    <cfRule type="expression" dxfId="1147" priority="25">
      <formula>MOD(ROW(),2)=0</formula>
    </cfRule>
  </conditionalFormatting>
  <conditionalFormatting sqref="E119:E120">
    <cfRule type="expression" dxfId="1146" priority="24">
      <formula>MOD(ROW(),2)=0</formula>
    </cfRule>
  </conditionalFormatting>
  <conditionalFormatting sqref="E116">
    <cfRule type="expression" dxfId="1145" priority="23">
      <formula>MOD(ROW(),2)=0</formula>
    </cfRule>
  </conditionalFormatting>
  <conditionalFormatting sqref="E89">
    <cfRule type="expression" dxfId="1144" priority="22">
      <formula>MOD(ROW(),2)=0</formula>
    </cfRule>
  </conditionalFormatting>
  <conditionalFormatting sqref="E91">
    <cfRule type="expression" dxfId="1143" priority="21">
      <formula>MOD(ROW(),2)=0</formula>
    </cfRule>
  </conditionalFormatting>
  <conditionalFormatting sqref="E87">
    <cfRule type="expression" dxfId="1142" priority="20">
      <formula>MOD(ROW(),2)=0</formula>
    </cfRule>
  </conditionalFormatting>
  <conditionalFormatting sqref="E86">
    <cfRule type="expression" dxfId="1141" priority="19">
      <formula>MOD(ROW(),2)=0</formula>
    </cfRule>
  </conditionalFormatting>
  <conditionalFormatting sqref="G246:G247">
    <cfRule type="expression" dxfId="1140" priority="18">
      <formula>MOD(ROW(),2)=0</formula>
    </cfRule>
  </conditionalFormatting>
  <conditionalFormatting sqref="G249">
    <cfRule type="expression" dxfId="1139" priority="17">
      <formula>MOD(ROW(),2)=0</formula>
    </cfRule>
  </conditionalFormatting>
  <conditionalFormatting sqref="G245">
    <cfRule type="expression" dxfId="1138" priority="16">
      <formula>MOD(ROW(),2)=0</formula>
    </cfRule>
  </conditionalFormatting>
  <conditionalFormatting sqref="G224">
    <cfRule type="expression" dxfId="1137" priority="15">
      <formula>MOD(ROW(),2)=0</formula>
    </cfRule>
  </conditionalFormatting>
  <conditionalFormatting sqref="G226">
    <cfRule type="expression" dxfId="1136" priority="14">
      <formula>MOD(ROW(),2)=0</formula>
    </cfRule>
  </conditionalFormatting>
  <conditionalFormatting sqref="G221:G222">
    <cfRule type="expression" dxfId="1135" priority="13">
      <formula>MOD(ROW(),2)=0</formula>
    </cfRule>
  </conditionalFormatting>
  <conditionalFormatting sqref="G343:G344">
    <cfRule type="expression" dxfId="1134" priority="12">
      <formula>MOD(ROW(),2)=0</formula>
    </cfRule>
  </conditionalFormatting>
  <conditionalFormatting sqref="E371">
    <cfRule type="expression" dxfId="1133" priority="11">
      <formula>MOD(ROW(),2)=0</formula>
    </cfRule>
  </conditionalFormatting>
  <conditionalFormatting sqref="E372">
    <cfRule type="expression" dxfId="1132" priority="10">
      <formula>MOD(ROW(),2)=0</formula>
    </cfRule>
  </conditionalFormatting>
  <conditionalFormatting sqref="E374">
    <cfRule type="expression" dxfId="1131" priority="9">
      <formula>MOD(ROW(),2)=0</formula>
    </cfRule>
  </conditionalFormatting>
  <conditionalFormatting sqref="E376">
    <cfRule type="expression" dxfId="1130" priority="8">
      <formula>MOD(ROW(),2)=0</formula>
    </cfRule>
  </conditionalFormatting>
  <conditionalFormatting sqref="E395">
    <cfRule type="expression" dxfId="1129" priority="7">
      <formula>MOD(ROW(),2)=0</formula>
    </cfRule>
  </conditionalFormatting>
  <conditionalFormatting sqref="E398">
    <cfRule type="expression" dxfId="1128" priority="6">
      <formula>MOD(ROW(),2)=0</formula>
    </cfRule>
  </conditionalFormatting>
  <conditionalFormatting sqref="E399">
    <cfRule type="expression" dxfId="1127" priority="5">
      <formula>MOD(ROW(),2)=0</formula>
    </cfRule>
  </conditionalFormatting>
  <conditionalFormatting sqref="G396:G397">
    <cfRule type="expression" dxfId="1126" priority="4">
      <formula>MOD(ROW(),2)=0</formula>
    </cfRule>
  </conditionalFormatting>
  <conditionalFormatting sqref="G155">
    <cfRule type="expression" dxfId="1125" priority="3">
      <formula>MOD(ROW(),2)=0</formula>
    </cfRule>
  </conditionalFormatting>
  <conditionalFormatting sqref="G248">
    <cfRule type="expression" dxfId="1124" priority="2">
      <formula>MOD(ROW(),2)=0</formula>
    </cfRule>
  </conditionalFormatting>
  <conditionalFormatting sqref="G345">
    <cfRule type="expression" dxfId="1123" priority="1">
      <formula>MOD(ROW(),2)=0</formula>
    </cfRule>
  </conditionalFormatting>
  <hyperlinks>
    <hyperlink ref="AL17" location="'0'!A1" tooltip="X stave 0, Front" display="'0'!A1"/>
    <hyperlink ref="AJ17" location="'1'!A1" tooltip="X stave 1, Back" display="'1'!A1"/>
    <hyperlink ref="AH17" location="'2'!A1" tooltip="Stereo stave 0, Back" display="'2'!A1"/>
    <hyperlink ref="AF17" location="'3'!A1" tooltip="Stereo stave 0, Front" display="'3'!A1"/>
    <hyperlink ref="AD17" location="'4'!A1" tooltip="X stave 1, Front" display="'4'!A1"/>
    <hyperlink ref="AB17" location="'5'!A1" tooltip="X stave 1, Back" display="'5'!A1"/>
    <hyperlink ref="Z17" location="'6'!A1" tooltip="Stereo stave 1, Back" display="'6'!A1"/>
    <hyperlink ref="X17" location="'7'!A1" tooltip="Stereo stave 1, Front" display="'7'!A1"/>
    <hyperlink ref="V17" location="'8'!A1" tooltip="X stave 2, Front" display="'8'!A1"/>
    <hyperlink ref="T17" location="'9'!A1" tooltip="X stave 2, Back" display="'9'!A1"/>
    <hyperlink ref="R17" location="'10'!A1" tooltip="Stereo stave 2, Back" display="'10'!A1"/>
    <hyperlink ref="P17" location="'11'!A1" tooltip="Stereo stave 2, Front" display="'11'!A1"/>
    <hyperlink ref="AL18" location="'0'!A1" tooltip="X stave 0, Front" display="'0'!A1"/>
    <hyperlink ref="AJ18" location="'1'!A1" tooltip="X stave 1, Back" display="'1'!A1"/>
    <hyperlink ref="AH18" location="'2'!A1" tooltip="Stereo stave 0, Back" display="'2'!A1"/>
    <hyperlink ref="AF18" location="'3'!A1" tooltip="Stereo stave 0, Front" display="'3'!A1"/>
    <hyperlink ref="AD18" location="'4'!A1" tooltip="X stave 1, Front" display="'4'!A1"/>
    <hyperlink ref="AB18" location="'5'!A1" tooltip="X stave 1, Back" display="'5'!A1"/>
    <hyperlink ref="Z18" location="'6'!A1" tooltip="Stereo stave 1, Back" display="'6'!A1"/>
    <hyperlink ref="X18" location="'7'!A1" tooltip="Stereo stave 1, Front" display="'7'!A1"/>
    <hyperlink ref="V18" location="'8'!A1" tooltip="X stave 2, Front" display="'8'!A1"/>
    <hyperlink ref="T18" location="'9'!A1" tooltip="X stave 2, Back" display="'9'!A1"/>
    <hyperlink ref="R18" location="'10'!A1" tooltip="Stereo stave 2, Back" display="'10'!A1"/>
    <hyperlink ref="P18" location="'11'!A1" tooltip="Stereo stave 2, Front" display="'11'!A1"/>
  </hyperlinks>
  <pageMargins left="0.75" right="0.75" top="1" bottom="1" header="0.5" footer="0.5"/>
  <pageSetup orientation="portrait" horizontalDpi="4294967292" verticalDpi="4294967292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AV405"/>
  <sheetViews>
    <sheetView zoomScale="85" zoomScaleNormal="85" workbookViewId="0">
      <selection activeCell="AJ18" sqref="AJ18"/>
    </sheetView>
  </sheetViews>
  <sheetFormatPr defaultColWidth="11" defaultRowHeight="15.75"/>
  <cols>
    <col min="1" max="1" width="2.875" style="3" customWidth="1"/>
    <col min="2" max="2" width="6.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75" style="1" customWidth="1"/>
    <col min="7" max="7" width="7.875" style="1" bestFit="1" customWidth="1"/>
    <col min="8" max="10" width="7.875" style="1" customWidth="1"/>
    <col min="11" max="11" width="7.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5" thickBot="1"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/>
    </row>
    <row r="2" spans="2:44" s="4" customFormat="1" ht="16.5" customHeight="1">
      <c r="D2" s="43" t="s">
        <v>718</v>
      </c>
      <c r="E2" s="551" t="s">
        <v>956</v>
      </c>
      <c r="F2" s="551"/>
      <c r="G2" s="552" t="s">
        <v>853</v>
      </c>
      <c r="H2" s="552"/>
      <c r="I2" s="552"/>
      <c r="J2" s="40"/>
      <c r="L2" s="177"/>
      <c r="M2" s="178"/>
      <c r="N2" s="180"/>
      <c r="O2" s="179"/>
      <c r="P2" s="180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80"/>
      <c r="AM2" s="180"/>
      <c r="AN2" s="180"/>
      <c r="AO2" s="181"/>
      <c r="AP2" s="177"/>
      <c r="AQ2" s="182"/>
      <c r="AR2"/>
    </row>
    <row r="3" spans="2:44" s="1" customFormat="1">
      <c r="D3"/>
      <c r="E3" s="40"/>
      <c r="F3" s="40"/>
      <c r="G3" s="40"/>
      <c r="H3" s="40"/>
      <c r="I3" s="40"/>
      <c r="J3" s="40"/>
      <c r="L3" s="177"/>
      <c r="M3" s="183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5"/>
      <c r="AP3" s="177"/>
      <c r="AQ3" s="186"/>
      <c r="AR3"/>
    </row>
    <row r="4" spans="2:44" s="6" customFormat="1" ht="16.5" thickBot="1">
      <c r="B4" s="553" t="s">
        <v>722</v>
      </c>
      <c r="C4" s="554"/>
      <c r="D4" s="554"/>
      <c r="E4" s="554"/>
      <c r="F4" s="554"/>
      <c r="G4" s="554"/>
      <c r="H4" s="554"/>
      <c r="I4" s="554"/>
      <c r="J4" s="554"/>
      <c r="K4" s="555"/>
      <c r="L4" s="177"/>
      <c r="M4" s="187"/>
      <c r="N4" s="184"/>
      <c r="O4" s="184"/>
      <c r="P4" s="184"/>
      <c r="Q4" s="184"/>
      <c r="R4" s="16" t="s">
        <v>13</v>
      </c>
      <c r="S4" s="16"/>
      <c r="T4" s="16" t="s">
        <v>14</v>
      </c>
      <c r="U4" s="16"/>
      <c r="V4" s="16" t="s">
        <v>13</v>
      </c>
      <c r="W4" s="16"/>
      <c r="X4" s="16" t="s">
        <v>14</v>
      </c>
      <c r="Y4" s="16"/>
      <c r="Z4" s="16" t="s">
        <v>13</v>
      </c>
      <c r="AA4" s="16"/>
      <c r="AB4" s="16" t="s">
        <v>14</v>
      </c>
      <c r="AC4" s="16"/>
      <c r="AD4" s="16" t="s">
        <v>13</v>
      </c>
      <c r="AE4" s="16"/>
      <c r="AF4" s="16" t="s">
        <v>14</v>
      </c>
      <c r="AG4" s="16"/>
      <c r="AH4" s="16" t="s">
        <v>13</v>
      </c>
      <c r="AI4" s="16"/>
      <c r="AJ4" s="16" t="s">
        <v>14</v>
      </c>
      <c r="AK4" s="16"/>
      <c r="AL4" s="16" t="s">
        <v>13</v>
      </c>
      <c r="AM4" s="16"/>
      <c r="AN4" s="16" t="s">
        <v>14</v>
      </c>
      <c r="AO4" s="185"/>
      <c r="AP4" s="177"/>
      <c r="AQ4" s="182" t="s">
        <v>710</v>
      </c>
      <c r="AR4"/>
    </row>
    <row r="5" spans="2:44" s="12" customFormat="1" ht="32.25" thickBot="1">
      <c r="B5" s="41" t="s">
        <v>19</v>
      </c>
      <c r="C5" s="7" t="s">
        <v>442</v>
      </c>
      <c r="D5" s="8" t="s">
        <v>2</v>
      </c>
      <c r="E5" s="8" t="s">
        <v>1</v>
      </c>
      <c r="F5" s="9"/>
      <c r="G5" s="9" t="s">
        <v>953</v>
      </c>
      <c r="H5" s="10" t="s">
        <v>3</v>
      </c>
      <c r="I5" s="10"/>
      <c r="J5" s="10"/>
      <c r="K5" s="11"/>
      <c r="L5" s="177"/>
      <c r="M5" s="187"/>
      <c r="N5" s="184"/>
      <c r="O5" s="184"/>
      <c r="P5" s="184"/>
      <c r="Q5" s="188"/>
      <c r="R5" s="175">
        <v>5</v>
      </c>
      <c r="S5" s="175"/>
      <c r="T5" s="175">
        <v>5</v>
      </c>
      <c r="U5" s="175"/>
      <c r="V5" s="175">
        <v>4</v>
      </c>
      <c r="W5" s="175"/>
      <c r="X5" s="175">
        <v>4</v>
      </c>
      <c r="Y5" s="175"/>
      <c r="Z5" s="175">
        <v>3</v>
      </c>
      <c r="AA5" s="175"/>
      <c r="AB5" s="175">
        <v>3</v>
      </c>
      <c r="AC5" s="175"/>
      <c r="AD5" s="175">
        <v>2</v>
      </c>
      <c r="AE5" s="175"/>
      <c r="AF5" s="175">
        <v>2</v>
      </c>
      <c r="AG5" s="175"/>
      <c r="AH5" s="175">
        <v>1</v>
      </c>
      <c r="AI5" s="175"/>
      <c r="AJ5" s="175">
        <v>1</v>
      </c>
      <c r="AK5" s="175"/>
      <c r="AL5" s="175">
        <v>0</v>
      </c>
      <c r="AM5" s="175"/>
      <c r="AN5" s="175">
        <v>0</v>
      </c>
      <c r="AO5" s="185"/>
      <c r="AP5" s="177"/>
      <c r="AQ5" s="254" t="s">
        <v>711</v>
      </c>
      <c r="AR5"/>
    </row>
    <row r="6" spans="2:44">
      <c r="B6" s="42">
        <v>199</v>
      </c>
      <c r="C6" s="293" t="s">
        <v>118</v>
      </c>
      <c r="D6" s="294" t="s">
        <v>677</v>
      </c>
      <c r="E6" s="322" t="s">
        <v>868</v>
      </c>
      <c r="F6" s="322"/>
      <c r="G6" s="322" t="s">
        <v>985</v>
      </c>
      <c r="H6" s="340" t="s">
        <v>913</v>
      </c>
      <c r="I6" s="296"/>
      <c r="J6" s="296"/>
      <c r="K6" s="297"/>
      <c r="L6" s="177"/>
      <c r="M6" s="187"/>
      <c r="N6" s="184"/>
      <c r="O6" s="184"/>
      <c r="P6" s="184"/>
      <c r="Q6" s="184"/>
      <c r="R6" s="189"/>
      <c r="S6" s="184"/>
      <c r="T6" s="189"/>
      <c r="U6" s="184"/>
      <c r="V6" s="189"/>
      <c r="W6" s="184"/>
      <c r="X6" s="189"/>
      <c r="Y6" s="184"/>
      <c r="Z6" s="189"/>
      <c r="AA6" s="184"/>
      <c r="AB6" s="189"/>
      <c r="AC6" s="184"/>
      <c r="AD6" s="265"/>
      <c r="AE6" s="184"/>
      <c r="AF6" s="189"/>
      <c r="AG6" s="184"/>
      <c r="AH6" s="265"/>
      <c r="AI6" s="184"/>
      <c r="AJ6" s="189"/>
      <c r="AK6" s="184"/>
      <c r="AL6" s="265"/>
      <c r="AM6" s="184"/>
      <c r="AN6" s="189"/>
      <c r="AO6" s="185"/>
      <c r="AP6" s="177"/>
      <c r="AQ6" s="186"/>
      <c r="AR6"/>
    </row>
    <row r="7" spans="2:44" ht="16.5" thickBot="1">
      <c r="B7" s="42">
        <v>200</v>
      </c>
      <c r="C7" s="21" t="s">
        <v>119</v>
      </c>
      <c r="D7" s="22" t="s">
        <v>699</v>
      </c>
      <c r="E7" s="323" t="s">
        <v>868</v>
      </c>
      <c r="F7" s="323"/>
      <c r="G7" s="323" t="s">
        <v>986</v>
      </c>
      <c r="H7" s="312" t="s">
        <v>913</v>
      </c>
      <c r="I7" s="5"/>
      <c r="J7" s="5"/>
      <c r="K7" s="14"/>
      <c r="L7" s="177"/>
      <c r="M7" s="187"/>
      <c r="N7" s="184"/>
      <c r="O7" s="184"/>
      <c r="P7" s="184"/>
      <c r="Q7" s="184"/>
      <c r="R7" s="191"/>
      <c r="S7" s="184"/>
      <c r="T7" s="191"/>
      <c r="U7" s="184"/>
      <c r="V7" s="191"/>
      <c r="W7" s="184"/>
      <c r="X7" s="191"/>
      <c r="Y7" s="184"/>
      <c r="Z7" s="191"/>
      <c r="AA7" s="184"/>
      <c r="AB7" s="191"/>
      <c r="AC7" s="184"/>
      <c r="AD7" s="266"/>
      <c r="AE7" s="184"/>
      <c r="AF7" s="191"/>
      <c r="AG7" s="184"/>
      <c r="AH7" s="266"/>
      <c r="AI7" s="184"/>
      <c r="AJ7" s="191"/>
      <c r="AK7" s="184"/>
      <c r="AL7" s="266"/>
      <c r="AM7" s="184"/>
      <c r="AN7" s="191"/>
      <c r="AO7" s="185"/>
      <c r="AP7" s="177"/>
      <c r="AQ7" s="186"/>
      <c r="AR7"/>
    </row>
    <row r="8" spans="2:44" ht="16.5" thickBot="1">
      <c r="B8" s="42">
        <v>207</v>
      </c>
      <c r="C8" s="21" t="s">
        <v>126</v>
      </c>
      <c r="D8" s="22" t="s">
        <v>632</v>
      </c>
      <c r="E8" s="323" t="s">
        <v>868</v>
      </c>
      <c r="F8" s="323"/>
      <c r="G8" s="323" t="s">
        <v>983</v>
      </c>
      <c r="H8" s="312" t="s">
        <v>913</v>
      </c>
      <c r="I8" s="5"/>
      <c r="J8" s="5"/>
      <c r="K8" s="14"/>
      <c r="L8" s="177"/>
      <c r="M8" s="187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5"/>
      <c r="AP8" s="177"/>
      <c r="AQ8" s="186"/>
      <c r="AR8"/>
    </row>
    <row r="9" spans="2:44">
      <c r="B9" s="42">
        <v>208</v>
      </c>
      <c r="C9" s="21" t="s">
        <v>127</v>
      </c>
      <c r="D9" s="22" t="s">
        <v>655</v>
      </c>
      <c r="E9" s="323" t="s">
        <v>868</v>
      </c>
      <c r="F9" s="323"/>
      <c r="G9" s="323" t="s">
        <v>984</v>
      </c>
      <c r="H9" s="312" t="s">
        <v>913</v>
      </c>
      <c r="I9" s="5"/>
      <c r="J9" s="5"/>
      <c r="K9" s="14"/>
      <c r="L9" s="177"/>
      <c r="M9" s="187"/>
      <c r="N9" s="184"/>
      <c r="O9" s="184"/>
      <c r="P9" s="184"/>
      <c r="Q9" s="184"/>
      <c r="R9" s="189"/>
      <c r="S9" s="184"/>
      <c r="T9" s="189"/>
      <c r="U9" s="184"/>
      <c r="V9" s="189"/>
      <c r="W9" s="184"/>
      <c r="X9" s="189"/>
      <c r="Y9" s="184"/>
      <c r="Z9" s="189"/>
      <c r="AA9" s="184"/>
      <c r="AB9" s="189"/>
      <c r="AC9" s="184"/>
      <c r="AD9" s="265"/>
      <c r="AE9" s="184"/>
      <c r="AF9" s="189"/>
      <c r="AG9" s="184"/>
      <c r="AH9" s="265"/>
      <c r="AI9" s="184"/>
      <c r="AJ9" s="189"/>
      <c r="AK9" s="184"/>
      <c r="AL9" s="265"/>
      <c r="AM9" s="184"/>
      <c r="AN9" s="189"/>
      <c r="AO9" s="185"/>
      <c r="AP9" s="177"/>
      <c r="AQ9" s="186"/>
      <c r="AR9"/>
    </row>
    <row r="10" spans="2:44" ht="16.5" thickBot="1">
      <c r="B10" s="42">
        <v>228</v>
      </c>
      <c r="C10" s="21" t="s">
        <v>147</v>
      </c>
      <c r="D10" s="22" t="s">
        <v>657</v>
      </c>
      <c r="E10" s="323" t="s">
        <v>868</v>
      </c>
      <c r="F10" s="323"/>
      <c r="G10" s="323" t="s">
        <v>981</v>
      </c>
      <c r="H10" s="312" t="s">
        <v>913</v>
      </c>
      <c r="I10" s="5"/>
      <c r="J10" s="5"/>
      <c r="K10" s="14"/>
      <c r="L10" s="177"/>
      <c r="M10" s="187"/>
      <c r="N10" s="184"/>
      <c r="O10" s="184"/>
      <c r="P10" s="184"/>
      <c r="Q10" s="184"/>
      <c r="R10" s="191"/>
      <c r="S10" s="184"/>
      <c r="T10" s="191"/>
      <c r="U10" s="184"/>
      <c r="V10" s="191"/>
      <c r="W10" s="184"/>
      <c r="X10" s="191"/>
      <c r="Y10" s="184"/>
      <c r="Z10" s="191"/>
      <c r="AA10" s="184"/>
      <c r="AB10" s="191"/>
      <c r="AC10" s="184"/>
      <c r="AD10" s="266"/>
      <c r="AE10" s="184"/>
      <c r="AF10" s="191"/>
      <c r="AG10" s="184"/>
      <c r="AH10" s="266"/>
      <c r="AI10" s="184"/>
      <c r="AJ10" s="191"/>
      <c r="AK10" s="184"/>
      <c r="AL10" s="266"/>
      <c r="AM10" s="184"/>
      <c r="AN10" s="191"/>
      <c r="AO10" s="192"/>
      <c r="AP10" s="177"/>
      <c r="AQ10" s="186"/>
      <c r="AR10"/>
    </row>
    <row r="11" spans="2:44">
      <c r="B11" s="42">
        <v>227</v>
      </c>
      <c r="C11" s="21" t="s">
        <v>146</v>
      </c>
      <c r="D11" s="22" t="s">
        <v>634</v>
      </c>
      <c r="E11" s="323" t="s">
        <v>868</v>
      </c>
      <c r="F11" s="323"/>
      <c r="G11" s="323" t="s">
        <v>982</v>
      </c>
      <c r="H11" s="312" t="s">
        <v>913</v>
      </c>
      <c r="I11" s="5"/>
      <c r="J11" s="5"/>
      <c r="K11" s="14"/>
      <c r="L11" s="177"/>
      <c r="M11" s="187"/>
      <c r="N11" s="184"/>
      <c r="O11" s="184"/>
      <c r="P11" s="184"/>
      <c r="Q11" s="184"/>
      <c r="R11" s="556">
        <v>11</v>
      </c>
      <c r="S11" s="556"/>
      <c r="T11" s="556">
        <v>10</v>
      </c>
      <c r="U11" s="556"/>
      <c r="V11" s="184">
        <v>9</v>
      </c>
      <c r="W11" s="184"/>
      <c r="X11" s="184">
        <v>8</v>
      </c>
      <c r="Y11" s="184"/>
      <c r="Z11" s="184">
        <v>7</v>
      </c>
      <c r="AA11" s="184"/>
      <c r="AB11" s="184">
        <v>6</v>
      </c>
      <c r="AC11" s="184"/>
      <c r="AD11" s="184">
        <v>5</v>
      </c>
      <c r="AE11" s="184"/>
      <c r="AF11" s="184">
        <v>4</v>
      </c>
      <c r="AG11" s="184"/>
      <c r="AH11" s="249">
        <v>3</v>
      </c>
      <c r="AI11" s="249"/>
      <c r="AJ11" s="249">
        <v>2</v>
      </c>
      <c r="AK11" s="250"/>
      <c r="AL11" s="250">
        <v>1</v>
      </c>
      <c r="AM11" s="249"/>
      <c r="AN11" s="249">
        <v>0</v>
      </c>
      <c r="AO11" s="192"/>
      <c r="AP11" s="177"/>
      <c r="AQ11" s="186"/>
      <c r="AR11"/>
    </row>
    <row r="12" spans="2:44">
      <c r="B12" s="260">
        <v>189</v>
      </c>
      <c r="C12" s="261" t="s">
        <v>108</v>
      </c>
      <c r="D12" s="262" t="s">
        <v>676</v>
      </c>
      <c r="E12" s="325" t="s">
        <v>868</v>
      </c>
      <c r="F12" s="325"/>
      <c r="G12" s="325" t="s">
        <v>980</v>
      </c>
      <c r="H12" s="312" t="s">
        <v>913</v>
      </c>
      <c r="I12" s="212"/>
      <c r="J12" s="212"/>
      <c r="K12" s="263"/>
      <c r="L12" s="177"/>
      <c r="M12" s="187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92"/>
      <c r="AP12" s="193"/>
      <c r="AQ12" s="186"/>
      <c r="AR12"/>
    </row>
    <row r="13" spans="2:44">
      <c r="B13" s="260">
        <v>190</v>
      </c>
      <c r="C13" s="261" t="s">
        <v>109</v>
      </c>
      <c r="D13" s="262" t="s">
        <v>698</v>
      </c>
      <c r="E13" s="325" t="s">
        <v>868</v>
      </c>
      <c r="F13" s="325"/>
      <c r="G13" s="325" t="s">
        <v>4</v>
      </c>
      <c r="H13" s="312" t="s">
        <v>913</v>
      </c>
      <c r="I13" s="212"/>
      <c r="J13" s="212"/>
      <c r="K13" s="263"/>
      <c r="L13" s="177"/>
      <c r="M13" s="187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92"/>
      <c r="AP13" s="193"/>
      <c r="AQ13" s="186"/>
      <c r="AR13"/>
    </row>
    <row r="14" spans="2:44">
      <c r="B14" s="260">
        <v>179</v>
      </c>
      <c r="C14" s="261" t="s">
        <v>98</v>
      </c>
      <c r="D14" s="262" t="s">
        <v>675</v>
      </c>
      <c r="E14" s="325" t="s">
        <v>868</v>
      </c>
      <c r="F14" s="325"/>
      <c r="G14" s="325" t="s">
        <v>1020</v>
      </c>
      <c r="H14" s="312" t="s">
        <v>913</v>
      </c>
      <c r="I14" s="212"/>
      <c r="J14" s="212"/>
      <c r="K14" s="263"/>
      <c r="L14" s="177"/>
      <c r="M14" s="187"/>
      <c r="N14" s="184"/>
      <c r="O14" s="184"/>
      <c r="P14" s="16" t="s">
        <v>13</v>
      </c>
      <c r="Q14" s="16"/>
      <c r="R14" s="16" t="s">
        <v>13</v>
      </c>
      <c r="S14" s="16"/>
      <c r="T14" s="16" t="s">
        <v>14</v>
      </c>
      <c r="U14" s="16"/>
      <c r="V14" s="16" t="s">
        <v>14</v>
      </c>
      <c r="W14" s="16"/>
      <c r="X14" s="16" t="s">
        <v>13</v>
      </c>
      <c r="Y14" s="16"/>
      <c r="Z14" s="16" t="s">
        <v>13</v>
      </c>
      <c r="AA14" s="16"/>
      <c r="AB14" s="16" t="s">
        <v>14</v>
      </c>
      <c r="AC14" s="16"/>
      <c r="AD14" s="16" t="s">
        <v>14</v>
      </c>
      <c r="AE14" s="16"/>
      <c r="AF14" s="16" t="s">
        <v>13</v>
      </c>
      <c r="AG14" s="16"/>
      <c r="AH14" s="16" t="s">
        <v>13</v>
      </c>
      <c r="AI14" s="16"/>
      <c r="AJ14" s="16" t="s">
        <v>14</v>
      </c>
      <c r="AK14" s="16"/>
      <c r="AL14" s="16" t="s">
        <v>14</v>
      </c>
      <c r="AM14" s="184"/>
      <c r="AN14" s="184"/>
      <c r="AO14" s="192"/>
      <c r="AP14" s="193"/>
      <c r="AQ14" s="182" t="s">
        <v>710</v>
      </c>
      <c r="AR14"/>
    </row>
    <row r="15" spans="2:44">
      <c r="B15" s="260">
        <v>180</v>
      </c>
      <c r="C15" s="261" t="s">
        <v>99</v>
      </c>
      <c r="D15" s="262" t="s">
        <v>697</v>
      </c>
      <c r="E15" s="325" t="s">
        <v>868</v>
      </c>
      <c r="F15" s="325"/>
      <c r="G15" s="325" t="s">
        <v>1021</v>
      </c>
      <c r="H15" s="312" t="s">
        <v>913</v>
      </c>
      <c r="I15" s="212"/>
      <c r="J15" s="212"/>
      <c r="K15" s="263"/>
      <c r="L15" s="177"/>
      <c r="M15" s="187"/>
      <c r="N15" s="184"/>
      <c r="O15" s="184"/>
      <c r="P15" s="16">
        <v>2</v>
      </c>
      <c r="Q15" s="16"/>
      <c r="R15" s="16">
        <v>2</v>
      </c>
      <c r="S15" s="16"/>
      <c r="T15" s="16">
        <v>2</v>
      </c>
      <c r="U15" s="16"/>
      <c r="V15" s="16">
        <v>2</v>
      </c>
      <c r="W15" s="16"/>
      <c r="X15" s="16">
        <v>1</v>
      </c>
      <c r="Y15" s="16"/>
      <c r="Z15" s="16">
        <v>1</v>
      </c>
      <c r="AA15" s="16"/>
      <c r="AB15" s="16">
        <v>1</v>
      </c>
      <c r="AC15" s="16"/>
      <c r="AD15" s="16">
        <v>1</v>
      </c>
      <c r="AE15" s="16"/>
      <c r="AF15" s="16">
        <v>0</v>
      </c>
      <c r="AG15" s="16"/>
      <c r="AH15" s="16">
        <v>0</v>
      </c>
      <c r="AI15" s="16"/>
      <c r="AJ15" s="16">
        <v>0</v>
      </c>
      <c r="AK15" s="16"/>
      <c r="AL15" s="16">
        <v>0</v>
      </c>
      <c r="AM15" s="184"/>
      <c r="AN15" s="184"/>
      <c r="AO15" s="192"/>
      <c r="AP15" s="193"/>
      <c r="AQ15" s="182" t="s">
        <v>713</v>
      </c>
      <c r="AR15"/>
    </row>
    <row r="16" spans="2:44" ht="16.5" thickBot="1">
      <c r="B16" s="42">
        <v>197</v>
      </c>
      <c r="C16" s="21" t="s">
        <v>116</v>
      </c>
      <c r="D16" s="22" t="s">
        <v>631</v>
      </c>
      <c r="E16" s="323" t="s">
        <v>868</v>
      </c>
      <c r="F16" s="323"/>
      <c r="G16" s="323" t="s">
        <v>993</v>
      </c>
      <c r="H16" s="312" t="s">
        <v>913</v>
      </c>
      <c r="I16" s="5"/>
      <c r="J16" s="5"/>
      <c r="K16" s="14"/>
      <c r="L16" s="177"/>
      <c r="M16" s="187"/>
      <c r="N16" s="184"/>
      <c r="O16" s="184"/>
      <c r="P16" s="16" t="s">
        <v>17</v>
      </c>
      <c r="Q16" s="16"/>
      <c r="R16" s="16" t="s">
        <v>13</v>
      </c>
      <c r="S16" s="16"/>
      <c r="T16" s="16" t="s">
        <v>13</v>
      </c>
      <c r="U16" s="16"/>
      <c r="V16" s="16" t="s">
        <v>17</v>
      </c>
      <c r="W16" s="16"/>
      <c r="X16" s="16" t="s">
        <v>17</v>
      </c>
      <c r="Y16" s="16"/>
      <c r="Z16" s="16" t="s">
        <v>13</v>
      </c>
      <c r="AA16" s="16"/>
      <c r="AB16" s="16" t="s">
        <v>13</v>
      </c>
      <c r="AC16" s="16"/>
      <c r="AD16" s="16" t="s">
        <v>17</v>
      </c>
      <c r="AE16" s="16"/>
      <c r="AF16" s="16" t="s">
        <v>17</v>
      </c>
      <c r="AG16" s="16"/>
      <c r="AH16" s="16" t="s">
        <v>13</v>
      </c>
      <c r="AI16" s="16"/>
      <c r="AJ16" s="16" t="s">
        <v>13</v>
      </c>
      <c r="AK16" s="16"/>
      <c r="AL16" s="16" t="s">
        <v>17</v>
      </c>
      <c r="AM16" s="184"/>
      <c r="AN16" s="184"/>
      <c r="AO16" s="192"/>
      <c r="AP16" s="193"/>
      <c r="AQ16" s="182" t="s">
        <v>954</v>
      </c>
      <c r="AR16"/>
    </row>
    <row r="17" spans="2:44">
      <c r="B17" s="42">
        <v>198</v>
      </c>
      <c r="C17" s="21" t="s">
        <v>117</v>
      </c>
      <c r="D17" s="22" t="s">
        <v>654</v>
      </c>
      <c r="E17" s="323" t="s">
        <v>868</v>
      </c>
      <c r="F17" s="323"/>
      <c r="G17" s="323" t="s">
        <v>8</v>
      </c>
      <c r="H17" s="312" t="s">
        <v>913</v>
      </c>
      <c r="I17" s="5"/>
      <c r="J17" s="5"/>
      <c r="K17" s="14"/>
      <c r="L17" s="177"/>
      <c r="M17" s="187"/>
      <c r="N17" s="184"/>
      <c r="O17" s="16"/>
      <c r="P17" s="244">
        <v>11</v>
      </c>
      <c r="Q17" s="35"/>
      <c r="R17" s="244">
        <v>10</v>
      </c>
      <c r="S17" s="35"/>
      <c r="T17" s="244">
        <v>9</v>
      </c>
      <c r="U17" s="35"/>
      <c r="V17" s="244">
        <v>8</v>
      </c>
      <c r="W17" s="35"/>
      <c r="X17" s="244">
        <v>7</v>
      </c>
      <c r="Y17" s="35"/>
      <c r="Z17" s="244">
        <v>6</v>
      </c>
      <c r="AA17" s="35"/>
      <c r="AB17" s="244">
        <v>5</v>
      </c>
      <c r="AC17" s="35"/>
      <c r="AD17" s="244">
        <v>4</v>
      </c>
      <c r="AE17" s="35"/>
      <c r="AF17" s="244">
        <v>3</v>
      </c>
      <c r="AG17" s="35"/>
      <c r="AH17" s="255">
        <v>2</v>
      </c>
      <c r="AI17" s="35"/>
      <c r="AJ17" s="244">
        <v>1</v>
      </c>
      <c r="AK17" s="35"/>
      <c r="AL17" s="244">
        <v>0</v>
      </c>
      <c r="AM17" s="184"/>
      <c r="AN17" s="184"/>
      <c r="AO17" s="192"/>
      <c r="AP17" s="193"/>
      <c r="AQ17" s="182" t="s">
        <v>964</v>
      </c>
      <c r="AR17"/>
    </row>
    <row r="18" spans="2:44" s="1" customFormat="1" ht="16.5" thickBot="1">
      <c r="B18" s="42">
        <v>210</v>
      </c>
      <c r="C18" s="21" t="s">
        <v>129</v>
      </c>
      <c r="D18" s="22" t="s">
        <v>700</v>
      </c>
      <c r="E18" s="323" t="s">
        <v>868</v>
      </c>
      <c r="F18" s="323"/>
      <c r="G18" s="323" t="s">
        <v>991</v>
      </c>
      <c r="H18" s="312" t="s">
        <v>913</v>
      </c>
      <c r="I18" s="5"/>
      <c r="J18" s="5"/>
      <c r="K18" s="14"/>
      <c r="L18" s="177"/>
      <c r="M18" s="187"/>
      <c r="N18" s="184"/>
      <c r="O18" s="16"/>
      <c r="P18" s="246">
        <v>11</v>
      </c>
      <c r="Q18" s="35"/>
      <c r="R18" s="246">
        <v>10</v>
      </c>
      <c r="S18" s="35"/>
      <c r="T18" s="246">
        <v>9</v>
      </c>
      <c r="U18" s="35"/>
      <c r="V18" s="246">
        <v>8</v>
      </c>
      <c r="W18" s="35"/>
      <c r="X18" s="246">
        <v>7</v>
      </c>
      <c r="Y18" s="35"/>
      <c r="Z18" s="246">
        <v>6</v>
      </c>
      <c r="AA18" s="35"/>
      <c r="AB18" s="246">
        <v>5</v>
      </c>
      <c r="AC18" s="35"/>
      <c r="AD18" s="246">
        <v>4</v>
      </c>
      <c r="AE18" s="35"/>
      <c r="AF18" s="246">
        <v>3</v>
      </c>
      <c r="AG18" s="35"/>
      <c r="AH18" s="256">
        <v>2</v>
      </c>
      <c r="AI18" s="35"/>
      <c r="AJ18" s="246">
        <v>1</v>
      </c>
      <c r="AK18" s="35"/>
      <c r="AL18" s="246">
        <v>0</v>
      </c>
      <c r="AM18" s="184"/>
      <c r="AN18" s="184"/>
      <c r="AO18" s="192"/>
      <c r="AP18" s="193"/>
      <c r="AQ18" s="186"/>
      <c r="AR18"/>
    </row>
    <row r="19" spans="2:44" s="1" customFormat="1" ht="16.5" thickBot="1">
      <c r="B19" s="42">
        <v>209</v>
      </c>
      <c r="C19" s="21" t="s">
        <v>128</v>
      </c>
      <c r="D19" s="22" t="s">
        <v>678</v>
      </c>
      <c r="E19" s="323" t="s">
        <v>868</v>
      </c>
      <c r="F19" s="323"/>
      <c r="G19" s="323" t="s">
        <v>992</v>
      </c>
      <c r="H19" s="312" t="s">
        <v>913</v>
      </c>
      <c r="I19" s="5"/>
      <c r="J19" s="5"/>
      <c r="K19" s="14"/>
      <c r="L19" s="177"/>
      <c r="M19" s="194"/>
      <c r="N19" s="195"/>
      <c r="O19" s="195"/>
      <c r="P19" s="563">
        <v>11</v>
      </c>
      <c r="Q19" s="563"/>
      <c r="R19" s="563">
        <v>10</v>
      </c>
      <c r="S19" s="563"/>
      <c r="T19" s="195">
        <v>9</v>
      </c>
      <c r="U19" s="195"/>
      <c r="V19" s="195">
        <v>8</v>
      </c>
      <c r="W19" s="195"/>
      <c r="X19" s="195">
        <v>7</v>
      </c>
      <c r="Y19" s="195"/>
      <c r="Z19" s="195">
        <v>6</v>
      </c>
      <c r="AA19" s="195"/>
      <c r="AB19" s="195">
        <v>5</v>
      </c>
      <c r="AC19" s="195"/>
      <c r="AD19" s="195">
        <v>4</v>
      </c>
      <c r="AE19" s="195"/>
      <c r="AF19" s="195">
        <v>3</v>
      </c>
      <c r="AG19" s="195"/>
      <c r="AH19" s="195">
        <v>2</v>
      </c>
      <c r="AI19" s="195"/>
      <c r="AJ19" s="253">
        <v>1</v>
      </c>
      <c r="AK19" s="253"/>
      <c r="AL19" s="253">
        <v>0</v>
      </c>
      <c r="AM19" s="253"/>
      <c r="AN19" s="195"/>
      <c r="AO19" s="196"/>
      <c r="AP19" s="193"/>
      <c r="AQ19" s="186"/>
      <c r="AR19"/>
    </row>
    <row r="20" spans="2:44" s="1" customFormat="1">
      <c r="B20" s="42">
        <v>217</v>
      </c>
      <c r="C20" s="21" t="s">
        <v>136</v>
      </c>
      <c r="D20" s="22" t="s">
        <v>633</v>
      </c>
      <c r="E20" s="323" t="s">
        <v>868</v>
      </c>
      <c r="F20" s="323"/>
      <c r="G20" s="323" t="s">
        <v>989</v>
      </c>
      <c r="H20" s="312" t="s">
        <v>913</v>
      </c>
      <c r="I20" s="5"/>
      <c r="J20" s="5"/>
      <c r="K20" s="14"/>
      <c r="L20" s="558" t="s">
        <v>864</v>
      </c>
      <c r="M20" s="559"/>
      <c r="N20" s="559"/>
      <c r="O20" s="559"/>
      <c r="P20" s="559"/>
      <c r="Q20" s="559"/>
      <c r="R20" s="559"/>
      <c r="S20" s="559"/>
      <c r="T20" s="559"/>
      <c r="U20" s="559"/>
      <c r="V20" s="559"/>
      <c r="W20" s="559"/>
      <c r="X20" s="559"/>
      <c r="Y20" s="559"/>
      <c r="Z20" s="559"/>
      <c r="AA20" s="559"/>
      <c r="AB20" s="559"/>
      <c r="AC20" s="559"/>
      <c r="AD20" s="559"/>
      <c r="AE20" s="559"/>
      <c r="AF20" s="559"/>
      <c r="AG20" s="559"/>
      <c r="AH20" s="559"/>
      <c r="AI20" s="559"/>
      <c r="AJ20" s="559"/>
      <c r="AK20" s="559"/>
      <c r="AL20" s="559"/>
      <c r="AM20" s="559"/>
      <c r="AN20" s="559"/>
      <c r="AO20" s="559"/>
      <c r="AP20" s="559"/>
      <c r="AQ20" s="186"/>
      <c r="AR20"/>
    </row>
    <row r="21" spans="2:44" s="1" customFormat="1">
      <c r="B21" s="42">
        <v>218</v>
      </c>
      <c r="C21" s="21" t="s">
        <v>137</v>
      </c>
      <c r="D21" s="22" t="s">
        <v>656</v>
      </c>
      <c r="E21" s="323" t="s">
        <v>868</v>
      </c>
      <c r="F21" s="323"/>
      <c r="G21" s="323" t="s">
        <v>990</v>
      </c>
      <c r="H21" s="312" t="s">
        <v>913</v>
      </c>
      <c r="I21" s="5"/>
      <c r="J21" s="5"/>
      <c r="K21" s="14"/>
      <c r="L21" s="560" t="s">
        <v>721</v>
      </c>
      <c r="M21" s="561"/>
      <c r="N21" s="561"/>
      <c r="O21" s="561"/>
      <c r="P21" s="561"/>
      <c r="Q21" s="561"/>
      <c r="R21" s="561"/>
      <c r="S21" s="561"/>
      <c r="T21" s="561"/>
      <c r="U21" s="561"/>
      <c r="V21" s="561"/>
      <c r="W21" s="561"/>
      <c r="X21" s="561"/>
      <c r="Y21" s="561"/>
      <c r="Z21" s="561"/>
      <c r="AA21" s="561"/>
      <c r="AB21" s="561"/>
      <c r="AC21" s="561"/>
      <c r="AD21" s="561"/>
      <c r="AE21" s="561"/>
      <c r="AF21" s="561"/>
      <c r="AG21" s="561"/>
      <c r="AH21" s="561"/>
      <c r="AI21" s="561"/>
      <c r="AJ21" s="561"/>
      <c r="AK21" s="561"/>
      <c r="AL21" s="561"/>
      <c r="AM21" s="561"/>
      <c r="AN21" s="561"/>
      <c r="AO21" s="561"/>
      <c r="AP21" s="561"/>
      <c r="AQ21" s="193"/>
      <c r="AR21"/>
    </row>
    <row r="22" spans="2:44" s="1" customFormat="1">
      <c r="B22" s="260">
        <v>177</v>
      </c>
      <c r="C22" s="261" t="s">
        <v>96</v>
      </c>
      <c r="D22" s="262" t="s">
        <v>629</v>
      </c>
      <c r="E22" s="325" t="s">
        <v>868</v>
      </c>
      <c r="F22" s="325"/>
      <c r="G22" s="325" t="s">
        <v>987</v>
      </c>
      <c r="H22" s="312" t="s">
        <v>913</v>
      </c>
      <c r="I22" s="212"/>
      <c r="J22" s="212"/>
      <c r="K22" s="263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0">
        <v>187</v>
      </c>
      <c r="C23" s="261" t="s">
        <v>106</v>
      </c>
      <c r="D23" s="262" t="s">
        <v>630</v>
      </c>
      <c r="E23" s="325" t="s">
        <v>868</v>
      </c>
      <c r="F23" s="325"/>
      <c r="G23" s="325" t="s">
        <v>988</v>
      </c>
      <c r="H23" s="312" t="s">
        <v>913</v>
      </c>
      <c r="I23" s="212"/>
      <c r="J23" s="212"/>
      <c r="K23" s="263"/>
      <c r="L23"/>
      <c r="M23" s="562" t="s">
        <v>836</v>
      </c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2"/>
      <c r="AP23"/>
      <c r="AQ23"/>
      <c r="AR23"/>
    </row>
    <row r="24" spans="2:44" s="1" customFormat="1">
      <c r="B24" s="260">
        <v>178</v>
      </c>
      <c r="C24" s="261" t="s">
        <v>97</v>
      </c>
      <c r="D24" s="262" t="s">
        <v>652</v>
      </c>
      <c r="E24" s="325" t="s">
        <v>868</v>
      </c>
      <c r="F24" s="325"/>
      <c r="G24" s="325" t="s">
        <v>1022</v>
      </c>
      <c r="H24" s="312" t="s">
        <v>913</v>
      </c>
      <c r="I24" s="212"/>
      <c r="J24" s="212"/>
      <c r="K24" s="263"/>
      <c r="L24"/>
      <c r="M24" s="557" t="s">
        <v>883</v>
      </c>
      <c r="N24" s="557"/>
      <c r="O24" s="557"/>
      <c r="P24" s="557"/>
      <c r="Q24" s="557"/>
      <c r="R24" s="557"/>
      <c r="S24" s="557"/>
      <c r="T24" s="557"/>
      <c r="U24" s="557"/>
      <c r="V24" s="557"/>
      <c r="W24" s="557"/>
      <c r="X24" s="557"/>
      <c r="Y24" s="557"/>
      <c r="Z24" s="557"/>
      <c r="AA24" s="557"/>
      <c r="AB24" s="557"/>
      <c r="AC24" s="557"/>
      <c r="AD24" s="557"/>
      <c r="AE24" s="557"/>
      <c r="AF24" s="557"/>
      <c r="AG24" s="557"/>
      <c r="AH24" s="557"/>
      <c r="AI24" s="557"/>
      <c r="AJ24" s="557"/>
      <c r="AK24" s="557"/>
      <c r="AL24" s="557"/>
      <c r="AM24" s="557"/>
      <c r="AN24" s="557"/>
      <c r="AO24" s="557"/>
      <c r="AP24"/>
      <c r="AQ24"/>
      <c r="AR24"/>
    </row>
    <row r="25" spans="2:44" s="1" customFormat="1">
      <c r="B25" s="260">
        <v>188</v>
      </c>
      <c r="C25" s="261" t="s">
        <v>107</v>
      </c>
      <c r="D25" s="262" t="s">
        <v>653</v>
      </c>
      <c r="E25" s="325" t="s">
        <v>868</v>
      </c>
      <c r="F25" s="325"/>
      <c r="G25" s="325" t="s">
        <v>6</v>
      </c>
      <c r="H25" s="312" t="s">
        <v>913</v>
      </c>
      <c r="I25" s="212"/>
      <c r="J25" s="212"/>
      <c r="K25" s="263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42">
        <v>277</v>
      </c>
      <c r="C26" s="21" t="s">
        <v>196</v>
      </c>
      <c r="D26" s="22" t="s">
        <v>635</v>
      </c>
      <c r="E26" s="323" t="s">
        <v>868</v>
      </c>
      <c r="F26" s="5"/>
      <c r="G26" s="389" t="s">
        <v>1000</v>
      </c>
      <c r="H26" s="340" t="s">
        <v>891</v>
      </c>
      <c r="I26" s="5"/>
      <c r="J26" s="5"/>
      <c r="K26" s="14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42">
        <v>278</v>
      </c>
      <c r="C27" s="21" t="s">
        <v>197</v>
      </c>
      <c r="D27" s="22" t="s">
        <v>658</v>
      </c>
      <c r="E27" s="323" t="s">
        <v>868</v>
      </c>
      <c r="F27" s="5"/>
      <c r="G27" s="389" t="s">
        <v>1001</v>
      </c>
      <c r="H27" s="312" t="s">
        <v>891</v>
      </c>
      <c r="I27" s="5"/>
      <c r="J27" s="5"/>
      <c r="K27" s="14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42">
        <v>287</v>
      </c>
      <c r="C28" s="21" t="s">
        <v>206</v>
      </c>
      <c r="D28" s="22" t="s">
        <v>636</v>
      </c>
      <c r="E28" s="323" t="s">
        <v>868</v>
      </c>
      <c r="F28" s="5"/>
      <c r="G28" s="389" t="s">
        <v>998</v>
      </c>
      <c r="H28" s="312" t="s">
        <v>891</v>
      </c>
      <c r="I28" s="5"/>
      <c r="J28" s="5"/>
      <c r="K28" s="14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42">
        <v>288</v>
      </c>
      <c r="C29" s="21" t="s">
        <v>207</v>
      </c>
      <c r="D29" s="22" t="s">
        <v>659</v>
      </c>
      <c r="E29" s="323" t="s">
        <v>868</v>
      </c>
      <c r="F29" s="5"/>
      <c r="G29" s="389" t="s">
        <v>999</v>
      </c>
      <c r="H29" s="312" t="s">
        <v>891</v>
      </c>
      <c r="I29" s="5"/>
      <c r="J29" s="5"/>
      <c r="K29" s="14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42">
        <v>297</v>
      </c>
      <c r="C30" s="21" t="s">
        <v>216</v>
      </c>
      <c r="D30" s="22" t="s">
        <v>637</v>
      </c>
      <c r="E30" s="323" t="s">
        <v>868</v>
      </c>
      <c r="F30" s="5"/>
      <c r="G30" s="389" t="s">
        <v>996</v>
      </c>
      <c r="H30" s="312" t="s">
        <v>891</v>
      </c>
      <c r="I30" s="5"/>
      <c r="J30" s="5"/>
      <c r="K30" s="14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42">
        <v>298</v>
      </c>
      <c r="C31" s="21" t="s">
        <v>217</v>
      </c>
      <c r="D31" s="22" t="s">
        <v>660</v>
      </c>
      <c r="E31" s="323" t="s">
        <v>868</v>
      </c>
      <c r="F31" s="5"/>
      <c r="G31" s="389" t="s">
        <v>997</v>
      </c>
      <c r="H31" s="312" t="s">
        <v>891</v>
      </c>
      <c r="I31" s="5"/>
      <c r="J31" s="5"/>
      <c r="K31" s="14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0">
        <v>307</v>
      </c>
      <c r="C32" s="261" t="s">
        <v>226</v>
      </c>
      <c r="D32" s="262" t="s">
        <v>638</v>
      </c>
      <c r="E32" s="325" t="s">
        <v>868</v>
      </c>
      <c r="F32" s="212"/>
      <c r="G32" s="386" t="s">
        <v>994</v>
      </c>
      <c r="H32" s="312" t="s">
        <v>891</v>
      </c>
      <c r="I32" s="212"/>
      <c r="J32" s="212"/>
      <c r="K32" s="263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0">
        <v>308</v>
      </c>
      <c r="C33" s="261" t="s">
        <v>227</v>
      </c>
      <c r="D33" s="262" t="s">
        <v>661</v>
      </c>
      <c r="E33" s="325" t="s">
        <v>868</v>
      </c>
      <c r="F33" s="212"/>
      <c r="G33" s="386" t="s">
        <v>995</v>
      </c>
      <c r="H33" s="312" t="s">
        <v>891</v>
      </c>
      <c r="I33" s="212"/>
      <c r="J33" s="212"/>
      <c r="K33" s="26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60">
        <v>317</v>
      </c>
      <c r="C34" s="261" t="s">
        <v>236</v>
      </c>
      <c r="D34" s="262" t="s">
        <v>639</v>
      </c>
      <c r="E34" s="325" t="s">
        <v>868</v>
      </c>
      <c r="F34" s="212"/>
      <c r="G34" s="386" t="s">
        <v>1027</v>
      </c>
      <c r="H34" s="312" t="s">
        <v>891</v>
      </c>
      <c r="I34" s="212"/>
      <c r="J34" s="212"/>
      <c r="K34" s="263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60">
        <v>318</v>
      </c>
      <c r="C35" s="261" t="s">
        <v>237</v>
      </c>
      <c r="D35" s="262" t="s">
        <v>662</v>
      </c>
      <c r="E35" s="325" t="s">
        <v>868</v>
      </c>
      <c r="F35" s="212"/>
      <c r="G35" s="386" t="s">
        <v>1028</v>
      </c>
      <c r="H35" s="312" t="s">
        <v>891</v>
      </c>
      <c r="I35" s="212"/>
      <c r="J35" s="212"/>
      <c r="K35" s="263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42">
        <v>279</v>
      </c>
      <c r="C36" s="21" t="s">
        <v>198</v>
      </c>
      <c r="D36" s="22" t="s">
        <v>679</v>
      </c>
      <c r="E36" s="323" t="s">
        <v>868</v>
      </c>
      <c r="F36" s="5"/>
      <c r="G36" s="323" t="s">
        <v>1002</v>
      </c>
      <c r="H36" s="312" t="s">
        <v>891</v>
      </c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42">
        <v>280</v>
      </c>
      <c r="C37" s="21" t="s">
        <v>199</v>
      </c>
      <c r="D37" s="22" t="s">
        <v>701</v>
      </c>
      <c r="E37" s="323" t="s">
        <v>868</v>
      </c>
      <c r="F37" s="5"/>
      <c r="G37" s="323" t="s">
        <v>1003</v>
      </c>
      <c r="H37" s="312" t="s">
        <v>891</v>
      </c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42">
        <v>289</v>
      </c>
      <c r="C38" s="21" t="s">
        <v>208</v>
      </c>
      <c r="D38" s="22" t="s">
        <v>680</v>
      </c>
      <c r="E38" s="323" t="s">
        <v>868</v>
      </c>
      <c r="F38" s="5"/>
      <c r="G38" s="323" t="s">
        <v>1004</v>
      </c>
      <c r="H38" s="312" t="s">
        <v>891</v>
      </c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42">
        <v>290</v>
      </c>
      <c r="C39" s="21" t="s">
        <v>209</v>
      </c>
      <c r="D39" s="22" t="s">
        <v>702</v>
      </c>
      <c r="E39" s="323" t="s">
        <v>868</v>
      </c>
      <c r="F39" s="5"/>
      <c r="G39" s="323" t="s">
        <v>1005</v>
      </c>
      <c r="H39" s="312" t="s">
        <v>891</v>
      </c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42">
        <v>299</v>
      </c>
      <c r="C40" s="21" t="s">
        <v>218</v>
      </c>
      <c r="D40" s="22" t="s">
        <v>681</v>
      </c>
      <c r="E40" s="323" t="s">
        <v>868</v>
      </c>
      <c r="F40" s="5"/>
      <c r="G40" s="323" t="s">
        <v>1008</v>
      </c>
      <c r="H40" s="312" t="s">
        <v>891</v>
      </c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42">
        <v>300</v>
      </c>
      <c r="C41" s="21" t="s">
        <v>219</v>
      </c>
      <c r="D41" s="22" t="s">
        <v>703</v>
      </c>
      <c r="E41" s="323" t="s">
        <v>868</v>
      </c>
      <c r="F41" s="5"/>
      <c r="G41" s="323" t="s">
        <v>1009</v>
      </c>
      <c r="H41" s="312" t="s">
        <v>891</v>
      </c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0">
        <v>309</v>
      </c>
      <c r="C42" s="261" t="s">
        <v>228</v>
      </c>
      <c r="D42" s="262" t="s">
        <v>682</v>
      </c>
      <c r="E42" s="325" t="s">
        <v>868</v>
      </c>
      <c r="F42" s="212"/>
      <c r="G42" s="325" t="s">
        <v>1006</v>
      </c>
      <c r="H42" s="312" t="s">
        <v>891</v>
      </c>
      <c r="I42" s="212"/>
      <c r="J42" s="212"/>
      <c r="K42" s="263"/>
      <c r="L42" s="3"/>
    </row>
    <row r="43" spans="2:44" s="1" customFormat="1">
      <c r="B43" s="260">
        <v>310</v>
      </c>
      <c r="C43" s="261" t="s">
        <v>229</v>
      </c>
      <c r="D43" s="262" t="s">
        <v>704</v>
      </c>
      <c r="E43" s="325" t="s">
        <v>868</v>
      </c>
      <c r="F43" s="212"/>
      <c r="G43" s="325" t="s">
        <v>1007</v>
      </c>
      <c r="H43" s="312" t="s">
        <v>891</v>
      </c>
      <c r="I43" s="212"/>
      <c r="J43" s="212"/>
      <c r="K43" s="263"/>
      <c r="L43" s="3"/>
    </row>
    <row r="44" spans="2:44" s="1" customFormat="1">
      <c r="B44" s="260">
        <v>319</v>
      </c>
      <c r="C44" s="261" t="s">
        <v>238</v>
      </c>
      <c r="D44" s="262" t="s">
        <v>683</v>
      </c>
      <c r="E44" s="325" t="s">
        <v>868</v>
      </c>
      <c r="F44" s="212"/>
      <c r="G44" s="325" t="s">
        <v>1029</v>
      </c>
      <c r="H44" s="312" t="s">
        <v>891</v>
      </c>
      <c r="I44" s="212"/>
      <c r="J44" s="212"/>
      <c r="K44" s="263"/>
      <c r="L44" s="3"/>
    </row>
    <row r="45" spans="2:44" s="1" customFormat="1">
      <c r="B45" s="260">
        <v>320</v>
      </c>
      <c r="C45" s="261" t="s">
        <v>239</v>
      </c>
      <c r="D45" s="262" t="s">
        <v>705</v>
      </c>
      <c r="E45" s="325" t="s">
        <v>868</v>
      </c>
      <c r="F45" s="212"/>
      <c r="G45" s="325" t="s">
        <v>1030</v>
      </c>
      <c r="H45" s="312" t="s">
        <v>891</v>
      </c>
      <c r="I45" s="212"/>
      <c r="J45" s="212"/>
      <c r="K45" s="263"/>
      <c r="L45" s="3"/>
    </row>
    <row r="46" spans="2:44" s="1" customFormat="1">
      <c r="B46" s="260">
        <v>37</v>
      </c>
      <c r="C46" s="261" t="s">
        <v>373</v>
      </c>
      <c r="D46" s="262" t="s">
        <v>622</v>
      </c>
      <c r="E46" s="325" t="s">
        <v>869</v>
      </c>
      <c r="F46" s="325"/>
      <c r="G46" s="386" t="s">
        <v>985</v>
      </c>
      <c r="H46" s="340" t="s">
        <v>920</v>
      </c>
      <c r="I46" s="212"/>
      <c r="J46" s="212"/>
      <c r="K46" s="263"/>
      <c r="L46" s="3"/>
    </row>
    <row r="47" spans="2:44" s="1" customFormat="1">
      <c r="B47" s="260">
        <v>27</v>
      </c>
      <c r="C47" s="261" t="s">
        <v>363</v>
      </c>
      <c r="D47" s="262" t="s">
        <v>623</v>
      </c>
      <c r="E47" s="325" t="s">
        <v>869</v>
      </c>
      <c r="F47" s="325"/>
      <c r="G47" s="386" t="s">
        <v>986</v>
      </c>
      <c r="H47" s="312" t="s">
        <v>920</v>
      </c>
      <c r="I47" s="212"/>
      <c r="J47" s="212"/>
      <c r="K47" s="263"/>
      <c r="L47" s="3"/>
    </row>
    <row r="48" spans="2:44">
      <c r="B48" s="260">
        <v>18</v>
      </c>
      <c r="C48" s="261" t="s">
        <v>354</v>
      </c>
      <c r="D48" s="262" t="s">
        <v>643</v>
      </c>
      <c r="E48" s="325" t="s">
        <v>869</v>
      </c>
      <c r="F48" s="325"/>
      <c r="G48" s="386" t="s">
        <v>983</v>
      </c>
      <c r="H48" s="312" t="s">
        <v>920</v>
      </c>
      <c r="I48" s="212"/>
      <c r="J48" s="212"/>
      <c r="K48" s="263"/>
    </row>
    <row r="49" spans="2:11">
      <c r="B49" s="260">
        <v>8</v>
      </c>
      <c r="C49" s="261" t="s">
        <v>344</v>
      </c>
      <c r="D49" s="262" t="s">
        <v>644</v>
      </c>
      <c r="E49" s="325" t="s">
        <v>869</v>
      </c>
      <c r="F49" s="325"/>
      <c r="G49" s="386" t="s">
        <v>984</v>
      </c>
      <c r="H49" s="312" t="s">
        <v>920</v>
      </c>
      <c r="I49" s="212"/>
      <c r="J49" s="212"/>
      <c r="K49" s="263"/>
    </row>
    <row r="50" spans="2:11">
      <c r="B50" s="260">
        <v>10</v>
      </c>
      <c r="C50" s="261" t="s">
        <v>346</v>
      </c>
      <c r="D50" s="262" t="s">
        <v>666</v>
      </c>
      <c r="E50" s="325" t="s">
        <v>869</v>
      </c>
      <c r="F50" s="325"/>
      <c r="G50" s="386" t="s">
        <v>981</v>
      </c>
      <c r="H50" s="312" t="s">
        <v>920</v>
      </c>
      <c r="I50" s="212"/>
      <c r="J50" s="212"/>
      <c r="K50" s="263"/>
    </row>
    <row r="51" spans="2:11">
      <c r="B51" s="260">
        <v>9</v>
      </c>
      <c r="C51" s="261" t="s">
        <v>345</v>
      </c>
      <c r="D51" s="262" t="s">
        <v>688</v>
      </c>
      <c r="E51" s="325" t="s">
        <v>869</v>
      </c>
      <c r="F51" s="325"/>
      <c r="G51" s="386" t="s">
        <v>982</v>
      </c>
      <c r="H51" s="312" t="s">
        <v>920</v>
      </c>
      <c r="I51" s="212"/>
      <c r="J51" s="212"/>
      <c r="K51" s="263"/>
    </row>
    <row r="52" spans="2:11">
      <c r="B52" s="260">
        <v>7</v>
      </c>
      <c r="C52" s="261" t="s">
        <v>343</v>
      </c>
      <c r="D52" s="262" t="s">
        <v>621</v>
      </c>
      <c r="E52" s="325" t="s">
        <v>869</v>
      </c>
      <c r="F52" s="325"/>
      <c r="G52" s="386" t="s">
        <v>980</v>
      </c>
      <c r="H52" s="312" t="s">
        <v>920</v>
      </c>
      <c r="I52" s="212"/>
      <c r="J52" s="212"/>
      <c r="K52" s="263"/>
    </row>
    <row r="53" spans="2:11">
      <c r="B53" s="260">
        <v>17</v>
      </c>
      <c r="C53" s="261" t="s">
        <v>353</v>
      </c>
      <c r="D53" s="262" t="s">
        <v>620</v>
      </c>
      <c r="E53" s="325" t="s">
        <v>869</v>
      </c>
      <c r="F53" s="325"/>
      <c r="G53" s="386" t="s">
        <v>4</v>
      </c>
      <c r="H53" s="312" t="s">
        <v>920</v>
      </c>
      <c r="I53" s="212"/>
      <c r="J53" s="212"/>
      <c r="K53" s="263"/>
    </row>
    <row r="54" spans="2:11">
      <c r="B54" s="260">
        <v>6</v>
      </c>
      <c r="C54" s="261" t="s">
        <v>342</v>
      </c>
      <c r="D54" s="262" t="s">
        <v>611</v>
      </c>
      <c r="E54" s="325" t="s">
        <v>869</v>
      </c>
      <c r="F54" s="325"/>
      <c r="G54" s="386" t="s">
        <v>1020</v>
      </c>
      <c r="H54" s="312" t="s">
        <v>920</v>
      </c>
      <c r="I54" s="212"/>
      <c r="J54" s="212"/>
      <c r="K54" s="263"/>
    </row>
    <row r="55" spans="2:11">
      <c r="B55" s="260">
        <v>16</v>
      </c>
      <c r="C55" s="261" t="s">
        <v>352</v>
      </c>
      <c r="D55" s="262" t="s">
        <v>610</v>
      </c>
      <c r="E55" s="325" t="s">
        <v>869</v>
      </c>
      <c r="F55" s="325"/>
      <c r="G55" s="386" t="s">
        <v>1021</v>
      </c>
      <c r="H55" s="312" t="s">
        <v>920</v>
      </c>
      <c r="I55" s="212"/>
      <c r="J55" s="212"/>
      <c r="K55" s="263"/>
    </row>
    <row r="56" spans="2:11">
      <c r="B56" s="260">
        <v>60</v>
      </c>
      <c r="C56" s="261" t="s">
        <v>396</v>
      </c>
      <c r="D56" s="264" t="s">
        <v>669</v>
      </c>
      <c r="E56" s="325" t="s">
        <v>869</v>
      </c>
      <c r="F56" s="325"/>
      <c r="G56" s="386" t="s">
        <v>993</v>
      </c>
      <c r="H56" s="312" t="s">
        <v>920</v>
      </c>
      <c r="I56" s="212"/>
      <c r="J56" s="212"/>
      <c r="K56" s="263"/>
    </row>
    <row r="57" spans="2:11">
      <c r="B57" s="260">
        <v>59</v>
      </c>
      <c r="C57" s="261" t="s">
        <v>395</v>
      </c>
      <c r="D57" s="264" t="s">
        <v>691</v>
      </c>
      <c r="E57" s="325" t="s">
        <v>869</v>
      </c>
      <c r="F57" s="325"/>
      <c r="G57" s="386" t="s">
        <v>8</v>
      </c>
      <c r="H57" s="312" t="s">
        <v>920</v>
      </c>
      <c r="I57" s="212"/>
      <c r="J57" s="212"/>
      <c r="K57" s="263"/>
    </row>
    <row r="58" spans="2:11">
      <c r="B58" s="260">
        <v>28</v>
      </c>
      <c r="C58" s="261" t="s">
        <v>364</v>
      </c>
      <c r="D58" s="262" t="s">
        <v>646</v>
      </c>
      <c r="E58" s="325" t="s">
        <v>869</v>
      </c>
      <c r="F58" s="325"/>
      <c r="G58" s="386" t="s">
        <v>991</v>
      </c>
      <c r="H58" s="312" t="s">
        <v>920</v>
      </c>
      <c r="I58" s="212"/>
      <c r="J58" s="212"/>
      <c r="K58" s="263"/>
    </row>
    <row r="59" spans="2:11">
      <c r="B59" s="260">
        <v>38</v>
      </c>
      <c r="C59" s="261" t="s">
        <v>374</v>
      </c>
      <c r="D59" s="262" t="s">
        <v>645</v>
      </c>
      <c r="E59" s="325" t="s">
        <v>869</v>
      </c>
      <c r="F59" s="325"/>
      <c r="G59" s="386" t="s">
        <v>992</v>
      </c>
      <c r="H59" s="312" t="s">
        <v>920</v>
      </c>
      <c r="I59" s="212"/>
      <c r="J59" s="212"/>
      <c r="K59" s="263"/>
    </row>
    <row r="60" spans="2:11">
      <c r="B60" s="260">
        <v>49</v>
      </c>
      <c r="C60" s="261" t="s">
        <v>385</v>
      </c>
      <c r="D60" s="264" t="s">
        <v>690</v>
      </c>
      <c r="E60" s="325" t="s">
        <v>869</v>
      </c>
      <c r="F60" s="325"/>
      <c r="G60" s="386" t="s">
        <v>989</v>
      </c>
      <c r="H60" s="312" t="s">
        <v>920</v>
      </c>
      <c r="I60" s="212"/>
      <c r="J60" s="212"/>
      <c r="K60" s="263"/>
    </row>
    <row r="61" spans="2:11">
      <c r="B61" s="260">
        <v>50</v>
      </c>
      <c r="C61" s="261" t="s">
        <v>386</v>
      </c>
      <c r="D61" s="264" t="s">
        <v>668</v>
      </c>
      <c r="E61" s="325" t="s">
        <v>869</v>
      </c>
      <c r="F61" s="325"/>
      <c r="G61" s="386" t="s">
        <v>990</v>
      </c>
      <c r="H61" s="312" t="s">
        <v>920</v>
      </c>
      <c r="I61" s="212"/>
      <c r="J61" s="212"/>
      <c r="K61" s="263"/>
    </row>
    <row r="62" spans="2:11">
      <c r="B62" s="260">
        <v>19</v>
      </c>
      <c r="C62" s="261" t="s">
        <v>355</v>
      </c>
      <c r="D62" s="262" t="s">
        <v>689</v>
      </c>
      <c r="E62" s="325" t="s">
        <v>869</v>
      </c>
      <c r="F62" s="325"/>
      <c r="G62" s="386" t="s">
        <v>987</v>
      </c>
      <c r="H62" s="312" t="s">
        <v>920</v>
      </c>
      <c r="I62" s="212"/>
      <c r="J62" s="212"/>
      <c r="K62" s="263"/>
    </row>
    <row r="63" spans="2:11">
      <c r="B63" s="260">
        <v>20</v>
      </c>
      <c r="C63" s="261" t="s">
        <v>356</v>
      </c>
      <c r="D63" s="262" t="s">
        <v>667</v>
      </c>
      <c r="E63" s="325" t="s">
        <v>869</v>
      </c>
      <c r="F63" s="325"/>
      <c r="G63" s="386" t="s">
        <v>988</v>
      </c>
      <c r="H63" s="312" t="s">
        <v>920</v>
      </c>
      <c r="I63" s="212"/>
      <c r="J63" s="212"/>
      <c r="K63" s="263"/>
    </row>
    <row r="64" spans="2:11">
      <c r="B64" s="260">
        <v>26</v>
      </c>
      <c r="C64" s="261" t="s">
        <v>362</v>
      </c>
      <c r="D64" s="262" t="s">
        <v>613</v>
      </c>
      <c r="E64" s="325" t="s">
        <v>869</v>
      </c>
      <c r="F64" s="325"/>
      <c r="G64" s="386" t="s">
        <v>1022</v>
      </c>
      <c r="H64" s="312" t="s">
        <v>920</v>
      </c>
      <c r="I64" s="212"/>
      <c r="J64" s="212"/>
      <c r="K64" s="263"/>
    </row>
    <row r="65" spans="2:11">
      <c r="B65" s="260">
        <v>36</v>
      </c>
      <c r="C65" s="261" t="s">
        <v>372</v>
      </c>
      <c r="D65" s="262" t="s">
        <v>612</v>
      </c>
      <c r="E65" s="325" t="s">
        <v>869</v>
      </c>
      <c r="F65" s="325"/>
      <c r="G65" s="386" t="s">
        <v>6</v>
      </c>
      <c r="H65" s="312" t="s">
        <v>920</v>
      </c>
      <c r="I65" s="212"/>
      <c r="J65" s="212"/>
      <c r="K65" s="263"/>
    </row>
    <row r="66" spans="2:11">
      <c r="B66" s="260">
        <v>118</v>
      </c>
      <c r="C66" s="261" t="s">
        <v>37</v>
      </c>
      <c r="D66" s="262" t="s">
        <v>624</v>
      </c>
      <c r="E66" s="325" t="s">
        <v>869</v>
      </c>
      <c r="F66" s="325"/>
      <c r="G66" s="386" t="s">
        <v>1000</v>
      </c>
      <c r="H66" s="340" t="s">
        <v>915</v>
      </c>
      <c r="I66" s="212"/>
      <c r="J66" s="212"/>
      <c r="K66" s="263"/>
    </row>
    <row r="67" spans="2:11">
      <c r="B67" s="260">
        <v>117</v>
      </c>
      <c r="C67" s="261" t="s">
        <v>36</v>
      </c>
      <c r="D67" s="262" t="s">
        <v>647</v>
      </c>
      <c r="E67" s="325" t="s">
        <v>869</v>
      </c>
      <c r="F67" s="325"/>
      <c r="G67" s="386" t="s">
        <v>1001</v>
      </c>
      <c r="H67" s="312" t="s">
        <v>915</v>
      </c>
      <c r="I67" s="212"/>
      <c r="J67" s="212"/>
      <c r="K67" s="263"/>
    </row>
    <row r="68" spans="2:11">
      <c r="B68" s="260">
        <v>148</v>
      </c>
      <c r="C68" s="261" t="s">
        <v>67</v>
      </c>
      <c r="D68" s="262" t="s">
        <v>626</v>
      </c>
      <c r="E68" s="325" t="s">
        <v>869</v>
      </c>
      <c r="F68" s="325"/>
      <c r="G68" s="386" t="s">
        <v>998</v>
      </c>
      <c r="H68" s="312" t="s">
        <v>915</v>
      </c>
      <c r="I68" s="212"/>
      <c r="J68" s="212"/>
      <c r="K68" s="263"/>
    </row>
    <row r="69" spans="2:11">
      <c r="B69" s="260">
        <v>147</v>
      </c>
      <c r="C69" s="261" t="s">
        <v>66</v>
      </c>
      <c r="D69" s="262" t="s">
        <v>649</v>
      </c>
      <c r="E69" s="325" t="s">
        <v>869</v>
      </c>
      <c r="F69" s="325"/>
      <c r="G69" s="386" t="s">
        <v>999</v>
      </c>
      <c r="H69" s="312" t="s">
        <v>915</v>
      </c>
      <c r="I69" s="212"/>
      <c r="J69" s="212"/>
      <c r="K69" s="263"/>
    </row>
    <row r="70" spans="2:11">
      <c r="B70" s="260">
        <v>168</v>
      </c>
      <c r="C70" s="261" t="s">
        <v>87</v>
      </c>
      <c r="D70" s="262" t="s">
        <v>628</v>
      </c>
      <c r="E70" s="325" t="s">
        <v>869</v>
      </c>
      <c r="F70" s="325"/>
      <c r="G70" s="386" t="s">
        <v>996</v>
      </c>
      <c r="H70" s="312" t="s">
        <v>915</v>
      </c>
      <c r="I70" s="212"/>
      <c r="J70" s="212"/>
      <c r="K70" s="263"/>
    </row>
    <row r="71" spans="2:11">
      <c r="B71" s="260">
        <v>167</v>
      </c>
      <c r="C71" s="261" t="s">
        <v>86</v>
      </c>
      <c r="D71" s="262" t="s">
        <v>651</v>
      </c>
      <c r="E71" s="325" t="s">
        <v>869</v>
      </c>
      <c r="F71" s="325"/>
      <c r="G71" s="386" t="s">
        <v>997</v>
      </c>
      <c r="H71" s="312" t="s">
        <v>915</v>
      </c>
      <c r="I71" s="212"/>
      <c r="J71" s="212"/>
      <c r="K71" s="263"/>
    </row>
    <row r="72" spans="2:11">
      <c r="B72" s="260">
        <v>170</v>
      </c>
      <c r="C72" s="261" t="s">
        <v>89</v>
      </c>
      <c r="D72" s="262" t="s">
        <v>674</v>
      </c>
      <c r="E72" s="325" t="s">
        <v>869</v>
      </c>
      <c r="F72" s="325"/>
      <c r="G72" s="386" t="s">
        <v>994</v>
      </c>
      <c r="H72" s="312" t="s">
        <v>915</v>
      </c>
      <c r="I72" s="212"/>
      <c r="J72" s="212"/>
      <c r="K72" s="263"/>
    </row>
    <row r="73" spans="2:11">
      <c r="B73" s="260">
        <v>169</v>
      </c>
      <c r="C73" s="261" t="s">
        <v>88</v>
      </c>
      <c r="D73" s="262" t="s">
        <v>696</v>
      </c>
      <c r="E73" s="325" t="s">
        <v>869</v>
      </c>
      <c r="F73" s="325"/>
      <c r="G73" s="386" t="s">
        <v>995</v>
      </c>
      <c r="H73" s="312" t="s">
        <v>915</v>
      </c>
      <c r="I73" s="212"/>
      <c r="J73" s="212"/>
      <c r="K73" s="263"/>
    </row>
    <row r="74" spans="2:11">
      <c r="B74" s="260">
        <v>158</v>
      </c>
      <c r="C74" s="261" t="s">
        <v>77</v>
      </c>
      <c r="D74" s="262" t="s">
        <v>627</v>
      </c>
      <c r="E74" s="325" t="s">
        <v>869</v>
      </c>
      <c r="F74" s="325"/>
      <c r="G74" s="386" t="s">
        <v>1027</v>
      </c>
      <c r="H74" s="312" t="s">
        <v>915</v>
      </c>
      <c r="I74" s="212"/>
      <c r="J74" s="212"/>
      <c r="K74" s="263"/>
    </row>
    <row r="75" spans="2:11">
      <c r="B75" s="260">
        <v>157</v>
      </c>
      <c r="C75" s="261" t="s">
        <v>76</v>
      </c>
      <c r="D75" s="262" t="s">
        <v>650</v>
      </c>
      <c r="E75" s="325" t="s">
        <v>869</v>
      </c>
      <c r="F75" s="325"/>
      <c r="G75" s="386" t="s">
        <v>1028</v>
      </c>
      <c r="H75" s="312" t="s">
        <v>915</v>
      </c>
      <c r="I75" s="212"/>
      <c r="J75" s="212"/>
      <c r="K75" s="263"/>
    </row>
    <row r="76" spans="2:11">
      <c r="B76" s="260">
        <v>129</v>
      </c>
      <c r="C76" s="261" t="s">
        <v>48</v>
      </c>
      <c r="D76" s="262" t="s">
        <v>692</v>
      </c>
      <c r="E76" s="325" t="s">
        <v>869</v>
      </c>
      <c r="F76" s="325"/>
      <c r="G76" s="386" t="s">
        <v>1002</v>
      </c>
      <c r="H76" s="312" t="s">
        <v>915</v>
      </c>
      <c r="I76" s="212"/>
      <c r="J76" s="212"/>
      <c r="K76" s="263"/>
    </row>
    <row r="77" spans="2:11">
      <c r="B77" s="260">
        <v>130</v>
      </c>
      <c r="C77" s="261" t="s">
        <v>49</v>
      </c>
      <c r="D77" s="262" t="s">
        <v>670</v>
      </c>
      <c r="E77" s="325" t="s">
        <v>869</v>
      </c>
      <c r="F77" s="325"/>
      <c r="G77" s="386" t="s">
        <v>1003</v>
      </c>
      <c r="H77" s="312" t="s">
        <v>915</v>
      </c>
      <c r="I77" s="212"/>
      <c r="J77" s="212"/>
      <c r="K77" s="263"/>
    </row>
    <row r="78" spans="2:11">
      <c r="B78" s="260">
        <v>139</v>
      </c>
      <c r="C78" s="261" t="s">
        <v>58</v>
      </c>
      <c r="D78" s="262" t="s">
        <v>693</v>
      </c>
      <c r="E78" s="325" t="s">
        <v>869</v>
      </c>
      <c r="F78" s="325"/>
      <c r="G78" s="386" t="s">
        <v>1004</v>
      </c>
      <c r="H78" s="312" t="s">
        <v>915</v>
      </c>
      <c r="I78" s="212"/>
      <c r="J78" s="212"/>
      <c r="K78" s="263"/>
    </row>
    <row r="79" spans="2:11">
      <c r="B79" s="260">
        <v>140</v>
      </c>
      <c r="C79" s="261" t="s">
        <v>59</v>
      </c>
      <c r="D79" s="262" t="s">
        <v>671</v>
      </c>
      <c r="E79" s="325" t="s">
        <v>869</v>
      </c>
      <c r="F79" s="325"/>
      <c r="G79" s="386" t="s">
        <v>1005</v>
      </c>
      <c r="H79" s="312" t="s">
        <v>915</v>
      </c>
      <c r="I79" s="212"/>
      <c r="J79" s="212"/>
      <c r="K79" s="263"/>
    </row>
    <row r="80" spans="2:11">
      <c r="B80" s="260">
        <v>138</v>
      </c>
      <c r="C80" s="261" t="s">
        <v>57</v>
      </c>
      <c r="D80" s="262" t="s">
        <v>625</v>
      </c>
      <c r="E80" s="325" t="s">
        <v>869</v>
      </c>
      <c r="F80" s="325"/>
      <c r="G80" s="386" t="s">
        <v>1008</v>
      </c>
      <c r="H80" s="312" t="s">
        <v>915</v>
      </c>
      <c r="I80" s="212"/>
      <c r="J80" s="212"/>
      <c r="K80" s="263"/>
    </row>
    <row r="81" spans="2:11">
      <c r="B81" s="260">
        <v>137</v>
      </c>
      <c r="C81" s="261" t="s">
        <v>56</v>
      </c>
      <c r="D81" s="262" t="s">
        <v>648</v>
      </c>
      <c r="E81" s="325" t="s">
        <v>869</v>
      </c>
      <c r="F81" s="325"/>
      <c r="G81" s="386" t="s">
        <v>1009</v>
      </c>
      <c r="H81" s="312" t="s">
        <v>915</v>
      </c>
      <c r="I81" s="212"/>
      <c r="J81" s="212"/>
      <c r="K81" s="263"/>
    </row>
    <row r="82" spans="2:11">
      <c r="B82" s="260">
        <v>150</v>
      </c>
      <c r="C82" s="261" t="s">
        <v>69</v>
      </c>
      <c r="D82" s="262" t="s">
        <v>672</v>
      </c>
      <c r="E82" s="325" t="s">
        <v>869</v>
      </c>
      <c r="F82" s="325"/>
      <c r="G82" s="386" t="s">
        <v>1006</v>
      </c>
      <c r="H82" s="312" t="s">
        <v>915</v>
      </c>
      <c r="I82" s="212"/>
      <c r="J82" s="212"/>
      <c r="K82" s="263"/>
    </row>
    <row r="83" spans="2:11">
      <c r="B83" s="260">
        <v>149</v>
      </c>
      <c r="C83" s="261" t="s">
        <v>68</v>
      </c>
      <c r="D83" s="262" t="s">
        <v>694</v>
      </c>
      <c r="E83" s="325" t="s">
        <v>869</v>
      </c>
      <c r="F83" s="325"/>
      <c r="G83" s="386" t="s">
        <v>1007</v>
      </c>
      <c r="H83" s="312" t="s">
        <v>915</v>
      </c>
      <c r="I83" s="212"/>
      <c r="J83" s="212"/>
      <c r="K83" s="263"/>
    </row>
    <row r="84" spans="2:11">
      <c r="B84" s="260">
        <v>160</v>
      </c>
      <c r="C84" s="261" t="s">
        <v>79</v>
      </c>
      <c r="D84" s="262" t="s">
        <v>673</v>
      </c>
      <c r="E84" s="325" t="s">
        <v>869</v>
      </c>
      <c r="F84" s="325"/>
      <c r="G84" s="386" t="s">
        <v>1029</v>
      </c>
      <c r="H84" s="312" t="s">
        <v>915</v>
      </c>
      <c r="I84" s="212"/>
      <c r="J84" s="212"/>
      <c r="K84" s="263"/>
    </row>
    <row r="85" spans="2:11">
      <c r="B85" s="260">
        <v>159</v>
      </c>
      <c r="C85" s="261" t="s">
        <v>78</v>
      </c>
      <c r="D85" s="262" t="s">
        <v>695</v>
      </c>
      <c r="E85" s="325" t="s">
        <v>869</v>
      </c>
      <c r="F85" s="325"/>
      <c r="G85" s="386" t="s">
        <v>1030</v>
      </c>
      <c r="H85" s="312" t="s">
        <v>915</v>
      </c>
      <c r="I85" s="212"/>
      <c r="J85" s="212"/>
      <c r="K85" s="263"/>
    </row>
    <row r="86" spans="2:11">
      <c r="B86" s="260">
        <v>128</v>
      </c>
      <c r="C86" s="261" t="s">
        <v>47</v>
      </c>
      <c r="D86" s="262" t="s">
        <v>507</v>
      </c>
      <c r="E86" s="325" t="s">
        <v>869</v>
      </c>
      <c r="F86" s="325"/>
      <c r="G86" s="325" t="s">
        <v>226</v>
      </c>
      <c r="H86" s="212"/>
      <c r="I86" s="212"/>
      <c r="J86" s="212"/>
      <c r="K86" s="263"/>
    </row>
    <row r="87" spans="2:11">
      <c r="B87" s="260">
        <v>127</v>
      </c>
      <c r="C87" s="261" t="s">
        <v>46</v>
      </c>
      <c r="D87" s="262" t="s">
        <v>497</v>
      </c>
      <c r="E87" s="325" t="s">
        <v>869</v>
      </c>
      <c r="F87" s="325"/>
      <c r="G87" s="325" t="s">
        <v>236</v>
      </c>
      <c r="H87" s="212"/>
      <c r="I87" s="212"/>
      <c r="J87" s="212"/>
      <c r="K87" s="263"/>
    </row>
    <row r="88" spans="2:11">
      <c r="B88" s="260">
        <v>79</v>
      </c>
      <c r="C88" s="261" t="s">
        <v>415</v>
      </c>
      <c r="D88" s="264" t="s">
        <v>490</v>
      </c>
      <c r="E88" s="212"/>
      <c r="F88" s="212"/>
      <c r="G88" s="212"/>
      <c r="H88" s="212"/>
      <c r="I88" s="212"/>
      <c r="J88" s="212"/>
      <c r="K88" s="263"/>
    </row>
    <row r="89" spans="2:11">
      <c r="B89" s="260">
        <v>78</v>
      </c>
      <c r="C89" s="261" t="s">
        <v>414</v>
      </c>
      <c r="D89" s="264" t="s">
        <v>498</v>
      </c>
      <c r="E89" s="325" t="s">
        <v>869</v>
      </c>
      <c r="F89" s="325"/>
      <c r="G89" s="325" t="s">
        <v>1034</v>
      </c>
      <c r="H89" s="212"/>
      <c r="I89" s="212"/>
      <c r="J89" s="212"/>
      <c r="K89" s="263"/>
    </row>
    <row r="90" spans="2:11">
      <c r="B90" s="260">
        <v>88</v>
      </c>
      <c r="C90" s="261" t="s">
        <v>424</v>
      </c>
      <c r="D90" s="262" t="s">
        <v>499</v>
      </c>
      <c r="E90" s="212"/>
      <c r="F90" s="212"/>
      <c r="G90" s="212"/>
      <c r="H90" s="212"/>
      <c r="I90" s="212"/>
      <c r="J90" s="212"/>
      <c r="K90" s="263"/>
    </row>
    <row r="91" spans="2:11">
      <c r="B91" s="260">
        <v>89</v>
      </c>
      <c r="C91" s="261" t="s">
        <v>425</v>
      </c>
      <c r="D91" s="262" t="s">
        <v>491</v>
      </c>
      <c r="E91" s="325" t="s">
        <v>869</v>
      </c>
      <c r="F91" s="325"/>
      <c r="G91" s="325" t="s">
        <v>1035</v>
      </c>
      <c r="H91" s="212"/>
      <c r="I91" s="212"/>
      <c r="J91" s="212"/>
      <c r="K91" s="263"/>
    </row>
    <row r="92" spans="2:11">
      <c r="B92" s="260">
        <v>47</v>
      </c>
      <c r="C92" s="261" t="s">
        <v>383</v>
      </c>
      <c r="D92" s="264" t="s">
        <v>474</v>
      </c>
      <c r="E92" s="212"/>
      <c r="F92" s="212"/>
      <c r="G92" s="212"/>
      <c r="H92" s="212"/>
      <c r="I92" s="212"/>
      <c r="J92" s="212"/>
      <c r="K92" s="263"/>
    </row>
    <row r="93" spans="2:11">
      <c r="B93" s="260">
        <v>57</v>
      </c>
      <c r="C93" s="261" t="s">
        <v>393</v>
      </c>
      <c r="D93" s="264" t="s">
        <v>474</v>
      </c>
      <c r="E93" s="212"/>
      <c r="F93" s="212"/>
      <c r="G93" s="212"/>
      <c r="H93" s="212"/>
      <c r="I93" s="212"/>
      <c r="J93" s="212"/>
      <c r="K93" s="263"/>
    </row>
    <row r="94" spans="2:11">
      <c r="B94" s="260">
        <v>67</v>
      </c>
      <c r="C94" s="261" t="s">
        <v>403</v>
      </c>
      <c r="D94" s="264" t="s">
        <v>474</v>
      </c>
      <c r="E94" s="212"/>
      <c r="F94" s="212"/>
      <c r="G94" s="212"/>
      <c r="H94" s="212"/>
      <c r="I94" s="212"/>
      <c r="J94" s="212"/>
      <c r="K94" s="263"/>
    </row>
    <row r="95" spans="2:11">
      <c r="B95" s="260">
        <v>77</v>
      </c>
      <c r="C95" s="261" t="s">
        <v>413</v>
      </c>
      <c r="D95" s="264" t="s">
        <v>474</v>
      </c>
      <c r="E95" s="212"/>
      <c r="F95" s="212"/>
      <c r="G95" s="212"/>
      <c r="H95" s="212"/>
      <c r="I95" s="212"/>
      <c r="J95" s="212"/>
      <c r="K95" s="263"/>
    </row>
    <row r="96" spans="2:11">
      <c r="B96" s="260">
        <v>87</v>
      </c>
      <c r="C96" s="261" t="s">
        <v>423</v>
      </c>
      <c r="D96" s="262" t="s">
        <v>474</v>
      </c>
      <c r="E96" s="212"/>
      <c r="F96" s="212"/>
      <c r="G96" s="212"/>
      <c r="H96" s="212"/>
      <c r="I96" s="212"/>
      <c r="J96" s="212"/>
      <c r="K96" s="263"/>
    </row>
    <row r="97" spans="2:11">
      <c r="B97" s="260">
        <v>48</v>
      </c>
      <c r="C97" s="261" t="s">
        <v>384</v>
      </c>
      <c r="D97" s="264" t="s">
        <v>474</v>
      </c>
      <c r="E97" s="212"/>
      <c r="F97" s="212"/>
      <c r="G97" s="212"/>
      <c r="H97" s="212"/>
      <c r="I97" s="212"/>
      <c r="J97" s="212"/>
      <c r="K97" s="263"/>
    </row>
    <row r="98" spans="2:11">
      <c r="B98" s="260">
        <v>58</v>
      </c>
      <c r="C98" s="261" t="s">
        <v>394</v>
      </c>
      <c r="D98" s="264" t="s">
        <v>474</v>
      </c>
      <c r="E98" s="212"/>
      <c r="F98" s="212"/>
      <c r="G98" s="212"/>
      <c r="H98" s="212"/>
      <c r="I98" s="212"/>
      <c r="J98" s="212"/>
      <c r="K98" s="263"/>
    </row>
    <row r="99" spans="2:11">
      <c r="B99" s="260">
        <v>68</v>
      </c>
      <c r="C99" s="261" t="s">
        <v>404</v>
      </c>
      <c r="D99" s="264" t="s">
        <v>474</v>
      </c>
      <c r="E99" s="212"/>
      <c r="F99" s="212"/>
      <c r="G99" s="212"/>
      <c r="H99" s="212"/>
      <c r="I99" s="212"/>
      <c r="J99" s="212"/>
      <c r="K99" s="263"/>
    </row>
    <row r="100" spans="2:11">
      <c r="B100" s="260">
        <v>69</v>
      </c>
      <c r="C100" s="261" t="s">
        <v>405</v>
      </c>
      <c r="D100" s="264" t="s">
        <v>474</v>
      </c>
      <c r="E100" s="212"/>
      <c r="F100" s="212"/>
      <c r="G100" s="212"/>
      <c r="H100" s="212"/>
      <c r="I100" s="212"/>
      <c r="J100" s="212"/>
      <c r="K100" s="263"/>
    </row>
    <row r="101" spans="2:11">
      <c r="B101" s="260">
        <v>70</v>
      </c>
      <c r="C101" s="261" t="s">
        <v>406</v>
      </c>
      <c r="D101" s="264" t="s">
        <v>508</v>
      </c>
      <c r="E101" s="212"/>
      <c r="F101" s="212"/>
      <c r="G101" s="212"/>
      <c r="H101" s="212"/>
      <c r="I101" s="212"/>
      <c r="J101" s="212"/>
      <c r="K101" s="263"/>
    </row>
    <row r="102" spans="2:11">
      <c r="B102" s="260">
        <v>80</v>
      </c>
      <c r="C102" s="261" t="s">
        <v>416</v>
      </c>
      <c r="D102" s="264" t="s">
        <v>510</v>
      </c>
      <c r="E102" s="212"/>
      <c r="F102" s="212"/>
      <c r="G102" s="212"/>
      <c r="H102" s="212"/>
      <c r="I102" s="212"/>
      <c r="J102" s="212"/>
      <c r="K102" s="263"/>
    </row>
    <row r="103" spans="2:11">
      <c r="B103" s="260">
        <v>90</v>
      </c>
      <c r="C103" s="261" t="s">
        <v>426</v>
      </c>
      <c r="D103" s="262" t="s">
        <v>509</v>
      </c>
      <c r="E103" s="212"/>
      <c r="F103" s="212"/>
      <c r="G103" s="212"/>
      <c r="H103" s="212"/>
      <c r="I103" s="212"/>
      <c r="J103" s="212"/>
      <c r="K103" s="263"/>
    </row>
    <row r="104" spans="2:11">
      <c r="B104" s="260">
        <v>106</v>
      </c>
      <c r="C104" s="261" t="s">
        <v>25</v>
      </c>
      <c r="D104" s="262" t="s">
        <v>482</v>
      </c>
      <c r="E104" s="212"/>
      <c r="F104" s="212"/>
      <c r="G104" s="212"/>
      <c r="H104" s="212"/>
      <c r="I104" s="212"/>
      <c r="J104" s="212"/>
      <c r="K104" s="263"/>
    </row>
    <row r="105" spans="2:11">
      <c r="B105" s="260">
        <v>116</v>
      </c>
      <c r="C105" s="261" t="s">
        <v>35</v>
      </c>
      <c r="D105" s="262" t="s">
        <v>482</v>
      </c>
      <c r="E105" s="212"/>
      <c r="F105" s="212"/>
      <c r="G105" s="212"/>
      <c r="H105" s="212"/>
      <c r="I105" s="212"/>
      <c r="J105" s="212"/>
      <c r="K105" s="263"/>
    </row>
    <row r="106" spans="2:11">
      <c r="B106" s="260">
        <v>126</v>
      </c>
      <c r="C106" s="261" t="s">
        <v>45</v>
      </c>
      <c r="D106" s="262" t="s">
        <v>482</v>
      </c>
      <c r="E106" s="212"/>
      <c r="F106" s="212"/>
      <c r="G106" s="212"/>
      <c r="H106" s="212"/>
      <c r="I106" s="212"/>
      <c r="J106" s="212"/>
      <c r="K106" s="263"/>
    </row>
    <row r="107" spans="2:11">
      <c r="B107" s="260">
        <v>136</v>
      </c>
      <c r="C107" s="261" t="s">
        <v>55</v>
      </c>
      <c r="D107" s="262" t="s">
        <v>482</v>
      </c>
      <c r="E107" s="212"/>
      <c r="F107" s="212"/>
      <c r="G107" s="212"/>
      <c r="H107" s="212"/>
      <c r="I107" s="212"/>
      <c r="J107" s="212"/>
      <c r="K107" s="263"/>
    </row>
    <row r="108" spans="2:11">
      <c r="B108" s="260">
        <v>97</v>
      </c>
      <c r="C108" s="261" t="s">
        <v>9</v>
      </c>
      <c r="D108" s="262" t="s">
        <v>482</v>
      </c>
      <c r="E108" s="212"/>
      <c r="F108" s="212"/>
      <c r="G108" s="212"/>
      <c r="H108" s="212"/>
      <c r="I108" s="212"/>
      <c r="J108" s="212"/>
      <c r="K108" s="263"/>
    </row>
    <row r="109" spans="2:11">
      <c r="B109" s="260">
        <v>107</v>
      </c>
      <c r="C109" s="261" t="s">
        <v>26</v>
      </c>
      <c r="D109" s="262" t="s">
        <v>482</v>
      </c>
      <c r="E109" s="212"/>
      <c r="F109" s="212"/>
      <c r="G109" s="212"/>
      <c r="H109" s="212"/>
      <c r="I109" s="212"/>
      <c r="J109" s="212"/>
      <c r="K109" s="263"/>
    </row>
    <row r="110" spans="2:11">
      <c r="B110" s="260">
        <v>98</v>
      </c>
      <c r="C110" s="261" t="s">
        <v>10</v>
      </c>
      <c r="D110" s="262" t="s">
        <v>482</v>
      </c>
      <c r="E110" s="212"/>
      <c r="F110" s="212"/>
      <c r="G110" s="212"/>
      <c r="H110" s="212"/>
      <c r="I110" s="212"/>
      <c r="J110" s="212"/>
      <c r="K110" s="263"/>
    </row>
    <row r="111" spans="2:11">
      <c r="B111" s="260">
        <v>108</v>
      </c>
      <c r="C111" s="261" t="s">
        <v>27</v>
      </c>
      <c r="D111" s="262" t="s">
        <v>482</v>
      </c>
      <c r="E111" s="212"/>
      <c r="F111" s="212"/>
      <c r="G111" s="212"/>
      <c r="H111" s="212"/>
      <c r="I111" s="212"/>
      <c r="J111" s="212"/>
      <c r="K111" s="263"/>
    </row>
    <row r="112" spans="2:11">
      <c r="B112" s="260">
        <v>109</v>
      </c>
      <c r="C112" s="261" t="s">
        <v>28</v>
      </c>
      <c r="D112" s="262" t="s">
        <v>482</v>
      </c>
      <c r="E112" s="212"/>
      <c r="F112" s="212"/>
      <c r="G112" s="212"/>
      <c r="H112" s="212"/>
      <c r="I112" s="212"/>
      <c r="J112" s="212"/>
      <c r="K112" s="263"/>
    </row>
    <row r="113" spans="2:11">
      <c r="B113" s="260">
        <v>100</v>
      </c>
      <c r="C113" s="261" t="s">
        <v>12</v>
      </c>
      <c r="D113" s="262" t="s">
        <v>482</v>
      </c>
      <c r="E113" s="212"/>
      <c r="F113" s="212"/>
      <c r="G113" s="212"/>
      <c r="H113" s="212"/>
      <c r="I113" s="212"/>
      <c r="J113" s="212"/>
      <c r="K113" s="263"/>
    </row>
    <row r="114" spans="2:11">
      <c r="B114" s="260">
        <v>110</v>
      </c>
      <c r="C114" s="261" t="s">
        <v>29</v>
      </c>
      <c r="D114" s="262" t="s">
        <v>482</v>
      </c>
      <c r="E114" s="212"/>
      <c r="F114" s="212"/>
      <c r="G114" s="212"/>
      <c r="H114" s="212"/>
      <c r="I114" s="212"/>
      <c r="J114" s="212"/>
      <c r="K114" s="263"/>
    </row>
    <row r="115" spans="2:11">
      <c r="B115" s="260">
        <v>30</v>
      </c>
      <c r="C115" s="261" t="s">
        <v>366</v>
      </c>
      <c r="D115" s="262" t="s">
        <v>511</v>
      </c>
      <c r="E115" s="212"/>
      <c r="F115" s="212"/>
      <c r="G115" s="212"/>
      <c r="H115" s="212"/>
      <c r="I115" s="212"/>
      <c r="J115" s="212"/>
      <c r="K115" s="263"/>
    </row>
    <row r="116" spans="2:11">
      <c r="B116" s="260">
        <v>29</v>
      </c>
      <c r="C116" s="261" t="s">
        <v>365</v>
      </c>
      <c r="D116" s="326" t="s">
        <v>500</v>
      </c>
      <c r="E116" s="325" t="s">
        <v>869</v>
      </c>
      <c r="F116" s="325"/>
      <c r="G116" s="325" t="s">
        <v>147</v>
      </c>
      <c r="H116" s="212"/>
      <c r="I116" s="212"/>
      <c r="J116" s="212"/>
      <c r="K116" s="263"/>
    </row>
    <row r="117" spans="2:11">
      <c r="B117" s="260">
        <v>39</v>
      </c>
      <c r="C117" s="261" t="s">
        <v>375</v>
      </c>
      <c r="D117" s="326" t="s">
        <v>483</v>
      </c>
      <c r="E117" s="325" t="s">
        <v>869</v>
      </c>
      <c r="F117" s="212"/>
      <c r="G117" s="329" t="s">
        <v>247</v>
      </c>
      <c r="H117" s="212"/>
      <c r="I117" s="212"/>
      <c r="J117" s="212"/>
      <c r="K117" s="263"/>
    </row>
    <row r="118" spans="2:11">
      <c r="B118" s="260">
        <v>40</v>
      </c>
      <c r="C118" s="261" t="s">
        <v>376</v>
      </c>
      <c r="D118" s="326" t="s">
        <v>492</v>
      </c>
      <c r="E118" s="325" t="s">
        <v>869</v>
      </c>
      <c r="F118" s="212"/>
      <c r="G118" s="329" t="s">
        <v>257</v>
      </c>
      <c r="H118" s="212"/>
      <c r="I118" s="212"/>
      <c r="J118" s="212"/>
      <c r="K118" s="263"/>
    </row>
    <row r="119" spans="2:11">
      <c r="B119" s="260">
        <v>119</v>
      </c>
      <c r="C119" s="261" t="s">
        <v>38</v>
      </c>
      <c r="D119" s="326" t="s">
        <v>506</v>
      </c>
      <c r="E119" s="325" t="s">
        <v>869</v>
      </c>
      <c r="F119" s="325"/>
      <c r="G119" s="325"/>
      <c r="H119" s="212"/>
      <c r="I119" s="212"/>
      <c r="J119" s="212"/>
      <c r="K119" s="263"/>
    </row>
    <row r="120" spans="2:11">
      <c r="B120" s="260">
        <v>120</v>
      </c>
      <c r="C120" s="261" t="s">
        <v>39</v>
      </c>
      <c r="D120" s="326" t="s">
        <v>496</v>
      </c>
      <c r="E120" s="325" t="s">
        <v>869</v>
      </c>
      <c r="F120" s="325"/>
      <c r="G120" s="331" t="s">
        <v>1033</v>
      </c>
      <c r="H120" s="212"/>
      <c r="I120" s="212"/>
      <c r="J120" s="212"/>
      <c r="K120" s="263"/>
    </row>
    <row r="121" spans="2:11">
      <c r="B121" s="42">
        <v>267</v>
      </c>
      <c r="C121" s="21" t="s">
        <v>186</v>
      </c>
      <c r="D121" s="22" t="s">
        <v>485</v>
      </c>
      <c r="E121" s="323" t="s">
        <v>868</v>
      </c>
      <c r="F121" s="323"/>
      <c r="G121" s="320" t="s">
        <v>226</v>
      </c>
      <c r="H121" s="5"/>
      <c r="I121" s="5"/>
      <c r="J121" s="5"/>
      <c r="K121" s="14"/>
    </row>
    <row r="122" spans="2:11">
      <c r="B122" s="42">
        <v>268</v>
      </c>
      <c r="C122" s="21" t="s">
        <v>187</v>
      </c>
      <c r="D122" s="22" t="s">
        <v>494</v>
      </c>
      <c r="E122" s="323" t="s">
        <v>868</v>
      </c>
      <c r="F122" s="323"/>
      <c r="G122" s="320" t="s">
        <v>236</v>
      </c>
      <c r="H122" s="5"/>
      <c r="I122" s="5"/>
      <c r="J122" s="5"/>
      <c r="K122" s="14"/>
    </row>
    <row r="123" spans="2:11">
      <c r="B123" s="42">
        <v>258</v>
      </c>
      <c r="C123" s="21" t="s">
        <v>177</v>
      </c>
      <c r="D123" s="22" t="s">
        <v>493</v>
      </c>
      <c r="E123" s="5"/>
      <c r="F123" s="5"/>
      <c r="G123" s="5"/>
      <c r="H123" s="5"/>
      <c r="I123" s="5"/>
      <c r="J123" s="5"/>
      <c r="K123" s="14"/>
    </row>
    <row r="124" spans="2:11">
      <c r="B124" s="42">
        <v>257</v>
      </c>
      <c r="C124" s="21" t="s">
        <v>176</v>
      </c>
      <c r="D124" s="22" t="s">
        <v>484</v>
      </c>
      <c r="E124" s="323" t="s">
        <v>868</v>
      </c>
      <c r="F124" s="323"/>
      <c r="G124" s="320" t="s">
        <v>1034</v>
      </c>
      <c r="H124" s="5"/>
      <c r="I124" s="5"/>
      <c r="J124" s="5"/>
      <c r="K124" s="14"/>
    </row>
    <row r="125" spans="2:11">
      <c r="B125" s="42">
        <v>260</v>
      </c>
      <c r="C125" s="21" t="s">
        <v>179</v>
      </c>
      <c r="D125" s="22" t="s">
        <v>516</v>
      </c>
      <c r="E125" s="5"/>
      <c r="F125" s="5"/>
      <c r="G125" s="5"/>
      <c r="H125" s="5"/>
      <c r="I125" s="5"/>
      <c r="J125" s="5"/>
      <c r="K125" s="14"/>
    </row>
    <row r="126" spans="2:11">
      <c r="B126" s="42">
        <v>259</v>
      </c>
      <c r="C126" s="21" t="s">
        <v>178</v>
      </c>
      <c r="D126" s="22" t="s">
        <v>504</v>
      </c>
      <c r="E126" s="323" t="s">
        <v>868</v>
      </c>
      <c r="F126" s="323"/>
      <c r="G126" s="320" t="s">
        <v>1035</v>
      </c>
      <c r="H126" s="5"/>
      <c r="I126" s="5"/>
      <c r="J126" s="5"/>
      <c r="K126" s="14"/>
    </row>
    <row r="127" spans="2:11">
      <c r="B127" s="42">
        <v>206</v>
      </c>
      <c r="C127" s="21" t="s">
        <v>125</v>
      </c>
      <c r="D127" s="22" t="s">
        <v>475</v>
      </c>
      <c r="E127" s="5"/>
      <c r="F127" s="5"/>
      <c r="G127" s="5"/>
      <c r="H127" s="5"/>
      <c r="I127" s="5"/>
      <c r="J127" s="5"/>
      <c r="K127" s="14"/>
    </row>
    <row r="128" spans="2:11">
      <c r="B128" s="42">
        <v>216</v>
      </c>
      <c r="C128" s="21" t="s">
        <v>135</v>
      </c>
      <c r="D128" s="22" t="s">
        <v>475</v>
      </c>
      <c r="E128" s="5"/>
      <c r="F128" s="5"/>
      <c r="G128" s="5"/>
      <c r="H128" s="5"/>
      <c r="I128" s="5"/>
      <c r="J128" s="5"/>
      <c r="K128" s="14"/>
    </row>
    <row r="129" spans="2:11">
      <c r="B129" s="42">
        <v>226</v>
      </c>
      <c r="C129" s="21" t="s">
        <v>145</v>
      </c>
      <c r="D129" s="22" t="s">
        <v>475</v>
      </c>
      <c r="E129" s="5"/>
      <c r="F129" s="5"/>
      <c r="G129" s="5"/>
      <c r="H129" s="5"/>
      <c r="I129" s="5"/>
      <c r="J129" s="5"/>
      <c r="K129" s="14"/>
    </row>
    <row r="130" spans="2:11">
      <c r="B130" s="42">
        <v>236</v>
      </c>
      <c r="C130" s="21" t="s">
        <v>155</v>
      </c>
      <c r="D130" s="22" t="s">
        <v>475</v>
      </c>
      <c r="E130" s="5"/>
      <c r="F130" s="5"/>
      <c r="G130" s="5"/>
      <c r="H130" s="5"/>
      <c r="I130" s="5"/>
      <c r="J130" s="5"/>
      <c r="K130" s="14"/>
    </row>
    <row r="131" spans="2:11">
      <c r="B131" s="42">
        <v>246</v>
      </c>
      <c r="C131" s="21" t="s">
        <v>165</v>
      </c>
      <c r="D131" s="22" t="s">
        <v>475</v>
      </c>
      <c r="E131" s="5"/>
      <c r="F131" s="5"/>
      <c r="G131" s="5"/>
      <c r="H131" s="5"/>
      <c r="I131" s="5"/>
      <c r="J131" s="5"/>
      <c r="K131" s="14"/>
    </row>
    <row r="132" spans="2:11">
      <c r="B132" s="42">
        <v>256</v>
      </c>
      <c r="C132" s="21" t="s">
        <v>175</v>
      </c>
      <c r="D132" s="22" t="s">
        <v>475</v>
      </c>
      <c r="E132" s="5"/>
      <c r="F132" s="5"/>
      <c r="G132" s="5"/>
      <c r="H132" s="5"/>
      <c r="I132" s="5"/>
      <c r="J132" s="5"/>
      <c r="K132" s="14"/>
    </row>
    <row r="133" spans="2:11">
      <c r="B133" s="42">
        <v>237</v>
      </c>
      <c r="C133" s="21" t="s">
        <v>156</v>
      </c>
      <c r="D133" s="22" t="s">
        <v>475</v>
      </c>
      <c r="E133" s="5"/>
      <c r="F133" s="5"/>
      <c r="G133" s="5"/>
      <c r="H133" s="5"/>
      <c r="I133" s="5"/>
      <c r="J133" s="5"/>
      <c r="K133" s="14"/>
    </row>
    <row r="134" spans="2:11">
      <c r="B134" s="42">
        <v>247</v>
      </c>
      <c r="C134" s="21" t="s">
        <v>166</v>
      </c>
      <c r="D134" s="22" t="s">
        <v>475</v>
      </c>
      <c r="E134" s="5"/>
      <c r="F134" s="5"/>
      <c r="G134" s="5"/>
      <c r="H134" s="5"/>
      <c r="I134" s="5"/>
      <c r="J134" s="5"/>
      <c r="K134" s="14"/>
    </row>
    <row r="135" spans="2:11">
      <c r="B135" s="42">
        <v>238</v>
      </c>
      <c r="C135" s="21" t="s">
        <v>157</v>
      </c>
      <c r="D135" s="22" t="s">
        <v>475</v>
      </c>
      <c r="E135" s="5"/>
      <c r="F135" s="5"/>
      <c r="G135" s="5"/>
      <c r="H135" s="5"/>
      <c r="I135" s="5"/>
      <c r="J135" s="5"/>
      <c r="K135" s="14"/>
    </row>
    <row r="136" spans="2:11">
      <c r="B136" s="42">
        <v>248</v>
      </c>
      <c r="C136" s="21" t="s">
        <v>167</v>
      </c>
      <c r="D136" s="22" t="s">
        <v>475</v>
      </c>
      <c r="E136" s="5"/>
      <c r="F136" s="5"/>
      <c r="G136" s="5"/>
      <c r="H136" s="5"/>
      <c r="I136" s="5"/>
      <c r="J136" s="5"/>
      <c r="K136" s="14"/>
    </row>
    <row r="137" spans="2:11">
      <c r="B137" s="42">
        <v>239</v>
      </c>
      <c r="C137" s="21" t="s">
        <v>158</v>
      </c>
      <c r="D137" s="22" t="s">
        <v>475</v>
      </c>
      <c r="E137" s="5"/>
      <c r="F137" s="5"/>
      <c r="G137" s="5"/>
      <c r="H137" s="5"/>
      <c r="I137" s="5"/>
      <c r="J137" s="5"/>
      <c r="K137" s="14"/>
    </row>
    <row r="138" spans="2:11">
      <c r="B138" s="42">
        <v>240</v>
      </c>
      <c r="C138" s="21" t="s">
        <v>159</v>
      </c>
      <c r="D138" s="22" t="s">
        <v>514</v>
      </c>
      <c r="E138" s="5"/>
      <c r="F138" s="5"/>
      <c r="G138" s="5"/>
      <c r="H138" s="5"/>
      <c r="I138" s="5"/>
      <c r="J138" s="5"/>
      <c r="K138" s="14"/>
    </row>
    <row r="139" spans="2:11">
      <c r="B139" s="42">
        <v>250</v>
      </c>
      <c r="C139" s="21" t="s">
        <v>169</v>
      </c>
      <c r="D139" s="22" t="s">
        <v>515</v>
      </c>
      <c r="E139" s="5"/>
      <c r="F139" s="5"/>
      <c r="G139" s="5"/>
      <c r="H139" s="5"/>
      <c r="I139" s="5"/>
      <c r="J139" s="5"/>
      <c r="K139" s="14"/>
    </row>
    <row r="140" spans="2:11">
      <c r="B140" s="42">
        <v>249</v>
      </c>
      <c r="C140" s="21" t="s">
        <v>168</v>
      </c>
      <c r="D140" s="22" t="s">
        <v>503</v>
      </c>
      <c r="E140" s="5"/>
      <c r="F140" s="5"/>
      <c r="G140" s="5"/>
      <c r="H140" s="5"/>
      <c r="I140" s="5"/>
      <c r="J140" s="5"/>
      <c r="K140" s="14"/>
    </row>
    <row r="141" spans="2:11">
      <c r="B141" s="42">
        <v>266</v>
      </c>
      <c r="C141" s="21" t="s">
        <v>185</v>
      </c>
      <c r="D141" s="22" t="s">
        <v>476</v>
      </c>
      <c r="E141" s="5"/>
      <c r="F141" s="5"/>
      <c r="G141" s="5"/>
      <c r="H141" s="5"/>
      <c r="I141" s="5"/>
      <c r="J141" s="5"/>
      <c r="K141" s="14"/>
    </row>
    <row r="142" spans="2:11">
      <c r="B142" s="42">
        <v>276</v>
      </c>
      <c r="C142" s="21" t="s">
        <v>195</v>
      </c>
      <c r="D142" s="22" t="s">
        <v>476</v>
      </c>
      <c r="E142" s="5"/>
      <c r="F142" s="5"/>
      <c r="G142" s="5"/>
      <c r="H142" s="5"/>
      <c r="I142" s="5"/>
      <c r="J142" s="5"/>
      <c r="K142" s="14"/>
    </row>
    <row r="143" spans="2:11">
      <c r="B143" s="42">
        <v>286</v>
      </c>
      <c r="C143" s="21" t="s">
        <v>205</v>
      </c>
      <c r="D143" s="22" t="s">
        <v>476</v>
      </c>
      <c r="E143" s="5"/>
      <c r="F143" s="5"/>
      <c r="G143" s="5"/>
      <c r="H143" s="5"/>
      <c r="I143" s="5"/>
      <c r="J143" s="5"/>
      <c r="K143" s="14"/>
    </row>
    <row r="144" spans="2:11">
      <c r="B144" s="42">
        <v>296</v>
      </c>
      <c r="C144" s="21" t="s">
        <v>215</v>
      </c>
      <c r="D144" s="22" t="s">
        <v>476</v>
      </c>
      <c r="E144" s="5"/>
      <c r="F144" s="5"/>
      <c r="G144" s="5"/>
      <c r="H144" s="5"/>
      <c r="I144" s="5"/>
      <c r="J144" s="5"/>
      <c r="K144" s="14"/>
    </row>
    <row r="145" spans="2:11">
      <c r="B145" s="42">
        <v>306</v>
      </c>
      <c r="C145" s="21" t="s">
        <v>225</v>
      </c>
      <c r="D145" s="22" t="s">
        <v>476</v>
      </c>
      <c r="E145" s="5"/>
      <c r="F145" s="5"/>
      <c r="G145" s="5"/>
      <c r="H145" s="5"/>
      <c r="I145" s="5"/>
      <c r="J145" s="5"/>
      <c r="K145" s="14"/>
    </row>
    <row r="146" spans="2:11">
      <c r="B146" s="42">
        <v>316</v>
      </c>
      <c r="C146" s="21" t="s">
        <v>235</v>
      </c>
      <c r="D146" s="22" t="s">
        <v>476</v>
      </c>
      <c r="E146" s="5"/>
      <c r="F146" s="5"/>
      <c r="G146" s="5"/>
      <c r="H146" s="5"/>
      <c r="I146" s="5"/>
      <c r="J146" s="5"/>
      <c r="K146" s="14"/>
    </row>
    <row r="147" spans="2:11">
      <c r="B147" s="42">
        <v>326</v>
      </c>
      <c r="C147" s="21" t="s">
        <v>245</v>
      </c>
      <c r="D147" s="22" t="s">
        <v>476</v>
      </c>
      <c r="E147" s="5"/>
      <c r="F147" s="5"/>
      <c r="G147" s="5"/>
      <c r="H147" s="5"/>
      <c r="I147" s="5"/>
      <c r="J147" s="5"/>
      <c r="K147" s="14"/>
    </row>
    <row r="148" spans="2:11">
      <c r="B148" s="42">
        <v>328</v>
      </c>
      <c r="C148" s="21" t="s">
        <v>247</v>
      </c>
      <c r="D148" s="22" t="s">
        <v>476</v>
      </c>
      <c r="E148" s="5"/>
      <c r="F148" s="5"/>
      <c r="G148" s="5"/>
      <c r="H148" s="5"/>
      <c r="I148" s="5"/>
      <c r="J148" s="5"/>
      <c r="K148" s="14"/>
    </row>
    <row r="149" spans="2:11">
      <c r="B149" s="42">
        <v>329</v>
      </c>
      <c r="C149" s="21" t="s">
        <v>248</v>
      </c>
      <c r="D149" s="22" t="s">
        <v>476</v>
      </c>
      <c r="E149" s="5"/>
      <c r="F149" s="5"/>
      <c r="G149" s="5"/>
      <c r="H149" s="5"/>
      <c r="I149" s="5"/>
      <c r="J149" s="5"/>
      <c r="K149" s="14"/>
    </row>
    <row r="150" spans="2:11">
      <c r="B150" s="42">
        <v>330</v>
      </c>
      <c r="C150" s="21" t="s">
        <v>249</v>
      </c>
      <c r="D150" s="22" t="s">
        <v>476</v>
      </c>
      <c r="E150" s="5"/>
      <c r="F150" s="5"/>
      <c r="G150" s="5"/>
      <c r="H150" s="5"/>
      <c r="I150" s="5"/>
      <c r="J150" s="5"/>
      <c r="K150" s="14"/>
    </row>
    <row r="151" spans="2:11">
      <c r="B151" s="42">
        <v>219</v>
      </c>
      <c r="C151" s="21" t="s">
        <v>138</v>
      </c>
      <c r="D151" s="22" t="s">
        <v>501</v>
      </c>
      <c r="E151" s="5"/>
      <c r="F151" s="5"/>
      <c r="G151" s="5"/>
      <c r="H151" s="5"/>
      <c r="I151" s="5"/>
      <c r="J151" s="5"/>
      <c r="K151" s="14"/>
    </row>
    <row r="152" spans="2:11">
      <c r="B152" s="42">
        <v>220</v>
      </c>
      <c r="C152" s="21" t="s">
        <v>139</v>
      </c>
      <c r="D152" s="327" t="s">
        <v>512</v>
      </c>
      <c r="E152" s="323" t="s">
        <v>868</v>
      </c>
      <c r="F152" s="323"/>
      <c r="G152" s="320" t="s">
        <v>147</v>
      </c>
      <c r="H152" s="5"/>
      <c r="I152" s="5"/>
      <c r="J152" s="5"/>
      <c r="K152" s="14"/>
    </row>
    <row r="153" spans="2:11">
      <c r="B153" s="42">
        <v>229</v>
      </c>
      <c r="C153" s="21" t="s">
        <v>148</v>
      </c>
      <c r="D153" s="327" t="s">
        <v>502</v>
      </c>
      <c r="E153" s="323" t="s">
        <v>868</v>
      </c>
      <c r="F153" s="5"/>
      <c r="G153" s="321" t="s">
        <v>247</v>
      </c>
      <c r="H153" s="5"/>
      <c r="I153" s="5"/>
      <c r="J153" s="5"/>
      <c r="K153" s="14"/>
    </row>
    <row r="154" spans="2:11">
      <c r="B154" s="42">
        <v>230</v>
      </c>
      <c r="C154" s="21" t="s">
        <v>149</v>
      </c>
      <c r="D154" s="327" t="s">
        <v>513</v>
      </c>
      <c r="E154" s="323" t="s">
        <v>868</v>
      </c>
      <c r="F154" s="5"/>
      <c r="G154" s="320" t="s">
        <v>257</v>
      </c>
      <c r="H154" s="5"/>
      <c r="I154" s="5"/>
      <c r="J154" s="5"/>
      <c r="K154" s="14"/>
    </row>
    <row r="155" spans="2:11">
      <c r="B155" s="42">
        <v>269</v>
      </c>
      <c r="C155" s="21" t="s">
        <v>188</v>
      </c>
      <c r="D155" s="327" t="s">
        <v>517</v>
      </c>
      <c r="E155" s="323" t="s">
        <v>868</v>
      </c>
      <c r="F155" s="323"/>
      <c r="G155" s="319" t="s">
        <v>317</v>
      </c>
      <c r="H155" s="5"/>
      <c r="I155" s="5"/>
      <c r="J155" s="5"/>
      <c r="K155" s="14"/>
    </row>
    <row r="156" spans="2:11">
      <c r="B156" s="42">
        <v>270</v>
      </c>
      <c r="C156" s="21" t="s">
        <v>189</v>
      </c>
      <c r="D156" s="327" t="s">
        <v>505</v>
      </c>
      <c r="E156" s="323" t="s">
        <v>868</v>
      </c>
      <c r="F156" s="323"/>
      <c r="G156" s="320" t="s">
        <v>1033</v>
      </c>
      <c r="H156" s="5"/>
      <c r="I156" s="5"/>
      <c r="J156" s="5"/>
      <c r="K156" s="14"/>
    </row>
    <row r="157" spans="2:11">
      <c r="B157" s="260">
        <v>400</v>
      </c>
      <c r="C157" s="261" t="s">
        <v>319</v>
      </c>
      <c r="D157" s="262" t="s">
        <v>709</v>
      </c>
      <c r="E157" s="325" t="s">
        <v>869</v>
      </c>
      <c r="F157" s="325"/>
      <c r="G157" s="386" t="s">
        <v>283</v>
      </c>
      <c r="H157" s="338" t="s">
        <v>918</v>
      </c>
      <c r="I157" s="212"/>
      <c r="J157" s="212"/>
      <c r="K157" s="263"/>
    </row>
    <row r="158" spans="2:11">
      <c r="B158" s="260">
        <v>399</v>
      </c>
      <c r="C158" s="261" t="s">
        <v>318</v>
      </c>
      <c r="D158" s="262" t="s">
        <v>687</v>
      </c>
      <c r="E158" s="325" t="s">
        <v>869</v>
      </c>
      <c r="F158" s="325"/>
      <c r="G158" s="386" t="s">
        <v>293</v>
      </c>
      <c r="H158" s="303" t="s">
        <v>918</v>
      </c>
      <c r="I158" s="212"/>
      <c r="J158" s="212"/>
      <c r="K158" s="263"/>
    </row>
    <row r="159" spans="2:11">
      <c r="B159" s="260">
        <v>398</v>
      </c>
      <c r="C159" s="261" t="s">
        <v>317</v>
      </c>
      <c r="D159" s="262" t="s">
        <v>665</v>
      </c>
      <c r="E159" s="325" t="s">
        <v>869</v>
      </c>
      <c r="F159" s="325"/>
      <c r="G159" s="386" t="s">
        <v>302</v>
      </c>
      <c r="H159" s="303" t="s">
        <v>918</v>
      </c>
      <c r="I159" s="212"/>
      <c r="J159" s="212"/>
      <c r="K159" s="263"/>
    </row>
    <row r="160" spans="2:11">
      <c r="B160" s="260">
        <v>397</v>
      </c>
      <c r="C160" s="261" t="s">
        <v>316</v>
      </c>
      <c r="D160" s="262" t="s">
        <v>642</v>
      </c>
      <c r="E160" s="325" t="s">
        <v>869</v>
      </c>
      <c r="F160" s="325"/>
      <c r="G160" s="386" t="s">
        <v>312</v>
      </c>
      <c r="H160" s="303" t="s">
        <v>918</v>
      </c>
      <c r="I160" s="212"/>
      <c r="J160" s="212"/>
      <c r="K160" s="263"/>
    </row>
    <row r="161" spans="2:11">
      <c r="B161" s="260">
        <v>366</v>
      </c>
      <c r="C161" s="261" t="s">
        <v>285</v>
      </c>
      <c r="D161" s="262" t="s">
        <v>618</v>
      </c>
      <c r="E161" s="325" t="s">
        <v>869</v>
      </c>
      <c r="F161" s="325"/>
      <c r="G161" s="386" t="s">
        <v>262</v>
      </c>
      <c r="H161" s="303" t="s">
        <v>918</v>
      </c>
      <c r="I161" s="212"/>
      <c r="J161" s="212"/>
      <c r="K161" s="263"/>
    </row>
    <row r="162" spans="2:11">
      <c r="B162" s="260">
        <v>376</v>
      </c>
      <c r="C162" s="261" t="s">
        <v>295</v>
      </c>
      <c r="D162" s="262" t="s">
        <v>619</v>
      </c>
      <c r="E162" s="325" t="s">
        <v>869</v>
      </c>
      <c r="F162" s="325"/>
      <c r="G162" s="386" t="s">
        <v>272</v>
      </c>
      <c r="H162" s="303" t="s">
        <v>918</v>
      </c>
      <c r="I162" s="212"/>
      <c r="J162" s="212"/>
      <c r="K162" s="263"/>
    </row>
    <row r="163" spans="2:11">
      <c r="B163" s="260">
        <v>390</v>
      </c>
      <c r="C163" s="261" t="s">
        <v>309</v>
      </c>
      <c r="D163" s="262" t="s">
        <v>708</v>
      </c>
      <c r="E163" s="325" t="s">
        <v>869</v>
      </c>
      <c r="F163" s="325"/>
      <c r="G163" s="386" t="s">
        <v>1010</v>
      </c>
      <c r="H163" s="303" t="s">
        <v>918</v>
      </c>
      <c r="I163" s="212"/>
      <c r="J163" s="212"/>
      <c r="K163" s="263"/>
    </row>
    <row r="164" spans="2:11">
      <c r="B164" s="260">
        <v>389</v>
      </c>
      <c r="C164" s="261" t="s">
        <v>308</v>
      </c>
      <c r="D164" s="262" t="s">
        <v>686</v>
      </c>
      <c r="E164" s="325" t="s">
        <v>869</v>
      </c>
      <c r="F164" s="325"/>
      <c r="G164" s="386" t="s">
        <v>1011</v>
      </c>
      <c r="H164" s="303" t="s">
        <v>918</v>
      </c>
      <c r="I164" s="212"/>
      <c r="J164" s="212"/>
      <c r="K164" s="263"/>
    </row>
    <row r="165" spans="2:11">
      <c r="B165" s="260">
        <v>370</v>
      </c>
      <c r="C165" s="261" t="s">
        <v>289</v>
      </c>
      <c r="D165" s="262" t="s">
        <v>706</v>
      </c>
      <c r="E165" s="325" t="s">
        <v>869</v>
      </c>
      <c r="F165" s="325"/>
      <c r="G165" s="386" t="s">
        <v>1014</v>
      </c>
      <c r="H165" s="303" t="s">
        <v>918</v>
      </c>
      <c r="I165" s="212"/>
      <c r="J165" s="212"/>
      <c r="K165" s="263"/>
    </row>
    <row r="166" spans="2:11">
      <c r="B166" s="260">
        <v>369</v>
      </c>
      <c r="C166" s="261" t="s">
        <v>288</v>
      </c>
      <c r="D166" s="262" t="s">
        <v>684</v>
      </c>
      <c r="E166" s="325" t="s">
        <v>869</v>
      </c>
      <c r="F166" s="325"/>
      <c r="G166" s="386" t="s">
        <v>1015</v>
      </c>
      <c r="H166" s="303" t="s">
        <v>918</v>
      </c>
      <c r="I166" s="212"/>
      <c r="J166" s="212"/>
      <c r="K166" s="263"/>
    </row>
    <row r="167" spans="2:11">
      <c r="B167" s="260">
        <v>377</v>
      </c>
      <c r="C167" s="261" t="s">
        <v>296</v>
      </c>
      <c r="D167" s="262" t="s">
        <v>641</v>
      </c>
      <c r="E167" s="325" t="s">
        <v>869</v>
      </c>
      <c r="F167" s="325"/>
      <c r="G167" s="386" t="s">
        <v>285</v>
      </c>
      <c r="H167" s="303" t="s">
        <v>918</v>
      </c>
      <c r="I167" s="212"/>
      <c r="J167" s="212"/>
      <c r="K167" s="263"/>
    </row>
    <row r="168" spans="2:11">
      <c r="B168" s="260">
        <v>378</v>
      </c>
      <c r="C168" s="261" t="s">
        <v>297</v>
      </c>
      <c r="D168" s="262" t="s">
        <v>664</v>
      </c>
      <c r="E168" s="325" t="s">
        <v>869</v>
      </c>
      <c r="F168" s="325"/>
      <c r="G168" s="386" t="s">
        <v>295</v>
      </c>
      <c r="H168" s="303" t="s">
        <v>918</v>
      </c>
      <c r="I168" s="212"/>
      <c r="J168" s="212"/>
      <c r="K168" s="263"/>
    </row>
    <row r="169" spans="2:11">
      <c r="B169" s="260">
        <v>367</v>
      </c>
      <c r="C169" s="261" t="s">
        <v>286</v>
      </c>
      <c r="D169" s="262" t="s">
        <v>640</v>
      </c>
      <c r="E169" s="325" t="s">
        <v>869</v>
      </c>
      <c r="F169" s="325"/>
      <c r="G169" s="386" t="s">
        <v>304</v>
      </c>
      <c r="H169" s="303" t="s">
        <v>918</v>
      </c>
      <c r="I169" s="212"/>
      <c r="J169" s="212"/>
      <c r="K169" s="263"/>
    </row>
    <row r="170" spans="2:11">
      <c r="B170" s="260">
        <v>368</v>
      </c>
      <c r="C170" s="261" t="s">
        <v>287</v>
      </c>
      <c r="D170" s="262" t="s">
        <v>663</v>
      </c>
      <c r="E170" s="325" t="s">
        <v>869</v>
      </c>
      <c r="F170" s="325"/>
      <c r="G170" s="386" t="s">
        <v>314</v>
      </c>
      <c r="H170" s="303" t="s">
        <v>918</v>
      </c>
      <c r="I170" s="212"/>
      <c r="J170" s="212"/>
      <c r="K170" s="263"/>
    </row>
    <row r="171" spans="2:11">
      <c r="B171" s="260">
        <v>380</v>
      </c>
      <c r="C171" s="261" t="s">
        <v>299</v>
      </c>
      <c r="D171" s="262" t="s">
        <v>707</v>
      </c>
      <c r="E171" s="325" t="s">
        <v>869</v>
      </c>
      <c r="F171" s="325"/>
      <c r="G171" s="386" t="s">
        <v>264</v>
      </c>
      <c r="H171" s="303" t="s">
        <v>918</v>
      </c>
      <c r="I171" s="212"/>
      <c r="J171" s="212"/>
      <c r="K171" s="263"/>
    </row>
    <row r="172" spans="2:11">
      <c r="B172" s="260">
        <v>379</v>
      </c>
      <c r="C172" s="261" t="s">
        <v>298</v>
      </c>
      <c r="D172" s="262" t="s">
        <v>685</v>
      </c>
      <c r="E172" s="325" t="s">
        <v>869</v>
      </c>
      <c r="F172" s="325"/>
      <c r="G172" s="386" t="s">
        <v>274</v>
      </c>
      <c r="H172" s="303" t="s">
        <v>918</v>
      </c>
      <c r="I172" s="212"/>
      <c r="J172" s="212"/>
      <c r="K172" s="263"/>
    </row>
    <row r="173" spans="2:11">
      <c r="B173" s="260">
        <v>394</v>
      </c>
      <c r="C173" s="261" t="s">
        <v>313</v>
      </c>
      <c r="D173" s="262" t="s">
        <v>599</v>
      </c>
      <c r="E173" s="325" t="s">
        <v>869</v>
      </c>
      <c r="F173" s="212"/>
      <c r="G173" s="386" t="s">
        <v>203</v>
      </c>
      <c r="H173" s="340" t="s">
        <v>921</v>
      </c>
      <c r="I173" s="212"/>
      <c r="J173" s="212"/>
      <c r="K173" s="263"/>
    </row>
    <row r="174" spans="2:11">
      <c r="B174" s="260">
        <v>384</v>
      </c>
      <c r="C174" s="261" t="s">
        <v>303</v>
      </c>
      <c r="D174" s="262" t="s">
        <v>598</v>
      </c>
      <c r="E174" s="325" t="s">
        <v>869</v>
      </c>
      <c r="F174" s="212"/>
      <c r="G174" s="386" t="s">
        <v>213</v>
      </c>
      <c r="H174" s="312" t="s">
        <v>921</v>
      </c>
      <c r="I174" s="212"/>
      <c r="J174" s="212"/>
      <c r="K174" s="263"/>
    </row>
    <row r="175" spans="2:11">
      <c r="B175" s="260">
        <v>374</v>
      </c>
      <c r="C175" s="261" t="s">
        <v>293</v>
      </c>
      <c r="D175" s="262" t="s">
        <v>597</v>
      </c>
      <c r="E175" s="325" t="s">
        <v>869</v>
      </c>
      <c r="F175" s="212"/>
      <c r="G175" s="386" t="s">
        <v>222</v>
      </c>
      <c r="H175" s="312" t="s">
        <v>921</v>
      </c>
      <c r="I175" s="212"/>
      <c r="J175" s="212"/>
      <c r="K175" s="263"/>
    </row>
    <row r="176" spans="2:11">
      <c r="B176" s="260">
        <v>364</v>
      </c>
      <c r="C176" s="261" t="s">
        <v>283</v>
      </c>
      <c r="D176" s="262" t="s">
        <v>596</v>
      </c>
      <c r="E176" s="325" t="s">
        <v>869</v>
      </c>
      <c r="F176" s="212"/>
      <c r="G176" s="386" t="s">
        <v>232</v>
      </c>
      <c r="H176" s="312" t="s">
        <v>921</v>
      </c>
      <c r="I176" s="212"/>
      <c r="J176" s="212"/>
      <c r="K176" s="263"/>
    </row>
    <row r="177" spans="2:11">
      <c r="B177" s="260">
        <v>375</v>
      </c>
      <c r="C177" s="261" t="s">
        <v>294</v>
      </c>
      <c r="D177" s="262" t="s">
        <v>609</v>
      </c>
      <c r="E177" s="325" t="s">
        <v>869</v>
      </c>
      <c r="F177" s="212"/>
      <c r="G177" s="386" t="s">
        <v>182</v>
      </c>
      <c r="H177" s="312" t="s">
        <v>921</v>
      </c>
      <c r="I177" s="212"/>
      <c r="J177" s="212"/>
      <c r="K177" s="263"/>
    </row>
    <row r="178" spans="2:11">
      <c r="B178" s="260">
        <v>365</v>
      </c>
      <c r="C178" s="261" t="s">
        <v>284</v>
      </c>
      <c r="D178" s="262" t="s">
        <v>608</v>
      </c>
      <c r="E178" s="325" t="s">
        <v>869</v>
      </c>
      <c r="F178" s="212"/>
      <c r="G178" s="386" t="s">
        <v>192</v>
      </c>
      <c r="H178" s="312" t="s">
        <v>921</v>
      </c>
      <c r="I178" s="212"/>
      <c r="J178" s="212"/>
      <c r="K178" s="263"/>
    </row>
    <row r="179" spans="2:11">
      <c r="B179" s="260">
        <v>373</v>
      </c>
      <c r="C179" s="261" t="s">
        <v>292</v>
      </c>
      <c r="D179" s="262" t="s">
        <v>576</v>
      </c>
      <c r="E179" s="325" t="s">
        <v>869</v>
      </c>
      <c r="F179" s="212"/>
      <c r="G179" s="386" t="s">
        <v>241</v>
      </c>
      <c r="H179" s="312" t="s">
        <v>921</v>
      </c>
      <c r="I179" s="212"/>
      <c r="J179" s="212"/>
      <c r="K179" s="263"/>
    </row>
    <row r="180" spans="2:11">
      <c r="B180" s="260">
        <v>363</v>
      </c>
      <c r="C180" s="261" t="s">
        <v>282</v>
      </c>
      <c r="D180" s="262" t="s">
        <v>575</v>
      </c>
      <c r="E180" s="325" t="s">
        <v>869</v>
      </c>
      <c r="F180" s="212"/>
      <c r="G180" s="386" t="s">
        <v>251</v>
      </c>
      <c r="H180" s="312" t="s">
        <v>921</v>
      </c>
      <c r="I180" s="212"/>
      <c r="J180" s="212"/>
      <c r="K180" s="263"/>
    </row>
    <row r="181" spans="2:11">
      <c r="B181" s="260">
        <v>391</v>
      </c>
      <c r="C181" s="261" t="s">
        <v>310</v>
      </c>
      <c r="D181" s="262" t="s">
        <v>533</v>
      </c>
      <c r="E181" s="325" t="s">
        <v>869</v>
      </c>
      <c r="F181" s="212"/>
      <c r="G181" s="386" t="s">
        <v>245</v>
      </c>
      <c r="H181" s="312" t="s">
        <v>921</v>
      </c>
      <c r="I181" s="212"/>
      <c r="J181" s="212"/>
      <c r="K181" s="263"/>
    </row>
    <row r="182" spans="2:11">
      <c r="B182" s="260">
        <v>381</v>
      </c>
      <c r="C182" s="261" t="s">
        <v>300</v>
      </c>
      <c r="D182" s="262" t="s">
        <v>532</v>
      </c>
      <c r="E182" s="325" t="s">
        <v>869</v>
      </c>
      <c r="F182" s="212"/>
      <c r="G182" s="386" t="s">
        <v>255</v>
      </c>
      <c r="H182" s="312" t="s">
        <v>921</v>
      </c>
      <c r="I182" s="212"/>
      <c r="J182" s="212"/>
      <c r="K182" s="263"/>
    </row>
    <row r="183" spans="2:11">
      <c r="B183" s="260">
        <v>371</v>
      </c>
      <c r="C183" s="261" t="s">
        <v>290</v>
      </c>
      <c r="D183" s="262" t="s">
        <v>531</v>
      </c>
      <c r="E183" s="325" t="s">
        <v>869</v>
      </c>
      <c r="F183" s="212"/>
      <c r="G183" s="386" t="s">
        <v>205</v>
      </c>
      <c r="H183" s="312" t="s">
        <v>921</v>
      </c>
      <c r="I183" s="212"/>
      <c r="J183" s="212"/>
      <c r="K183" s="263"/>
    </row>
    <row r="184" spans="2:11">
      <c r="B184" s="260">
        <v>361</v>
      </c>
      <c r="C184" s="261" t="s">
        <v>280</v>
      </c>
      <c r="D184" s="262" t="s">
        <v>530</v>
      </c>
      <c r="E184" s="325" t="s">
        <v>869</v>
      </c>
      <c r="F184" s="212"/>
      <c r="G184" s="386" t="s">
        <v>215</v>
      </c>
      <c r="H184" s="312" t="s">
        <v>921</v>
      </c>
      <c r="I184" s="212"/>
      <c r="J184" s="212"/>
      <c r="K184" s="263"/>
    </row>
    <row r="185" spans="2:11">
      <c r="B185" s="260">
        <v>372</v>
      </c>
      <c r="C185" s="261" t="s">
        <v>291</v>
      </c>
      <c r="D185" s="262" t="s">
        <v>551</v>
      </c>
      <c r="E185" s="325" t="s">
        <v>869</v>
      </c>
      <c r="F185" s="212"/>
      <c r="G185" s="386" t="s">
        <v>224</v>
      </c>
      <c r="H185" s="312" t="s">
        <v>921</v>
      </c>
      <c r="I185" s="212"/>
      <c r="J185" s="212"/>
      <c r="K185" s="263"/>
    </row>
    <row r="186" spans="2:11">
      <c r="B186" s="260">
        <v>362</v>
      </c>
      <c r="C186" s="261" t="s">
        <v>281</v>
      </c>
      <c r="D186" s="262" t="s">
        <v>550</v>
      </c>
      <c r="E186" s="325" t="s">
        <v>869</v>
      </c>
      <c r="F186" s="212"/>
      <c r="G186" s="386" t="s">
        <v>234</v>
      </c>
      <c r="H186" s="312" t="s">
        <v>921</v>
      </c>
      <c r="I186" s="212"/>
      <c r="J186" s="212"/>
      <c r="K186" s="263"/>
    </row>
    <row r="187" spans="2:11">
      <c r="B187" s="260">
        <v>354</v>
      </c>
      <c r="C187" s="261" t="s">
        <v>273</v>
      </c>
      <c r="D187" s="262" t="s">
        <v>595</v>
      </c>
      <c r="E187" s="325" t="s">
        <v>869</v>
      </c>
      <c r="F187" s="212"/>
      <c r="G187" s="386" t="s">
        <v>184</v>
      </c>
      <c r="H187" s="312" t="s">
        <v>921</v>
      </c>
      <c r="I187" s="212"/>
      <c r="J187" s="212"/>
      <c r="K187" s="263"/>
    </row>
    <row r="188" spans="2:11">
      <c r="B188" s="260">
        <v>353</v>
      </c>
      <c r="C188" s="261" t="s">
        <v>272</v>
      </c>
      <c r="D188" s="262" t="s">
        <v>574</v>
      </c>
      <c r="E188" s="325" t="s">
        <v>869</v>
      </c>
      <c r="F188" s="212"/>
      <c r="G188" s="386" t="s">
        <v>194</v>
      </c>
      <c r="H188" s="312" t="s">
        <v>921</v>
      </c>
      <c r="I188" s="212"/>
      <c r="J188" s="212"/>
      <c r="K188" s="263"/>
    </row>
    <row r="189" spans="2:11">
      <c r="B189" s="42">
        <v>93</v>
      </c>
      <c r="C189" s="258" t="s">
        <v>5</v>
      </c>
      <c r="D189" s="257" t="s">
        <v>558</v>
      </c>
      <c r="E189" s="324" t="s">
        <v>868</v>
      </c>
      <c r="F189" s="324"/>
      <c r="G189" s="387" t="s">
        <v>283</v>
      </c>
      <c r="H189" s="338" t="s">
        <v>907</v>
      </c>
      <c r="I189" s="13"/>
      <c r="J189" s="13"/>
      <c r="K189" s="20"/>
    </row>
    <row r="190" spans="2:11">
      <c r="B190" s="42">
        <v>94</v>
      </c>
      <c r="C190" s="258" t="s">
        <v>6</v>
      </c>
      <c r="D190" s="257" t="s">
        <v>583</v>
      </c>
      <c r="E190" s="324" t="s">
        <v>868</v>
      </c>
      <c r="F190" s="324"/>
      <c r="G190" s="387" t="s">
        <v>293</v>
      </c>
      <c r="H190" s="303" t="s">
        <v>907</v>
      </c>
      <c r="I190" s="13"/>
      <c r="J190" s="13"/>
      <c r="K190" s="20"/>
    </row>
    <row r="191" spans="2:11">
      <c r="B191" s="42">
        <v>103</v>
      </c>
      <c r="C191" s="258" t="s">
        <v>22</v>
      </c>
      <c r="D191" s="257" t="s">
        <v>559</v>
      </c>
      <c r="E191" s="324" t="s">
        <v>868</v>
      </c>
      <c r="F191" s="324"/>
      <c r="G191" s="387" t="s">
        <v>302</v>
      </c>
      <c r="H191" s="303" t="s">
        <v>907</v>
      </c>
      <c r="I191" s="13"/>
      <c r="J191" s="13"/>
      <c r="K191" s="20"/>
    </row>
    <row r="192" spans="2:11">
      <c r="B192" s="42">
        <v>104</v>
      </c>
      <c r="C192" s="258" t="s">
        <v>23</v>
      </c>
      <c r="D192" s="257" t="s">
        <v>584</v>
      </c>
      <c r="E192" s="324" t="s">
        <v>868</v>
      </c>
      <c r="F192" s="324"/>
      <c r="G192" s="387" t="s">
        <v>312</v>
      </c>
      <c r="H192" s="303" t="s">
        <v>907</v>
      </c>
      <c r="I192" s="13"/>
      <c r="J192" s="13"/>
      <c r="K192" s="20"/>
    </row>
    <row r="193" spans="2:11">
      <c r="B193" s="42">
        <v>101</v>
      </c>
      <c r="C193" s="258" t="s">
        <v>20</v>
      </c>
      <c r="D193" s="257" t="s">
        <v>522</v>
      </c>
      <c r="E193" s="324" t="s">
        <v>868</v>
      </c>
      <c r="F193" s="324"/>
      <c r="G193" s="387" t="s">
        <v>262</v>
      </c>
      <c r="H193" s="303" t="s">
        <v>907</v>
      </c>
      <c r="I193" s="13"/>
      <c r="J193" s="13"/>
      <c r="K193" s="20"/>
    </row>
    <row r="194" spans="2:11">
      <c r="B194" s="42">
        <v>102</v>
      </c>
      <c r="C194" s="258" t="s">
        <v>21</v>
      </c>
      <c r="D194" s="257" t="s">
        <v>538</v>
      </c>
      <c r="E194" s="324" t="s">
        <v>868</v>
      </c>
      <c r="F194" s="324"/>
      <c r="G194" s="387" t="s">
        <v>272</v>
      </c>
      <c r="H194" s="303" t="s">
        <v>907</v>
      </c>
      <c r="I194" s="13"/>
      <c r="J194" s="13"/>
      <c r="K194" s="20"/>
    </row>
    <row r="195" spans="2:11">
      <c r="B195" s="260">
        <v>95</v>
      </c>
      <c r="C195" s="261" t="s">
        <v>7</v>
      </c>
      <c r="D195" s="262" t="s">
        <v>602</v>
      </c>
      <c r="E195" s="325" t="s">
        <v>868</v>
      </c>
      <c r="F195" s="325"/>
      <c r="G195" s="325" t="s">
        <v>1010</v>
      </c>
      <c r="H195" s="303" t="s">
        <v>907</v>
      </c>
      <c r="I195" s="212"/>
      <c r="J195" s="212"/>
      <c r="K195" s="263"/>
    </row>
    <row r="196" spans="2:11">
      <c r="B196" s="260">
        <v>96</v>
      </c>
      <c r="C196" s="261" t="s">
        <v>8</v>
      </c>
      <c r="D196" s="262" t="s">
        <v>616</v>
      </c>
      <c r="E196" s="325" t="s">
        <v>868</v>
      </c>
      <c r="F196" s="325"/>
      <c r="G196" s="325" t="s">
        <v>1011</v>
      </c>
      <c r="H196" s="303" t="s">
        <v>907</v>
      </c>
      <c r="I196" s="212"/>
      <c r="J196" s="212"/>
      <c r="K196" s="263"/>
    </row>
    <row r="197" spans="2:11">
      <c r="B197" s="42">
        <v>86</v>
      </c>
      <c r="C197" s="258" t="s">
        <v>422</v>
      </c>
      <c r="D197" s="257" t="s">
        <v>615</v>
      </c>
      <c r="E197" s="324" t="s">
        <v>868</v>
      </c>
      <c r="F197" s="324"/>
      <c r="G197" s="387" t="s">
        <v>1014</v>
      </c>
      <c r="H197" s="303" t="s">
        <v>907</v>
      </c>
      <c r="I197" s="13"/>
      <c r="J197" s="13"/>
      <c r="K197" s="20"/>
    </row>
    <row r="198" spans="2:11">
      <c r="B198" s="42">
        <v>85</v>
      </c>
      <c r="C198" s="258" t="s">
        <v>421</v>
      </c>
      <c r="D198" s="257" t="s">
        <v>601</v>
      </c>
      <c r="E198" s="324" t="s">
        <v>868</v>
      </c>
      <c r="F198" s="324"/>
      <c r="G198" s="387" t="s">
        <v>1015</v>
      </c>
      <c r="H198" s="303" t="s">
        <v>907</v>
      </c>
      <c r="I198" s="13"/>
      <c r="J198" s="13"/>
      <c r="K198" s="20"/>
    </row>
    <row r="199" spans="2:11">
      <c r="B199" s="42">
        <v>76</v>
      </c>
      <c r="C199" s="258" t="s">
        <v>412</v>
      </c>
      <c r="D199" s="271" t="s">
        <v>614</v>
      </c>
      <c r="E199" s="324" t="s">
        <v>868</v>
      </c>
      <c r="F199" s="324"/>
      <c r="G199" s="387" t="s">
        <v>285</v>
      </c>
      <c r="H199" s="303" t="s">
        <v>907</v>
      </c>
      <c r="I199" s="13"/>
      <c r="J199" s="13"/>
      <c r="K199" s="20"/>
    </row>
    <row r="200" spans="2:11">
      <c r="B200" s="42">
        <v>75</v>
      </c>
      <c r="C200" s="258" t="s">
        <v>411</v>
      </c>
      <c r="D200" s="271" t="s">
        <v>600</v>
      </c>
      <c r="E200" s="324" t="s">
        <v>868</v>
      </c>
      <c r="F200" s="324"/>
      <c r="G200" s="387" t="s">
        <v>295</v>
      </c>
      <c r="H200" s="303" t="s">
        <v>907</v>
      </c>
      <c r="I200" s="13"/>
      <c r="J200" s="13"/>
      <c r="K200" s="20"/>
    </row>
    <row r="201" spans="2:11">
      <c r="B201" s="42">
        <v>74</v>
      </c>
      <c r="C201" s="258" t="s">
        <v>410</v>
      </c>
      <c r="D201" s="271" t="s">
        <v>581</v>
      </c>
      <c r="E201" s="324" t="s">
        <v>868</v>
      </c>
      <c r="F201" s="324"/>
      <c r="G201" s="387" t="s">
        <v>304</v>
      </c>
      <c r="H201" s="303" t="s">
        <v>907</v>
      </c>
      <c r="I201" s="13"/>
      <c r="J201" s="13"/>
      <c r="K201" s="20"/>
    </row>
    <row r="202" spans="2:11">
      <c r="B202" s="42">
        <v>73</v>
      </c>
      <c r="C202" s="258" t="s">
        <v>409</v>
      </c>
      <c r="D202" s="271" t="s">
        <v>556</v>
      </c>
      <c r="E202" s="324" t="s">
        <v>868</v>
      </c>
      <c r="F202" s="324"/>
      <c r="G202" s="387" t="s">
        <v>314</v>
      </c>
      <c r="H202" s="303" t="s">
        <v>907</v>
      </c>
      <c r="I202" s="13"/>
      <c r="J202" s="13"/>
      <c r="K202" s="20"/>
    </row>
    <row r="203" spans="2:11">
      <c r="B203" s="260">
        <v>83</v>
      </c>
      <c r="C203" s="261" t="s">
        <v>419</v>
      </c>
      <c r="D203" s="262" t="s">
        <v>557</v>
      </c>
      <c r="E203" s="325" t="s">
        <v>868</v>
      </c>
      <c r="F203" s="325"/>
      <c r="G203" s="331" t="s">
        <v>264</v>
      </c>
      <c r="H203" s="303" t="s">
        <v>907</v>
      </c>
      <c r="I203" s="212"/>
      <c r="J203" s="212"/>
      <c r="K203" s="263"/>
    </row>
    <row r="204" spans="2:11">
      <c r="B204" s="260">
        <v>84</v>
      </c>
      <c r="C204" s="261" t="s">
        <v>420</v>
      </c>
      <c r="D204" s="262" t="s">
        <v>582</v>
      </c>
      <c r="E204" s="325" t="s">
        <v>868</v>
      </c>
      <c r="F204" s="325"/>
      <c r="G204" s="331" t="s">
        <v>274</v>
      </c>
      <c r="H204" s="303" t="s">
        <v>907</v>
      </c>
      <c r="I204" s="212"/>
      <c r="J204" s="212"/>
      <c r="K204" s="263"/>
    </row>
    <row r="205" spans="2:11">
      <c r="B205" s="42">
        <v>24</v>
      </c>
      <c r="C205" s="258" t="s">
        <v>360</v>
      </c>
      <c r="D205" s="257" t="s">
        <v>579</v>
      </c>
      <c r="E205" s="324" t="s">
        <v>868</v>
      </c>
      <c r="F205" s="324"/>
      <c r="G205" s="387" t="s">
        <v>203</v>
      </c>
      <c r="H205" s="340" t="s">
        <v>908</v>
      </c>
      <c r="I205" s="13"/>
      <c r="J205" s="13"/>
      <c r="K205" s="20"/>
    </row>
    <row r="206" spans="2:11">
      <c r="B206" s="42">
        <v>34</v>
      </c>
      <c r="C206" s="258" t="s">
        <v>370</v>
      </c>
      <c r="D206" s="257" t="s">
        <v>580</v>
      </c>
      <c r="E206" s="324" t="s">
        <v>868</v>
      </c>
      <c r="F206" s="324"/>
      <c r="G206" s="387" t="s">
        <v>213</v>
      </c>
      <c r="H206" s="312" t="s">
        <v>908</v>
      </c>
      <c r="I206" s="13"/>
      <c r="J206" s="13"/>
      <c r="K206" s="20"/>
    </row>
    <row r="207" spans="2:11">
      <c r="B207" s="42">
        <v>14</v>
      </c>
      <c r="C207" s="258" t="s">
        <v>350</v>
      </c>
      <c r="D207" s="257" t="s">
        <v>578</v>
      </c>
      <c r="E207" s="324" t="s">
        <v>868</v>
      </c>
      <c r="F207" s="324"/>
      <c r="G207" s="387" t="s">
        <v>222</v>
      </c>
      <c r="H207" s="312" t="s">
        <v>908</v>
      </c>
      <c r="I207" s="13"/>
      <c r="J207" s="13"/>
      <c r="K207" s="20"/>
    </row>
    <row r="208" spans="2:11">
      <c r="B208" s="42">
        <v>4</v>
      </c>
      <c r="C208" s="258" t="s">
        <v>340</v>
      </c>
      <c r="D208" s="257" t="s">
        <v>577</v>
      </c>
      <c r="E208" s="324" t="s">
        <v>868</v>
      </c>
      <c r="F208" s="324"/>
      <c r="G208" s="387" t="s">
        <v>232</v>
      </c>
      <c r="H208" s="312" t="s">
        <v>908</v>
      </c>
      <c r="I208" s="13"/>
      <c r="J208" s="13"/>
      <c r="K208" s="20"/>
    </row>
    <row r="209" spans="2:11">
      <c r="B209" s="42">
        <v>13</v>
      </c>
      <c r="C209" s="258" t="s">
        <v>349</v>
      </c>
      <c r="D209" s="257" t="s">
        <v>553</v>
      </c>
      <c r="E209" s="324" t="s">
        <v>868</v>
      </c>
      <c r="F209" s="324"/>
      <c r="G209" s="387" t="s">
        <v>182</v>
      </c>
      <c r="H209" s="312" t="s">
        <v>908</v>
      </c>
      <c r="I209" s="13"/>
      <c r="J209" s="13"/>
      <c r="K209" s="20"/>
    </row>
    <row r="210" spans="2:11">
      <c r="B210" s="42">
        <v>3</v>
      </c>
      <c r="C210" s="258" t="s">
        <v>339</v>
      </c>
      <c r="D210" s="257" t="s">
        <v>552</v>
      </c>
      <c r="E210" s="324" t="s">
        <v>868</v>
      </c>
      <c r="F210" s="324"/>
      <c r="G210" s="387" t="s">
        <v>192</v>
      </c>
      <c r="H210" s="312" t="s">
        <v>908</v>
      </c>
      <c r="I210" s="13"/>
      <c r="J210" s="13"/>
      <c r="K210" s="20"/>
    </row>
    <row r="211" spans="2:11">
      <c r="B211" s="260">
        <v>33</v>
      </c>
      <c r="C211" s="261" t="s">
        <v>369</v>
      </c>
      <c r="D211" s="262" t="s">
        <v>555</v>
      </c>
      <c r="E211" s="325" t="s">
        <v>868</v>
      </c>
      <c r="F211" s="325"/>
      <c r="G211" s="325" t="s">
        <v>241</v>
      </c>
      <c r="H211" s="312" t="s">
        <v>908</v>
      </c>
      <c r="I211" s="212"/>
      <c r="J211" s="212"/>
      <c r="K211" s="263"/>
    </row>
    <row r="212" spans="2:11">
      <c r="B212" s="260">
        <v>23</v>
      </c>
      <c r="C212" s="261" t="s">
        <v>359</v>
      </c>
      <c r="D212" s="262" t="s">
        <v>554</v>
      </c>
      <c r="E212" s="325" t="s">
        <v>868</v>
      </c>
      <c r="F212" s="325"/>
      <c r="G212" s="325" t="s">
        <v>251</v>
      </c>
      <c r="H212" s="312" t="s">
        <v>908</v>
      </c>
      <c r="I212" s="212"/>
      <c r="J212" s="212"/>
      <c r="K212" s="263"/>
    </row>
    <row r="213" spans="2:11">
      <c r="B213" s="42">
        <v>31</v>
      </c>
      <c r="C213" s="258" t="s">
        <v>367</v>
      </c>
      <c r="D213" s="257" t="s">
        <v>521</v>
      </c>
      <c r="E213" s="324" t="s">
        <v>868</v>
      </c>
      <c r="F213" s="324"/>
      <c r="G213" s="387" t="s">
        <v>245</v>
      </c>
      <c r="H213" s="312" t="s">
        <v>908</v>
      </c>
      <c r="I213" s="13"/>
      <c r="J213" s="13"/>
      <c r="K213" s="20"/>
    </row>
    <row r="214" spans="2:11">
      <c r="B214" s="42">
        <v>32</v>
      </c>
      <c r="C214" s="258" t="s">
        <v>368</v>
      </c>
      <c r="D214" s="257" t="s">
        <v>537</v>
      </c>
      <c r="E214" s="324" t="s">
        <v>868</v>
      </c>
      <c r="F214" s="324"/>
      <c r="G214" s="387" t="s">
        <v>255</v>
      </c>
      <c r="H214" s="312" t="s">
        <v>908</v>
      </c>
      <c r="I214" s="13"/>
      <c r="J214" s="13"/>
      <c r="K214" s="20"/>
    </row>
    <row r="215" spans="2:11">
      <c r="B215" s="42">
        <v>21</v>
      </c>
      <c r="C215" s="258" t="s">
        <v>357</v>
      </c>
      <c r="D215" s="257" t="s">
        <v>520</v>
      </c>
      <c r="E215" s="324" t="s">
        <v>868</v>
      </c>
      <c r="F215" s="324"/>
      <c r="G215" s="387" t="s">
        <v>205</v>
      </c>
      <c r="H215" s="312" t="s">
        <v>908</v>
      </c>
      <c r="I215" s="13"/>
      <c r="J215" s="13"/>
      <c r="K215" s="20"/>
    </row>
    <row r="216" spans="2:11">
      <c r="B216" s="42">
        <v>22</v>
      </c>
      <c r="C216" s="258" t="s">
        <v>358</v>
      </c>
      <c r="D216" s="257" t="s">
        <v>536</v>
      </c>
      <c r="E216" s="324" t="s">
        <v>868</v>
      </c>
      <c r="F216" s="324"/>
      <c r="G216" s="387" t="s">
        <v>215</v>
      </c>
      <c r="H216" s="312" t="s">
        <v>908</v>
      </c>
      <c r="I216" s="13"/>
      <c r="J216" s="13"/>
      <c r="K216" s="20"/>
    </row>
    <row r="217" spans="2:11">
      <c r="B217" s="42">
        <v>11</v>
      </c>
      <c r="C217" s="258" t="s">
        <v>347</v>
      </c>
      <c r="D217" s="257" t="s">
        <v>519</v>
      </c>
      <c r="E217" s="324" t="s">
        <v>868</v>
      </c>
      <c r="F217" s="324"/>
      <c r="G217" s="387" t="s">
        <v>224</v>
      </c>
      <c r="H217" s="312" t="s">
        <v>908</v>
      </c>
      <c r="I217" s="13"/>
      <c r="J217" s="13"/>
      <c r="K217" s="20"/>
    </row>
    <row r="218" spans="2:11">
      <c r="B218" s="42">
        <v>12</v>
      </c>
      <c r="C218" s="258" t="s">
        <v>348</v>
      </c>
      <c r="D218" s="257" t="s">
        <v>535</v>
      </c>
      <c r="E218" s="324" t="s">
        <v>868</v>
      </c>
      <c r="F218" s="324"/>
      <c r="G218" s="387" t="s">
        <v>234</v>
      </c>
      <c r="H218" s="312" t="s">
        <v>908</v>
      </c>
      <c r="I218" s="13"/>
      <c r="J218" s="13"/>
      <c r="K218" s="20"/>
    </row>
    <row r="219" spans="2:11">
      <c r="B219" s="260">
        <v>1</v>
      </c>
      <c r="C219" s="261" t="s">
        <v>337</v>
      </c>
      <c r="D219" s="262" t="s">
        <v>518</v>
      </c>
      <c r="E219" s="325" t="s">
        <v>868</v>
      </c>
      <c r="F219" s="325"/>
      <c r="G219" s="387" t="s">
        <v>184</v>
      </c>
      <c r="H219" s="312" t="s">
        <v>908</v>
      </c>
      <c r="I219" s="212"/>
      <c r="J219" s="212"/>
      <c r="K219" s="263"/>
    </row>
    <row r="220" spans="2:11">
      <c r="B220" s="260">
        <v>2</v>
      </c>
      <c r="C220" s="261" t="s">
        <v>338</v>
      </c>
      <c r="D220" s="262" t="s">
        <v>534</v>
      </c>
      <c r="E220" s="325" t="s">
        <v>868</v>
      </c>
      <c r="F220" s="325"/>
      <c r="G220" s="387" t="s">
        <v>194</v>
      </c>
      <c r="H220" s="312" t="s">
        <v>908</v>
      </c>
      <c r="I220" s="212"/>
      <c r="J220" s="212"/>
      <c r="K220" s="263"/>
    </row>
    <row r="221" spans="2:11">
      <c r="B221" s="42">
        <v>43</v>
      </c>
      <c r="C221" s="258" t="s">
        <v>379</v>
      </c>
      <c r="D221" s="271" t="s">
        <v>447</v>
      </c>
      <c r="E221" s="323" t="s">
        <v>868</v>
      </c>
      <c r="F221" s="324"/>
      <c r="G221" s="320" t="s">
        <v>976</v>
      </c>
      <c r="H221" s="13"/>
      <c r="I221" s="13"/>
      <c r="J221" s="13"/>
      <c r="K221" s="20"/>
    </row>
    <row r="222" spans="2:11">
      <c r="B222" s="42">
        <v>44</v>
      </c>
      <c r="C222" s="258" t="s">
        <v>380</v>
      </c>
      <c r="D222" s="271" t="s">
        <v>455</v>
      </c>
      <c r="E222" s="323" t="s">
        <v>868</v>
      </c>
      <c r="F222" s="324"/>
      <c r="G222" s="320" t="s">
        <v>977</v>
      </c>
      <c r="H222" s="13"/>
      <c r="I222" s="13"/>
      <c r="J222" s="13"/>
      <c r="K222" s="20"/>
    </row>
    <row r="223" spans="2:11">
      <c r="B223" s="42">
        <v>62</v>
      </c>
      <c r="C223" s="258" t="s">
        <v>398</v>
      </c>
      <c r="D223" s="271" t="s">
        <v>428</v>
      </c>
      <c r="E223" s="13"/>
      <c r="F223" s="13"/>
      <c r="G223" s="13"/>
      <c r="H223" s="13"/>
      <c r="I223" s="13"/>
      <c r="J223" s="13"/>
      <c r="K223" s="20"/>
    </row>
    <row r="224" spans="2:11">
      <c r="B224" s="42">
        <v>61</v>
      </c>
      <c r="C224" s="258" t="s">
        <v>397</v>
      </c>
      <c r="D224" s="271" t="s">
        <v>322</v>
      </c>
      <c r="E224" s="324" t="s">
        <v>868</v>
      </c>
      <c r="F224" s="324"/>
      <c r="G224" s="332" t="s">
        <v>127</v>
      </c>
      <c r="H224" s="13"/>
      <c r="I224" s="13"/>
      <c r="J224" s="13"/>
      <c r="K224" s="20"/>
    </row>
    <row r="225" spans="2:11">
      <c r="B225" s="42">
        <v>71</v>
      </c>
      <c r="C225" s="258" t="s">
        <v>407</v>
      </c>
      <c r="D225" s="271" t="s">
        <v>323</v>
      </c>
      <c r="E225" s="13"/>
      <c r="F225" s="13"/>
      <c r="G225" s="13"/>
      <c r="H225" s="13"/>
      <c r="I225" s="13"/>
      <c r="J225" s="13"/>
      <c r="K225" s="20"/>
    </row>
    <row r="226" spans="2:11">
      <c r="B226" s="42">
        <v>72</v>
      </c>
      <c r="C226" s="258" t="s">
        <v>408</v>
      </c>
      <c r="D226" s="271" t="s">
        <v>429</v>
      </c>
      <c r="E226" s="324" t="s">
        <v>868</v>
      </c>
      <c r="F226" s="324"/>
      <c r="G226" s="332" t="s">
        <v>137</v>
      </c>
      <c r="H226" s="13"/>
      <c r="I226" s="13"/>
      <c r="J226" s="13"/>
      <c r="K226" s="20"/>
    </row>
    <row r="227" spans="2:11">
      <c r="B227" s="42">
        <v>51</v>
      </c>
      <c r="C227" s="258" t="s">
        <v>387</v>
      </c>
      <c r="D227" s="271" t="s">
        <v>464</v>
      </c>
      <c r="E227" s="13"/>
      <c r="F227" s="13"/>
      <c r="G227" s="13"/>
      <c r="H227" s="13"/>
      <c r="I227" s="13"/>
      <c r="J227" s="13"/>
      <c r="K227" s="20"/>
    </row>
    <row r="228" spans="2:11">
      <c r="B228" s="42">
        <v>52</v>
      </c>
      <c r="C228" s="258" t="s">
        <v>388</v>
      </c>
      <c r="D228" s="271" t="s">
        <v>464</v>
      </c>
      <c r="E228" s="13"/>
      <c r="F228" s="13"/>
      <c r="G228" s="13"/>
      <c r="H228" s="13"/>
      <c r="I228" s="13"/>
      <c r="J228" s="13"/>
      <c r="K228" s="20"/>
    </row>
    <row r="229" spans="2:11">
      <c r="B229" s="42">
        <v>53</v>
      </c>
      <c r="C229" s="258" t="s">
        <v>389</v>
      </c>
      <c r="D229" s="271" t="s">
        <v>464</v>
      </c>
      <c r="E229" s="13"/>
      <c r="F229" s="13"/>
      <c r="G229" s="13"/>
      <c r="H229" s="13"/>
      <c r="I229" s="13"/>
      <c r="J229" s="13"/>
      <c r="K229" s="20"/>
    </row>
    <row r="230" spans="2:11">
      <c r="B230" s="42">
        <v>63</v>
      </c>
      <c r="C230" s="258" t="s">
        <v>399</v>
      </c>
      <c r="D230" s="271" t="s">
        <v>464</v>
      </c>
      <c r="E230" s="13"/>
      <c r="F230" s="13"/>
      <c r="G230" s="13"/>
      <c r="H230" s="13"/>
      <c r="I230" s="13"/>
      <c r="J230" s="13"/>
      <c r="K230" s="20"/>
    </row>
    <row r="231" spans="2:11">
      <c r="B231" s="42">
        <v>54</v>
      </c>
      <c r="C231" s="258" t="s">
        <v>390</v>
      </c>
      <c r="D231" s="271" t="s">
        <v>464</v>
      </c>
      <c r="E231" s="13"/>
      <c r="F231" s="13"/>
      <c r="G231" s="13"/>
      <c r="H231" s="13"/>
      <c r="I231" s="13"/>
      <c r="J231" s="13"/>
      <c r="K231" s="20"/>
    </row>
    <row r="232" spans="2:11">
      <c r="B232" s="42">
        <v>64</v>
      </c>
      <c r="C232" s="258" t="s">
        <v>400</v>
      </c>
      <c r="D232" s="271" t="s">
        <v>464</v>
      </c>
      <c r="E232" s="13"/>
      <c r="F232" s="13"/>
      <c r="G232" s="13"/>
      <c r="H232" s="13"/>
      <c r="I232" s="13"/>
      <c r="J232" s="13"/>
      <c r="K232" s="20"/>
    </row>
    <row r="233" spans="2:11">
      <c r="B233" s="42">
        <v>105</v>
      </c>
      <c r="C233" s="258" t="s">
        <v>24</v>
      </c>
      <c r="D233" s="257" t="s">
        <v>464</v>
      </c>
      <c r="E233" s="13"/>
      <c r="F233" s="13"/>
      <c r="G233" s="13"/>
      <c r="H233" s="13"/>
      <c r="I233" s="13"/>
      <c r="J233" s="13"/>
      <c r="K233" s="20"/>
    </row>
    <row r="234" spans="2:11">
      <c r="B234" s="42">
        <v>46</v>
      </c>
      <c r="C234" s="258" t="s">
        <v>382</v>
      </c>
      <c r="D234" s="271" t="s">
        <v>471</v>
      </c>
      <c r="E234" s="13"/>
      <c r="F234" s="13"/>
      <c r="G234" s="13"/>
      <c r="H234" s="13"/>
      <c r="I234" s="13"/>
      <c r="J234" s="13"/>
      <c r="K234" s="20"/>
    </row>
    <row r="235" spans="2:11">
      <c r="B235" s="42">
        <v>66</v>
      </c>
      <c r="C235" s="258" t="s">
        <v>402</v>
      </c>
      <c r="D235" s="271" t="s">
        <v>473</v>
      </c>
      <c r="E235" s="13"/>
      <c r="F235" s="13"/>
      <c r="G235" s="13"/>
      <c r="H235" s="13"/>
      <c r="I235" s="13"/>
      <c r="J235" s="13"/>
      <c r="K235" s="20"/>
    </row>
    <row r="236" spans="2:11">
      <c r="B236" s="42">
        <v>56</v>
      </c>
      <c r="C236" s="258" t="s">
        <v>392</v>
      </c>
      <c r="D236" s="271" t="s">
        <v>472</v>
      </c>
      <c r="E236" s="13"/>
      <c r="F236" s="13"/>
      <c r="G236" s="13"/>
      <c r="H236" s="13"/>
      <c r="I236" s="13"/>
      <c r="J236" s="13"/>
      <c r="K236" s="20"/>
    </row>
    <row r="237" spans="2:11">
      <c r="B237" s="42">
        <v>5</v>
      </c>
      <c r="C237" s="258" t="s">
        <v>341</v>
      </c>
      <c r="D237" s="257" t="s">
        <v>321</v>
      </c>
      <c r="E237" s="13"/>
      <c r="F237" s="13"/>
      <c r="G237" s="13"/>
      <c r="H237" s="13"/>
      <c r="I237" s="13"/>
      <c r="J237" s="13"/>
      <c r="K237" s="20"/>
    </row>
    <row r="238" spans="2:11">
      <c r="B238" s="42">
        <v>15</v>
      </c>
      <c r="C238" s="258" t="s">
        <v>351</v>
      </c>
      <c r="D238" s="257" t="s">
        <v>321</v>
      </c>
      <c r="E238" s="13"/>
      <c r="F238" s="13"/>
      <c r="G238" s="13"/>
      <c r="H238" s="13"/>
      <c r="I238" s="13"/>
      <c r="J238" s="13"/>
      <c r="K238" s="20"/>
    </row>
    <row r="239" spans="2:11">
      <c r="B239" s="42">
        <v>25</v>
      </c>
      <c r="C239" s="258" t="s">
        <v>361</v>
      </c>
      <c r="D239" s="257" t="s">
        <v>321</v>
      </c>
      <c r="E239" s="13"/>
      <c r="F239" s="13"/>
      <c r="G239" s="13"/>
      <c r="H239" s="13"/>
      <c r="I239" s="13"/>
      <c r="J239" s="13"/>
      <c r="K239" s="20"/>
    </row>
    <row r="240" spans="2:11">
      <c r="B240" s="42">
        <v>35</v>
      </c>
      <c r="C240" s="258" t="s">
        <v>371</v>
      </c>
      <c r="D240" s="257" t="s">
        <v>321</v>
      </c>
      <c r="E240" s="13"/>
      <c r="F240" s="13"/>
      <c r="G240" s="13"/>
      <c r="H240" s="13"/>
      <c r="I240" s="13"/>
      <c r="J240" s="13"/>
      <c r="K240" s="20"/>
    </row>
    <row r="241" spans="2:11">
      <c r="B241" s="42">
        <v>45</v>
      </c>
      <c r="C241" s="258" t="s">
        <v>381</v>
      </c>
      <c r="D241" s="271" t="s">
        <v>321</v>
      </c>
      <c r="E241" s="13"/>
      <c r="F241" s="13"/>
      <c r="G241" s="13"/>
      <c r="H241" s="13"/>
      <c r="I241" s="13"/>
      <c r="J241" s="13"/>
      <c r="K241" s="20"/>
    </row>
    <row r="242" spans="2:11">
      <c r="B242" s="42">
        <v>55</v>
      </c>
      <c r="C242" s="258" t="s">
        <v>391</v>
      </c>
      <c r="D242" s="271" t="s">
        <v>321</v>
      </c>
      <c r="E242" s="13"/>
      <c r="F242" s="13"/>
      <c r="G242" s="13"/>
      <c r="H242" s="13"/>
      <c r="I242" s="13"/>
      <c r="J242" s="13"/>
      <c r="K242" s="20"/>
    </row>
    <row r="243" spans="2:11">
      <c r="B243" s="42">
        <v>65</v>
      </c>
      <c r="C243" s="258" t="s">
        <v>401</v>
      </c>
      <c r="D243" s="271" t="s">
        <v>321</v>
      </c>
      <c r="E243" s="13"/>
      <c r="F243" s="13"/>
      <c r="G243" s="13"/>
      <c r="H243" s="13"/>
      <c r="I243" s="13"/>
      <c r="J243" s="13"/>
      <c r="K243" s="20"/>
    </row>
    <row r="244" spans="2:11">
      <c r="B244" s="42">
        <v>92</v>
      </c>
      <c r="C244" s="258" t="s">
        <v>4</v>
      </c>
      <c r="D244" s="257" t="s">
        <v>431</v>
      </c>
      <c r="E244" s="13"/>
      <c r="F244" s="13"/>
      <c r="G244" s="13"/>
      <c r="H244" s="13"/>
      <c r="I244" s="13"/>
      <c r="J244" s="13"/>
      <c r="K244" s="20"/>
    </row>
    <row r="245" spans="2:11">
      <c r="B245" s="42">
        <v>91</v>
      </c>
      <c r="C245" s="258" t="s">
        <v>0</v>
      </c>
      <c r="D245" s="328" t="s">
        <v>325</v>
      </c>
      <c r="E245" s="323" t="s">
        <v>868</v>
      </c>
      <c r="F245" s="324"/>
      <c r="G245" s="320" t="s">
        <v>67</v>
      </c>
      <c r="H245" s="13"/>
      <c r="I245" s="13"/>
      <c r="J245" s="13"/>
      <c r="K245" s="20"/>
    </row>
    <row r="246" spans="2:11">
      <c r="B246" s="42">
        <v>81</v>
      </c>
      <c r="C246" s="258" t="s">
        <v>417</v>
      </c>
      <c r="D246" s="328" t="s">
        <v>324</v>
      </c>
      <c r="E246" s="324" t="s">
        <v>868</v>
      </c>
      <c r="F246" s="13"/>
      <c r="G246" s="332" t="s">
        <v>1031</v>
      </c>
      <c r="H246" s="13"/>
      <c r="I246" s="13"/>
      <c r="J246" s="13"/>
      <c r="K246" s="20"/>
    </row>
    <row r="247" spans="2:11">
      <c r="B247" s="42">
        <v>82</v>
      </c>
      <c r="C247" s="258" t="s">
        <v>418</v>
      </c>
      <c r="D247" s="328" t="s">
        <v>430</v>
      </c>
      <c r="E247" s="323" t="s">
        <v>868</v>
      </c>
      <c r="F247" s="13"/>
      <c r="G247" s="332" t="s">
        <v>1032</v>
      </c>
      <c r="H247" s="13"/>
      <c r="I247" s="13"/>
      <c r="J247" s="13"/>
      <c r="K247" s="20"/>
    </row>
    <row r="248" spans="2:11">
      <c r="B248" s="42">
        <v>41</v>
      </c>
      <c r="C248" s="258" t="s">
        <v>377</v>
      </c>
      <c r="D248" s="330" t="s">
        <v>427</v>
      </c>
      <c r="E248" s="324" t="s">
        <v>868</v>
      </c>
      <c r="F248" s="324"/>
      <c r="G248" s="319" t="s">
        <v>317</v>
      </c>
      <c r="H248" s="13"/>
      <c r="I248" s="13"/>
      <c r="J248" s="13"/>
      <c r="K248" s="20"/>
    </row>
    <row r="249" spans="2:11">
      <c r="B249" s="42">
        <v>42</v>
      </c>
      <c r="C249" s="258" t="s">
        <v>378</v>
      </c>
      <c r="D249" s="330" t="s">
        <v>320</v>
      </c>
      <c r="E249" s="323" t="s">
        <v>868</v>
      </c>
      <c r="F249" s="324"/>
      <c r="G249" s="320" t="s">
        <v>975</v>
      </c>
      <c r="H249" s="13"/>
      <c r="I249" s="13"/>
      <c r="J249" s="13"/>
      <c r="K249" s="20"/>
    </row>
    <row r="250" spans="2:11">
      <c r="B250" s="260">
        <v>393</v>
      </c>
      <c r="C250" s="261" t="s">
        <v>312</v>
      </c>
      <c r="D250" s="262" t="s">
        <v>453</v>
      </c>
      <c r="E250" s="325" t="s">
        <v>869</v>
      </c>
      <c r="F250" s="325"/>
      <c r="G250" s="325" t="s">
        <v>976</v>
      </c>
      <c r="H250" s="212"/>
      <c r="I250" s="212"/>
      <c r="J250" s="212"/>
      <c r="K250" s="263"/>
    </row>
    <row r="251" spans="2:11">
      <c r="B251" s="260">
        <v>383</v>
      </c>
      <c r="C251" s="261" t="s">
        <v>302</v>
      </c>
      <c r="D251" s="262" t="s">
        <v>452</v>
      </c>
      <c r="E251" s="325" t="s">
        <v>869</v>
      </c>
      <c r="F251" s="325"/>
      <c r="G251" s="325" t="s">
        <v>977</v>
      </c>
      <c r="H251" s="212"/>
      <c r="I251" s="212"/>
      <c r="J251" s="212"/>
      <c r="K251" s="263"/>
    </row>
    <row r="252" spans="2:11">
      <c r="B252" s="260">
        <v>337</v>
      </c>
      <c r="C252" s="261" t="s">
        <v>256</v>
      </c>
      <c r="D252" s="262" t="s">
        <v>487</v>
      </c>
      <c r="E252" s="212"/>
      <c r="F252" s="212"/>
      <c r="G252" s="212"/>
      <c r="H252" s="212"/>
      <c r="I252" s="212"/>
      <c r="J252" s="212"/>
      <c r="K252" s="263"/>
    </row>
    <row r="253" spans="2:11">
      <c r="B253" s="260">
        <v>327</v>
      </c>
      <c r="C253" s="261" t="s">
        <v>246</v>
      </c>
      <c r="D253" s="262" t="s">
        <v>486</v>
      </c>
      <c r="E253" s="325" t="s">
        <v>869</v>
      </c>
      <c r="F253" s="325"/>
      <c r="G253" s="329" t="s">
        <v>127</v>
      </c>
      <c r="H253" s="212"/>
      <c r="I253" s="212"/>
      <c r="J253" s="212"/>
      <c r="K253" s="263"/>
    </row>
    <row r="254" spans="2:11">
      <c r="B254" s="260">
        <v>346</v>
      </c>
      <c r="C254" s="261" t="s">
        <v>265</v>
      </c>
      <c r="D254" s="262" t="s">
        <v>478</v>
      </c>
      <c r="E254" s="212"/>
      <c r="F254" s="212"/>
      <c r="G254" s="212"/>
      <c r="H254" s="212"/>
      <c r="I254" s="212"/>
      <c r="J254" s="212"/>
      <c r="K254" s="263"/>
    </row>
    <row r="255" spans="2:11">
      <c r="B255" s="260">
        <v>336</v>
      </c>
      <c r="C255" s="261" t="s">
        <v>255</v>
      </c>
      <c r="D255" s="262" t="s">
        <v>477</v>
      </c>
      <c r="E255" s="325" t="s">
        <v>869</v>
      </c>
      <c r="F255" s="325"/>
      <c r="G255" s="329" t="s">
        <v>137</v>
      </c>
      <c r="H255" s="212"/>
      <c r="I255" s="212"/>
      <c r="J255" s="212"/>
      <c r="K255" s="263"/>
    </row>
    <row r="256" spans="2:11">
      <c r="B256" s="260">
        <v>347</v>
      </c>
      <c r="C256" s="261" t="s">
        <v>266</v>
      </c>
      <c r="D256" s="262" t="s">
        <v>488</v>
      </c>
      <c r="E256" s="212"/>
      <c r="F256" s="212"/>
      <c r="G256" s="212"/>
      <c r="H256" s="212"/>
      <c r="I256" s="212"/>
      <c r="J256" s="212"/>
      <c r="K256" s="263"/>
    </row>
    <row r="257" spans="2:11">
      <c r="B257" s="260">
        <v>357</v>
      </c>
      <c r="C257" s="261" t="s">
        <v>276</v>
      </c>
      <c r="D257" s="262" t="s">
        <v>488</v>
      </c>
      <c r="E257" s="212"/>
      <c r="F257" s="212"/>
      <c r="G257" s="212"/>
      <c r="H257" s="212"/>
      <c r="I257" s="212"/>
      <c r="J257" s="212"/>
      <c r="K257" s="263"/>
    </row>
    <row r="258" spans="2:11">
      <c r="B258" s="260">
        <v>338</v>
      </c>
      <c r="C258" s="261" t="s">
        <v>257</v>
      </c>
      <c r="D258" s="262" t="s">
        <v>488</v>
      </c>
      <c r="E258" s="212"/>
      <c r="F258" s="212"/>
      <c r="G258" s="212"/>
      <c r="H258" s="212"/>
      <c r="I258" s="212"/>
      <c r="J258" s="212"/>
      <c r="K258" s="263"/>
    </row>
    <row r="259" spans="2:11">
      <c r="B259" s="260">
        <v>348</v>
      </c>
      <c r="C259" s="261" t="s">
        <v>267</v>
      </c>
      <c r="D259" s="262" t="s">
        <v>488</v>
      </c>
      <c r="E259" s="212"/>
      <c r="F259" s="212"/>
      <c r="G259" s="212"/>
      <c r="H259" s="212"/>
      <c r="I259" s="212"/>
      <c r="J259" s="212"/>
      <c r="K259" s="263"/>
    </row>
    <row r="260" spans="2:11">
      <c r="B260" s="260">
        <v>358</v>
      </c>
      <c r="C260" s="261" t="s">
        <v>277</v>
      </c>
      <c r="D260" s="262" t="s">
        <v>488</v>
      </c>
      <c r="E260" s="212"/>
      <c r="F260" s="212"/>
      <c r="G260" s="212"/>
      <c r="H260" s="212"/>
      <c r="I260" s="212"/>
      <c r="J260" s="212"/>
      <c r="K260" s="263"/>
    </row>
    <row r="261" spans="2:11">
      <c r="B261" s="260">
        <v>339</v>
      </c>
      <c r="C261" s="261" t="s">
        <v>258</v>
      </c>
      <c r="D261" s="262" t="s">
        <v>488</v>
      </c>
      <c r="E261" s="212"/>
      <c r="F261" s="212"/>
      <c r="G261" s="212"/>
      <c r="H261" s="212"/>
      <c r="I261" s="212"/>
      <c r="J261" s="212"/>
      <c r="K261" s="263"/>
    </row>
    <row r="262" spans="2:11">
      <c r="B262" s="260">
        <v>349</v>
      </c>
      <c r="C262" s="261" t="s">
        <v>268</v>
      </c>
      <c r="D262" s="262" t="s">
        <v>488</v>
      </c>
      <c r="E262" s="212"/>
      <c r="F262" s="212"/>
      <c r="G262" s="212"/>
      <c r="H262" s="212"/>
      <c r="I262" s="212"/>
      <c r="J262" s="212"/>
      <c r="K262" s="263"/>
    </row>
    <row r="263" spans="2:11">
      <c r="B263" s="260">
        <v>359</v>
      </c>
      <c r="C263" s="261" t="s">
        <v>278</v>
      </c>
      <c r="D263" s="262" t="s">
        <v>488</v>
      </c>
      <c r="E263" s="212"/>
      <c r="F263" s="212"/>
      <c r="G263" s="212"/>
      <c r="H263" s="212"/>
      <c r="I263" s="212"/>
      <c r="J263" s="212"/>
      <c r="K263" s="263"/>
    </row>
    <row r="264" spans="2:11">
      <c r="B264" s="260">
        <v>340</v>
      </c>
      <c r="C264" s="261" t="s">
        <v>259</v>
      </c>
      <c r="D264" s="262" t="s">
        <v>488</v>
      </c>
      <c r="E264" s="212"/>
      <c r="F264" s="212"/>
      <c r="G264" s="212"/>
      <c r="H264" s="212"/>
      <c r="I264" s="212"/>
      <c r="J264" s="212"/>
      <c r="K264" s="263"/>
    </row>
    <row r="265" spans="2:11">
      <c r="B265" s="260">
        <v>350</v>
      </c>
      <c r="C265" s="261" t="s">
        <v>269</v>
      </c>
      <c r="D265" s="262" t="s">
        <v>488</v>
      </c>
      <c r="E265" s="212"/>
      <c r="F265" s="212"/>
      <c r="G265" s="212"/>
      <c r="H265" s="212"/>
      <c r="I265" s="212"/>
      <c r="J265" s="212"/>
      <c r="K265" s="263"/>
    </row>
    <row r="266" spans="2:11">
      <c r="B266" s="260">
        <v>360</v>
      </c>
      <c r="C266" s="261" t="s">
        <v>279</v>
      </c>
      <c r="D266" s="262" t="s">
        <v>488</v>
      </c>
      <c r="E266" s="212"/>
      <c r="F266" s="212"/>
      <c r="G266" s="212"/>
      <c r="H266" s="212"/>
      <c r="I266" s="212"/>
      <c r="J266" s="212"/>
      <c r="K266" s="263"/>
    </row>
    <row r="267" spans="2:11">
      <c r="B267" s="260">
        <v>356</v>
      </c>
      <c r="C267" s="261" t="s">
        <v>275</v>
      </c>
      <c r="D267" s="262" t="s">
        <v>479</v>
      </c>
      <c r="E267" s="212"/>
      <c r="F267" s="212"/>
      <c r="G267" s="212"/>
      <c r="H267" s="212"/>
      <c r="I267" s="212"/>
      <c r="J267" s="212"/>
      <c r="K267" s="263"/>
    </row>
    <row r="268" spans="2:11">
      <c r="B268" s="260">
        <v>385</v>
      </c>
      <c r="C268" s="261" t="s">
        <v>304</v>
      </c>
      <c r="D268" s="262" t="s">
        <v>469</v>
      </c>
      <c r="E268" s="212"/>
      <c r="F268" s="212"/>
      <c r="G268" s="212"/>
      <c r="H268" s="212"/>
      <c r="I268" s="212"/>
      <c r="J268" s="212"/>
      <c r="K268" s="263"/>
    </row>
    <row r="269" spans="2:11">
      <c r="B269" s="260">
        <v>395</v>
      </c>
      <c r="C269" s="261" t="s">
        <v>314</v>
      </c>
      <c r="D269" s="262" t="s">
        <v>470</v>
      </c>
      <c r="E269" s="212"/>
      <c r="F269" s="212"/>
      <c r="G269" s="212"/>
      <c r="H269" s="212"/>
      <c r="I269" s="212"/>
      <c r="J269" s="212"/>
      <c r="K269" s="263"/>
    </row>
    <row r="270" spans="2:11">
      <c r="B270" s="260">
        <v>341</v>
      </c>
      <c r="C270" s="261" t="s">
        <v>260</v>
      </c>
      <c r="D270" s="262" t="s">
        <v>336</v>
      </c>
      <c r="E270" s="212"/>
      <c r="F270" s="212"/>
      <c r="G270" s="212"/>
      <c r="H270" s="212"/>
      <c r="I270" s="212"/>
      <c r="J270" s="212"/>
      <c r="K270" s="263"/>
    </row>
    <row r="271" spans="2:11">
      <c r="B271" s="260">
        <v>351</v>
      </c>
      <c r="C271" s="261" t="s">
        <v>270</v>
      </c>
      <c r="D271" s="262" t="s">
        <v>336</v>
      </c>
      <c r="E271" s="212"/>
      <c r="F271" s="212"/>
      <c r="G271" s="212"/>
      <c r="H271" s="212"/>
      <c r="I271" s="212"/>
      <c r="J271" s="212"/>
      <c r="K271" s="263"/>
    </row>
    <row r="272" spans="2:11">
      <c r="B272" s="260">
        <v>342</v>
      </c>
      <c r="C272" s="261" t="s">
        <v>261</v>
      </c>
      <c r="D272" s="262" t="s">
        <v>336</v>
      </c>
      <c r="E272" s="212"/>
      <c r="F272" s="212"/>
      <c r="G272" s="212"/>
      <c r="H272" s="212"/>
      <c r="I272" s="212"/>
      <c r="J272" s="212"/>
      <c r="K272" s="263"/>
    </row>
    <row r="273" spans="2:11">
      <c r="B273" s="260">
        <v>352</v>
      </c>
      <c r="C273" s="261" t="s">
        <v>271</v>
      </c>
      <c r="D273" s="262" t="s">
        <v>336</v>
      </c>
      <c r="E273" s="212"/>
      <c r="F273" s="212"/>
      <c r="G273" s="212"/>
      <c r="H273" s="212"/>
      <c r="I273" s="212"/>
      <c r="J273" s="212"/>
      <c r="K273" s="263"/>
    </row>
    <row r="274" spans="2:11">
      <c r="B274" s="260">
        <v>333</v>
      </c>
      <c r="C274" s="261" t="s">
        <v>252</v>
      </c>
      <c r="D274" s="262" t="s">
        <v>336</v>
      </c>
      <c r="E274" s="212"/>
      <c r="F274" s="212"/>
      <c r="G274" s="212"/>
      <c r="H274" s="212"/>
      <c r="I274" s="212"/>
      <c r="J274" s="212"/>
      <c r="K274" s="263"/>
    </row>
    <row r="275" spans="2:11">
      <c r="B275" s="260">
        <v>343</v>
      </c>
      <c r="C275" s="261" t="s">
        <v>262</v>
      </c>
      <c r="D275" s="262" t="s">
        <v>336</v>
      </c>
      <c r="E275" s="212"/>
      <c r="F275" s="212"/>
      <c r="G275" s="212"/>
      <c r="H275" s="212"/>
      <c r="I275" s="212"/>
      <c r="J275" s="212"/>
      <c r="K275" s="263"/>
    </row>
    <row r="276" spans="2:11">
      <c r="B276" s="260">
        <v>334</v>
      </c>
      <c r="C276" s="261" t="s">
        <v>253</v>
      </c>
      <c r="D276" s="262" t="s">
        <v>336</v>
      </c>
      <c r="E276" s="212"/>
      <c r="F276" s="212"/>
      <c r="G276" s="212"/>
      <c r="H276" s="212"/>
      <c r="I276" s="212"/>
      <c r="J276" s="212"/>
      <c r="K276" s="263"/>
    </row>
    <row r="277" spans="2:11">
      <c r="B277" s="260">
        <v>344</v>
      </c>
      <c r="C277" s="261" t="s">
        <v>263</v>
      </c>
      <c r="D277" s="262" t="s">
        <v>336</v>
      </c>
      <c r="E277" s="212"/>
      <c r="F277" s="212"/>
      <c r="G277" s="212"/>
      <c r="H277" s="212"/>
      <c r="I277" s="212"/>
      <c r="J277" s="212"/>
      <c r="K277" s="263"/>
    </row>
    <row r="278" spans="2:11">
      <c r="B278" s="260">
        <v>345</v>
      </c>
      <c r="C278" s="261" t="s">
        <v>264</v>
      </c>
      <c r="D278" s="262" t="s">
        <v>336</v>
      </c>
      <c r="E278" s="212"/>
      <c r="F278" s="212"/>
      <c r="G278" s="212"/>
      <c r="H278" s="212"/>
      <c r="I278" s="212"/>
      <c r="J278" s="212"/>
      <c r="K278" s="263"/>
    </row>
    <row r="279" spans="2:11">
      <c r="B279" s="260">
        <v>355</v>
      </c>
      <c r="C279" s="261" t="s">
        <v>274</v>
      </c>
      <c r="D279" s="262" t="s">
        <v>336</v>
      </c>
      <c r="E279" s="212"/>
      <c r="F279" s="212"/>
      <c r="G279" s="212"/>
      <c r="H279" s="212"/>
      <c r="I279" s="212"/>
      <c r="J279" s="212"/>
      <c r="K279" s="263"/>
    </row>
    <row r="280" spans="2:11">
      <c r="B280" s="260">
        <v>396</v>
      </c>
      <c r="C280" s="261" t="s">
        <v>315</v>
      </c>
      <c r="D280" s="262" t="s">
        <v>481</v>
      </c>
      <c r="E280" s="212"/>
      <c r="F280" s="212"/>
      <c r="G280" s="212"/>
      <c r="H280" s="212"/>
      <c r="I280" s="212"/>
      <c r="J280" s="212"/>
      <c r="K280" s="263"/>
    </row>
    <row r="281" spans="2:11">
      <c r="B281" s="260">
        <v>386</v>
      </c>
      <c r="C281" s="261" t="s">
        <v>305</v>
      </c>
      <c r="D281" s="326" t="s">
        <v>480</v>
      </c>
      <c r="E281" s="325" t="s">
        <v>869</v>
      </c>
      <c r="F281" s="325"/>
      <c r="G281" s="325" t="s">
        <v>67</v>
      </c>
      <c r="H281" s="212"/>
      <c r="I281" s="212"/>
      <c r="J281" s="212"/>
      <c r="K281" s="263"/>
    </row>
    <row r="282" spans="2:11">
      <c r="B282" s="260">
        <v>387</v>
      </c>
      <c r="C282" s="261" t="s">
        <v>306</v>
      </c>
      <c r="D282" s="326" t="s">
        <v>489</v>
      </c>
      <c r="E282" s="325" t="s">
        <v>869</v>
      </c>
      <c r="F282" s="5"/>
      <c r="G282" s="329" t="s">
        <v>1031</v>
      </c>
      <c r="H282" s="212"/>
      <c r="I282" s="212"/>
      <c r="J282" s="212"/>
      <c r="K282" s="263"/>
    </row>
    <row r="283" spans="2:11">
      <c r="B283" s="260">
        <v>388</v>
      </c>
      <c r="C283" s="261" t="s">
        <v>307</v>
      </c>
      <c r="D283" s="326" t="s">
        <v>495</v>
      </c>
      <c r="E283" s="325" t="s">
        <v>869</v>
      </c>
      <c r="F283" s="5"/>
      <c r="G283" s="329" t="s">
        <v>1032</v>
      </c>
      <c r="H283" s="212"/>
      <c r="I283" s="212"/>
      <c r="J283" s="212"/>
      <c r="K283" s="263"/>
    </row>
    <row r="284" spans="2:11">
      <c r="B284" s="260">
        <v>392</v>
      </c>
      <c r="C284" s="261" t="s">
        <v>311</v>
      </c>
      <c r="D284" s="326" t="s">
        <v>440</v>
      </c>
      <c r="E284" s="325" t="s">
        <v>869</v>
      </c>
      <c r="F284" s="325"/>
      <c r="G284" s="325"/>
      <c r="H284" s="212"/>
      <c r="I284" s="212"/>
      <c r="J284" s="212"/>
      <c r="K284" s="263"/>
    </row>
    <row r="285" spans="2:11">
      <c r="B285" s="260">
        <v>382</v>
      </c>
      <c r="C285" s="261" t="s">
        <v>301</v>
      </c>
      <c r="D285" s="326" t="s">
        <v>441</v>
      </c>
      <c r="E285" s="325" t="s">
        <v>869</v>
      </c>
      <c r="F285" s="325"/>
      <c r="G285" s="331" t="s">
        <v>975</v>
      </c>
      <c r="H285" s="212"/>
      <c r="I285" s="212"/>
      <c r="J285" s="212"/>
      <c r="K285" s="263"/>
    </row>
    <row r="286" spans="2:11">
      <c r="B286" s="42">
        <v>194</v>
      </c>
      <c r="C286" s="21" t="s">
        <v>113</v>
      </c>
      <c r="D286" s="22" t="s">
        <v>587</v>
      </c>
      <c r="E286" s="323" t="s">
        <v>870</v>
      </c>
      <c r="F286" s="5"/>
      <c r="G286" s="389" t="s">
        <v>1020</v>
      </c>
      <c r="H286" s="340" t="s">
        <v>932</v>
      </c>
      <c r="I286" s="5"/>
      <c r="J286" s="5"/>
      <c r="K286" s="14"/>
    </row>
    <row r="287" spans="2:11">
      <c r="B287" s="42">
        <v>193</v>
      </c>
      <c r="C287" s="21" t="s">
        <v>112</v>
      </c>
      <c r="D287" s="22" t="s">
        <v>564</v>
      </c>
      <c r="E287" s="323" t="s">
        <v>870</v>
      </c>
      <c r="F287" s="5"/>
      <c r="G287" s="389" t="s">
        <v>1021</v>
      </c>
      <c r="H287" s="316" t="s">
        <v>932</v>
      </c>
      <c r="I287" s="5"/>
      <c r="J287" s="5"/>
      <c r="K287" s="14"/>
    </row>
    <row r="288" spans="2:11">
      <c r="B288" s="42">
        <v>184</v>
      </c>
      <c r="C288" s="21" t="s">
        <v>103</v>
      </c>
      <c r="D288" s="22" t="s">
        <v>586</v>
      </c>
      <c r="E288" s="323" t="s">
        <v>870</v>
      </c>
      <c r="F288" s="5"/>
      <c r="G288" s="389" t="s">
        <v>1018</v>
      </c>
      <c r="H288" s="316" t="s">
        <v>932</v>
      </c>
      <c r="I288" s="5"/>
      <c r="J288" s="5"/>
      <c r="K288" s="14"/>
    </row>
    <row r="289" spans="2:11">
      <c r="B289" s="42">
        <v>183</v>
      </c>
      <c r="C289" s="21" t="s">
        <v>102</v>
      </c>
      <c r="D289" s="22" t="s">
        <v>563</v>
      </c>
      <c r="E289" s="323" t="s">
        <v>870</v>
      </c>
      <c r="F289" s="5"/>
      <c r="G289" s="389" t="s">
        <v>1019</v>
      </c>
      <c r="H289" s="316" t="s">
        <v>932</v>
      </c>
      <c r="I289" s="5"/>
      <c r="J289" s="5"/>
      <c r="K289" s="14"/>
    </row>
    <row r="290" spans="2:11">
      <c r="B290" s="42">
        <v>182</v>
      </c>
      <c r="C290" s="21" t="s">
        <v>101</v>
      </c>
      <c r="D290" s="22" t="s">
        <v>542</v>
      </c>
      <c r="E290" s="323" t="s">
        <v>870</v>
      </c>
      <c r="F290" s="5"/>
      <c r="G290" s="389" t="s">
        <v>1016</v>
      </c>
      <c r="H290" s="316" t="s">
        <v>932</v>
      </c>
      <c r="I290" s="5"/>
      <c r="J290" s="5"/>
      <c r="K290" s="14"/>
    </row>
    <row r="291" spans="2:11">
      <c r="B291" s="42">
        <v>192</v>
      </c>
      <c r="C291" s="21" t="s">
        <v>111</v>
      </c>
      <c r="D291" s="22" t="s">
        <v>543</v>
      </c>
      <c r="E291" s="323" t="s">
        <v>870</v>
      </c>
      <c r="F291" s="5"/>
      <c r="G291" s="389" t="s">
        <v>1017</v>
      </c>
      <c r="H291" s="316" t="s">
        <v>932</v>
      </c>
      <c r="I291" s="5"/>
      <c r="J291" s="5"/>
      <c r="K291" s="14"/>
    </row>
    <row r="292" spans="2:11">
      <c r="B292" s="42">
        <v>214</v>
      </c>
      <c r="C292" s="21" t="s">
        <v>133</v>
      </c>
      <c r="D292" s="22" t="s">
        <v>589</v>
      </c>
      <c r="E292" s="323" t="s">
        <v>870</v>
      </c>
      <c r="F292" s="5"/>
      <c r="G292" s="389" t="s">
        <v>983</v>
      </c>
      <c r="H292" s="316" t="s">
        <v>932</v>
      </c>
      <c r="I292" s="5"/>
      <c r="J292" s="5"/>
      <c r="K292" s="14"/>
    </row>
    <row r="293" spans="2:11">
      <c r="B293" s="42">
        <v>213</v>
      </c>
      <c r="C293" s="21" t="s">
        <v>132</v>
      </c>
      <c r="D293" s="22" t="s">
        <v>566</v>
      </c>
      <c r="E293" s="323" t="s">
        <v>870</v>
      </c>
      <c r="F293" s="5"/>
      <c r="G293" s="389" t="s">
        <v>984</v>
      </c>
      <c r="H293" s="316" t="s">
        <v>932</v>
      </c>
      <c r="I293" s="5"/>
      <c r="J293" s="5"/>
      <c r="K293" s="14"/>
    </row>
    <row r="294" spans="2:11">
      <c r="B294" s="42">
        <v>204</v>
      </c>
      <c r="C294" s="21" t="s">
        <v>123</v>
      </c>
      <c r="D294" s="22" t="s">
        <v>588</v>
      </c>
      <c r="E294" s="323" t="s">
        <v>870</v>
      </c>
      <c r="F294" s="5"/>
      <c r="G294" s="389" t="s">
        <v>981</v>
      </c>
      <c r="H294" s="316" t="s">
        <v>932</v>
      </c>
      <c r="I294" s="5"/>
      <c r="J294" s="5"/>
      <c r="K294" s="14"/>
    </row>
    <row r="295" spans="2:11">
      <c r="B295" s="42">
        <v>203</v>
      </c>
      <c r="C295" s="21" t="s">
        <v>122</v>
      </c>
      <c r="D295" s="22" t="s">
        <v>565</v>
      </c>
      <c r="E295" s="323" t="s">
        <v>870</v>
      </c>
      <c r="F295" s="5"/>
      <c r="G295" s="389" t="s">
        <v>982</v>
      </c>
      <c r="H295" s="316" t="s">
        <v>932</v>
      </c>
      <c r="I295" s="5"/>
      <c r="J295" s="5"/>
      <c r="K295" s="14"/>
    </row>
    <row r="296" spans="2:11">
      <c r="B296" s="42">
        <v>176</v>
      </c>
      <c r="C296" s="21" t="s">
        <v>95</v>
      </c>
      <c r="D296" s="22" t="s">
        <v>617</v>
      </c>
      <c r="E296" s="323" t="s">
        <v>870</v>
      </c>
      <c r="F296" s="5"/>
      <c r="G296" s="389" t="s">
        <v>980</v>
      </c>
      <c r="H296" s="316" t="s">
        <v>932</v>
      </c>
      <c r="I296" s="5"/>
      <c r="J296" s="5"/>
      <c r="K296" s="14"/>
    </row>
    <row r="297" spans="2:11">
      <c r="B297" s="42">
        <v>175</v>
      </c>
      <c r="C297" s="21" t="s">
        <v>94</v>
      </c>
      <c r="D297" s="22" t="s">
        <v>604</v>
      </c>
      <c r="E297" s="323" t="s">
        <v>870</v>
      </c>
      <c r="F297" s="5"/>
      <c r="G297" s="389" t="s">
        <v>4</v>
      </c>
      <c r="H297" s="316" t="s">
        <v>932</v>
      </c>
      <c r="I297" s="5"/>
      <c r="J297" s="5"/>
      <c r="K297" s="14"/>
    </row>
    <row r="298" spans="2:11">
      <c r="B298" s="42">
        <v>114</v>
      </c>
      <c r="C298" s="21" t="s">
        <v>33</v>
      </c>
      <c r="D298" s="22" t="s">
        <v>585</v>
      </c>
      <c r="E298" s="323" t="s">
        <v>870</v>
      </c>
      <c r="F298" s="5"/>
      <c r="G298" s="389" t="s">
        <v>987</v>
      </c>
      <c r="H298" s="316" t="s">
        <v>932</v>
      </c>
      <c r="I298" s="5"/>
      <c r="J298" s="5"/>
      <c r="K298" s="14"/>
    </row>
    <row r="299" spans="2:11">
      <c r="B299" s="42">
        <v>115</v>
      </c>
      <c r="C299" s="21" t="s">
        <v>34</v>
      </c>
      <c r="D299" s="22" t="s">
        <v>603</v>
      </c>
      <c r="E299" s="323" t="s">
        <v>870</v>
      </c>
      <c r="F299" s="5"/>
      <c r="G299" s="389" t="s">
        <v>988</v>
      </c>
      <c r="H299" s="316" t="s">
        <v>932</v>
      </c>
      <c r="I299" s="5"/>
      <c r="J299" s="5"/>
      <c r="K299" s="14"/>
    </row>
    <row r="300" spans="2:11">
      <c r="B300" s="42">
        <v>122</v>
      </c>
      <c r="C300" s="21" t="s">
        <v>41</v>
      </c>
      <c r="D300" s="22" t="s">
        <v>540</v>
      </c>
      <c r="E300" s="323" t="s">
        <v>870</v>
      </c>
      <c r="F300" s="5"/>
      <c r="G300" s="389" t="s">
        <v>1022</v>
      </c>
      <c r="H300" s="316" t="s">
        <v>932</v>
      </c>
      <c r="I300" s="5"/>
      <c r="J300" s="5"/>
      <c r="K300" s="14"/>
    </row>
    <row r="301" spans="2:11">
      <c r="B301" s="42">
        <v>123</v>
      </c>
      <c r="C301" s="21" t="s">
        <v>42</v>
      </c>
      <c r="D301" s="22" t="s">
        <v>561</v>
      </c>
      <c r="E301" s="323" t="s">
        <v>870</v>
      </c>
      <c r="F301" s="5"/>
      <c r="G301" s="389" t="s">
        <v>6</v>
      </c>
      <c r="H301" s="316" t="s">
        <v>932</v>
      </c>
      <c r="I301" s="5"/>
      <c r="J301" s="5"/>
      <c r="K301" s="14"/>
    </row>
    <row r="302" spans="2:11">
      <c r="B302" s="42">
        <v>112</v>
      </c>
      <c r="C302" s="21" t="s">
        <v>31</v>
      </c>
      <c r="D302" s="22" t="s">
        <v>539</v>
      </c>
      <c r="E302" s="323" t="s">
        <v>870</v>
      </c>
      <c r="F302" s="5"/>
      <c r="G302" s="389" t="s">
        <v>985</v>
      </c>
      <c r="H302" s="316" t="s">
        <v>932</v>
      </c>
      <c r="I302" s="5"/>
      <c r="J302" s="5"/>
      <c r="K302" s="14"/>
    </row>
    <row r="303" spans="2:11">
      <c r="B303" s="42">
        <v>113</v>
      </c>
      <c r="C303" s="21" t="s">
        <v>32</v>
      </c>
      <c r="D303" s="22" t="s">
        <v>560</v>
      </c>
      <c r="E303" s="323" t="s">
        <v>870</v>
      </c>
      <c r="F303" s="5"/>
      <c r="G303" s="389" t="s">
        <v>986</v>
      </c>
      <c r="H303" s="316" t="s">
        <v>932</v>
      </c>
      <c r="I303" s="5"/>
      <c r="J303" s="5"/>
      <c r="K303" s="14"/>
    </row>
    <row r="304" spans="2:11">
      <c r="B304" s="42">
        <v>141</v>
      </c>
      <c r="C304" s="21" t="s">
        <v>60</v>
      </c>
      <c r="D304" s="22" t="s">
        <v>526</v>
      </c>
      <c r="E304" s="323" t="s">
        <v>870</v>
      </c>
      <c r="F304" s="5"/>
      <c r="G304" s="389" t="s">
        <v>993</v>
      </c>
      <c r="H304" s="316" t="s">
        <v>932</v>
      </c>
      <c r="I304" s="5"/>
      <c r="J304" s="5"/>
      <c r="K304" s="14"/>
    </row>
    <row r="305" spans="2:11">
      <c r="B305" s="42">
        <v>131</v>
      </c>
      <c r="C305" s="21" t="s">
        <v>50</v>
      </c>
      <c r="D305" s="22" t="s">
        <v>525</v>
      </c>
      <c r="E305" s="323" t="s">
        <v>870</v>
      </c>
      <c r="F305" s="5"/>
      <c r="G305" s="389" t="s">
        <v>8</v>
      </c>
      <c r="H305" s="316" t="s">
        <v>932</v>
      </c>
      <c r="I305" s="5"/>
      <c r="J305" s="5"/>
      <c r="K305" s="14"/>
    </row>
    <row r="306" spans="2:11">
      <c r="B306" s="42">
        <v>121</v>
      </c>
      <c r="C306" s="21" t="s">
        <v>40</v>
      </c>
      <c r="D306" s="22" t="s">
        <v>524</v>
      </c>
      <c r="E306" s="323" t="s">
        <v>870</v>
      </c>
      <c r="F306" s="5"/>
      <c r="G306" s="389" t="s">
        <v>991</v>
      </c>
      <c r="H306" s="316" t="s">
        <v>932</v>
      </c>
      <c r="I306" s="5"/>
      <c r="J306" s="5"/>
      <c r="K306" s="14"/>
    </row>
    <row r="307" spans="2:11">
      <c r="B307" s="42">
        <v>111</v>
      </c>
      <c r="C307" s="21" t="s">
        <v>30</v>
      </c>
      <c r="D307" s="22" t="s">
        <v>523</v>
      </c>
      <c r="E307" s="323" t="s">
        <v>870</v>
      </c>
      <c r="F307" s="5"/>
      <c r="G307" s="389" t="s">
        <v>992</v>
      </c>
      <c r="H307" s="316" t="s">
        <v>932</v>
      </c>
      <c r="I307" s="5"/>
      <c r="J307" s="5"/>
      <c r="K307" s="14"/>
    </row>
    <row r="308" spans="2:11">
      <c r="B308" s="42">
        <v>132</v>
      </c>
      <c r="C308" s="21" t="s">
        <v>51</v>
      </c>
      <c r="D308" s="22" t="s">
        <v>541</v>
      </c>
      <c r="E308" s="323" t="s">
        <v>870</v>
      </c>
      <c r="F308" s="5"/>
      <c r="G308" s="389" t="s">
        <v>989</v>
      </c>
      <c r="H308" s="316" t="s">
        <v>932</v>
      </c>
      <c r="I308" s="5"/>
      <c r="J308" s="5"/>
      <c r="K308" s="14"/>
    </row>
    <row r="309" spans="2:11">
      <c r="B309" s="42">
        <v>133</v>
      </c>
      <c r="C309" s="21" t="s">
        <v>52</v>
      </c>
      <c r="D309" s="22" t="s">
        <v>562</v>
      </c>
      <c r="E309" s="323" t="s">
        <v>870</v>
      </c>
      <c r="F309" s="5"/>
      <c r="G309" s="389" t="s">
        <v>990</v>
      </c>
      <c r="H309" s="316" t="s">
        <v>932</v>
      </c>
      <c r="I309" s="5"/>
      <c r="J309" s="5"/>
      <c r="K309" s="14"/>
    </row>
    <row r="310" spans="2:11">
      <c r="B310" s="42">
        <v>124</v>
      </c>
      <c r="C310" s="21" t="s">
        <v>43</v>
      </c>
      <c r="D310" s="22" t="s">
        <v>465</v>
      </c>
      <c r="E310" s="323" t="s">
        <v>870</v>
      </c>
      <c r="F310" s="323"/>
      <c r="G310" s="387" t="s">
        <v>226</v>
      </c>
      <c r="H310" s="5"/>
      <c r="I310" s="5"/>
      <c r="J310" s="5"/>
      <c r="K310" s="14"/>
    </row>
    <row r="311" spans="2:11">
      <c r="B311" s="42">
        <v>125</v>
      </c>
      <c r="C311" s="21" t="s">
        <v>44</v>
      </c>
      <c r="D311" s="22" t="s">
        <v>456</v>
      </c>
      <c r="E311" s="323" t="s">
        <v>870</v>
      </c>
      <c r="F311" s="323"/>
      <c r="G311" s="387" t="s">
        <v>236</v>
      </c>
      <c r="H311" s="5"/>
      <c r="I311" s="5"/>
      <c r="J311" s="5"/>
      <c r="K311" s="14"/>
    </row>
    <row r="312" spans="2:11">
      <c r="B312" s="42">
        <v>162</v>
      </c>
      <c r="C312" s="21" t="s">
        <v>81</v>
      </c>
      <c r="D312" s="22" t="s">
        <v>433</v>
      </c>
      <c r="E312" s="5"/>
      <c r="F312" s="5"/>
      <c r="G312" s="5"/>
      <c r="H312" s="5"/>
      <c r="I312" s="5"/>
      <c r="J312" s="5"/>
      <c r="K312" s="14"/>
    </row>
    <row r="313" spans="2:11">
      <c r="B313" s="42">
        <v>161</v>
      </c>
      <c r="C313" s="21" t="s">
        <v>80</v>
      </c>
      <c r="D313" s="22" t="s">
        <v>327</v>
      </c>
      <c r="E313" s="323" t="s">
        <v>870</v>
      </c>
      <c r="F313" s="323"/>
      <c r="G313" s="387" t="s">
        <v>1034</v>
      </c>
      <c r="H313" s="5"/>
      <c r="I313" s="5"/>
      <c r="J313" s="5"/>
      <c r="K313" s="14"/>
    </row>
    <row r="314" spans="2:11">
      <c r="B314" s="42">
        <v>164</v>
      </c>
      <c r="C314" s="21" t="s">
        <v>83</v>
      </c>
      <c r="D314" s="22" t="s">
        <v>458</v>
      </c>
      <c r="E314" s="5"/>
      <c r="F314" s="5"/>
      <c r="G314" s="5"/>
      <c r="H314" s="5"/>
      <c r="I314" s="5"/>
      <c r="J314" s="5"/>
      <c r="K314" s="14"/>
    </row>
    <row r="315" spans="2:11">
      <c r="B315" s="42">
        <v>163</v>
      </c>
      <c r="C315" s="21" t="s">
        <v>82</v>
      </c>
      <c r="D315" s="22" t="s">
        <v>448</v>
      </c>
      <c r="E315" s="323" t="s">
        <v>870</v>
      </c>
      <c r="F315" s="323"/>
      <c r="G315" s="387" t="s">
        <v>1035</v>
      </c>
      <c r="H315" s="5"/>
      <c r="I315" s="5"/>
      <c r="J315" s="5"/>
      <c r="K315" s="14"/>
    </row>
    <row r="316" spans="2:11">
      <c r="B316" s="42">
        <v>181</v>
      </c>
      <c r="C316" s="21" t="s">
        <v>100</v>
      </c>
      <c r="D316" s="22" t="s">
        <v>432</v>
      </c>
      <c r="E316" s="5"/>
      <c r="F316" s="5"/>
      <c r="G316" s="5"/>
      <c r="H316" s="5"/>
      <c r="I316" s="5"/>
      <c r="J316" s="5"/>
      <c r="K316" s="14"/>
    </row>
    <row r="317" spans="2:11">
      <c r="B317" s="42">
        <v>191</v>
      </c>
      <c r="C317" s="21" t="s">
        <v>110</v>
      </c>
      <c r="D317" s="22" t="s">
        <v>432</v>
      </c>
      <c r="E317" s="5"/>
      <c r="F317" s="5"/>
      <c r="G317" s="5"/>
      <c r="H317" s="5"/>
      <c r="I317" s="5"/>
      <c r="J317" s="5"/>
      <c r="K317" s="14"/>
    </row>
    <row r="318" spans="2:11">
      <c r="B318" s="42">
        <v>201</v>
      </c>
      <c r="C318" s="21" t="s">
        <v>120</v>
      </c>
      <c r="D318" s="22" t="s">
        <v>432</v>
      </c>
      <c r="E318" s="5"/>
      <c r="F318" s="5"/>
      <c r="G318" s="5"/>
      <c r="H318" s="5"/>
      <c r="I318" s="5"/>
      <c r="J318" s="5"/>
      <c r="K318" s="14"/>
    </row>
    <row r="319" spans="2:11">
      <c r="B319" s="42">
        <v>211</v>
      </c>
      <c r="C319" s="21" t="s">
        <v>130</v>
      </c>
      <c r="D319" s="22" t="s">
        <v>432</v>
      </c>
      <c r="E319" s="5"/>
      <c r="F319" s="5"/>
      <c r="G319" s="5"/>
      <c r="H319" s="5"/>
      <c r="I319" s="5"/>
      <c r="J319" s="5"/>
      <c r="K319" s="14"/>
    </row>
    <row r="320" spans="2:11">
      <c r="B320" s="42">
        <v>185</v>
      </c>
      <c r="C320" s="21" t="s">
        <v>104</v>
      </c>
      <c r="D320" s="22" t="s">
        <v>432</v>
      </c>
      <c r="E320" s="5"/>
      <c r="F320" s="5"/>
      <c r="G320" s="5"/>
      <c r="H320" s="5"/>
      <c r="I320" s="5"/>
      <c r="J320" s="5"/>
      <c r="K320" s="14"/>
    </row>
    <row r="321" spans="2:11">
      <c r="B321" s="42">
        <v>195</v>
      </c>
      <c r="C321" s="21" t="s">
        <v>114</v>
      </c>
      <c r="D321" s="22" t="s">
        <v>432</v>
      </c>
      <c r="E321" s="5"/>
      <c r="F321" s="5"/>
      <c r="G321" s="5"/>
      <c r="H321" s="5"/>
      <c r="I321" s="5"/>
      <c r="J321" s="5"/>
      <c r="K321" s="14"/>
    </row>
    <row r="322" spans="2:11">
      <c r="B322" s="42">
        <v>205</v>
      </c>
      <c r="C322" s="21" t="s">
        <v>124</v>
      </c>
      <c r="D322" s="22" t="s">
        <v>432</v>
      </c>
      <c r="E322" s="5"/>
      <c r="F322" s="5"/>
      <c r="G322" s="5"/>
      <c r="H322" s="5"/>
      <c r="I322" s="5"/>
      <c r="J322" s="5"/>
      <c r="K322" s="14"/>
    </row>
    <row r="323" spans="2:11">
      <c r="B323" s="42">
        <v>215</v>
      </c>
      <c r="C323" s="21" t="s">
        <v>134</v>
      </c>
      <c r="D323" s="22" t="s">
        <v>432</v>
      </c>
      <c r="E323" s="5"/>
      <c r="F323" s="5"/>
      <c r="G323" s="5"/>
      <c r="H323" s="5"/>
      <c r="I323" s="5"/>
      <c r="J323" s="5"/>
      <c r="K323" s="14"/>
    </row>
    <row r="324" spans="2:11">
      <c r="B324" s="42">
        <v>186</v>
      </c>
      <c r="C324" s="21" t="s">
        <v>105</v>
      </c>
      <c r="D324" s="22" t="s">
        <v>432</v>
      </c>
      <c r="E324" s="5"/>
      <c r="F324" s="5"/>
      <c r="G324" s="5"/>
      <c r="H324" s="5"/>
      <c r="I324" s="5"/>
      <c r="J324" s="5"/>
      <c r="K324" s="14"/>
    </row>
    <row r="325" spans="2:11">
      <c r="B325" s="42">
        <v>196</v>
      </c>
      <c r="C325" s="21" t="s">
        <v>115</v>
      </c>
      <c r="D325" s="22" t="s">
        <v>432</v>
      </c>
      <c r="E325" s="5"/>
      <c r="F325" s="5"/>
      <c r="G325" s="5"/>
      <c r="H325" s="5"/>
      <c r="I325" s="5"/>
      <c r="J325" s="5"/>
      <c r="K325" s="14"/>
    </row>
    <row r="326" spans="2:11">
      <c r="B326" s="42">
        <v>151</v>
      </c>
      <c r="C326" s="21" t="s">
        <v>70</v>
      </c>
      <c r="D326" s="22" t="s">
        <v>326</v>
      </c>
      <c r="E326" s="5"/>
      <c r="F326" s="5"/>
      <c r="G326" s="5"/>
      <c r="H326" s="5"/>
      <c r="I326" s="5"/>
      <c r="J326" s="5"/>
      <c r="K326" s="14"/>
    </row>
    <row r="327" spans="2:11">
      <c r="B327" s="42">
        <v>172</v>
      </c>
      <c r="C327" s="21" t="s">
        <v>91</v>
      </c>
      <c r="D327" s="22" t="s">
        <v>434</v>
      </c>
      <c r="E327" s="5"/>
      <c r="F327" s="5"/>
      <c r="G327" s="5"/>
      <c r="H327" s="5"/>
      <c r="I327" s="5"/>
      <c r="J327" s="5"/>
      <c r="K327" s="14"/>
    </row>
    <row r="328" spans="2:11">
      <c r="B328" s="42">
        <v>171</v>
      </c>
      <c r="C328" s="21" t="s">
        <v>90</v>
      </c>
      <c r="D328" s="22" t="s">
        <v>328</v>
      </c>
      <c r="E328" s="5"/>
      <c r="F328" s="5"/>
      <c r="G328" s="5"/>
      <c r="H328" s="5"/>
      <c r="I328" s="5"/>
      <c r="J328" s="5"/>
      <c r="K328" s="14"/>
    </row>
    <row r="329" spans="2:11">
      <c r="B329" s="42">
        <v>142</v>
      </c>
      <c r="C329" s="21" t="s">
        <v>61</v>
      </c>
      <c r="D329" s="22" t="s">
        <v>329</v>
      </c>
      <c r="E329" s="5"/>
      <c r="F329" s="5"/>
      <c r="G329" s="5"/>
      <c r="H329" s="5"/>
      <c r="I329" s="5"/>
      <c r="J329" s="5"/>
      <c r="K329" s="14"/>
    </row>
    <row r="330" spans="2:11">
      <c r="B330" s="42">
        <v>152</v>
      </c>
      <c r="C330" s="21" t="s">
        <v>71</v>
      </c>
      <c r="D330" s="22" t="s">
        <v>329</v>
      </c>
      <c r="E330" s="5"/>
      <c r="F330" s="5"/>
      <c r="G330" s="5"/>
      <c r="H330" s="5"/>
      <c r="I330" s="5"/>
      <c r="J330" s="5"/>
      <c r="K330" s="14"/>
    </row>
    <row r="331" spans="2:11">
      <c r="B331" s="42">
        <v>143</v>
      </c>
      <c r="C331" s="21" t="s">
        <v>62</v>
      </c>
      <c r="D331" s="22" t="s">
        <v>329</v>
      </c>
      <c r="E331" s="5"/>
      <c r="F331" s="5"/>
      <c r="G331" s="5"/>
      <c r="H331" s="5"/>
      <c r="I331" s="5"/>
      <c r="J331" s="5"/>
      <c r="K331" s="14"/>
    </row>
    <row r="332" spans="2:11">
      <c r="B332" s="42">
        <v>153</v>
      </c>
      <c r="C332" s="21" t="s">
        <v>72</v>
      </c>
      <c r="D332" s="22" t="s">
        <v>329</v>
      </c>
      <c r="E332" s="5"/>
      <c r="F332" s="5"/>
      <c r="G332" s="5"/>
      <c r="H332" s="5"/>
      <c r="I332" s="5"/>
      <c r="J332" s="5"/>
      <c r="K332" s="14"/>
    </row>
    <row r="333" spans="2:11">
      <c r="B333" s="42">
        <v>144</v>
      </c>
      <c r="C333" s="21" t="s">
        <v>63</v>
      </c>
      <c r="D333" s="22" t="s">
        <v>329</v>
      </c>
      <c r="E333" s="5"/>
      <c r="F333" s="5"/>
      <c r="G333" s="5"/>
      <c r="H333" s="5"/>
      <c r="I333" s="5"/>
      <c r="J333" s="5"/>
      <c r="K333" s="14"/>
    </row>
    <row r="334" spans="2:11">
      <c r="B334" s="42">
        <v>154</v>
      </c>
      <c r="C334" s="21" t="s">
        <v>73</v>
      </c>
      <c r="D334" s="22" t="s">
        <v>329</v>
      </c>
      <c r="E334" s="5"/>
      <c r="F334" s="5"/>
      <c r="G334" s="5"/>
      <c r="H334" s="5"/>
      <c r="I334" s="5"/>
      <c r="J334" s="5"/>
      <c r="K334" s="14"/>
    </row>
    <row r="335" spans="2:11">
      <c r="B335" s="42">
        <v>145</v>
      </c>
      <c r="C335" s="21" t="s">
        <v>64</v>
      </c>
      <c r="D335" s="22" t="s">
        <v>329</v>
      </c>
      <c r="E335" s="5"/>
      <c r="F335" s="5"/>
      <c r="G335" s="5"/>
      <c r="H335" s="5"/>
      <c r="I335" s="5"/>
      <c r="J335" s="5"/>
      <c r="K335" s="14"/>
    </row>
    <row r="336" spans="2:11">
      <c r="B336" s="42">
        <v>155</v>
      </c>
      <c r="C336" s="21" t="s">
        <v>74</v>
      </c>
      <c r="D336" s="22" t="s">
        <v>329</v>
      </c>
      <c r="E336" s="5"/>
      <c r="F336" s="5"/>
      <c r="G336" s="5"/>
      <c r="H336" s="5"/>
      <c r="I336" s="5"/>
      <c r="J336" s="5"/>
      <c r="K336" s="14"/>
    </row>
    <row r="337" spans="2:48">
      <c r="B337" s="42">
        <v>165</v>
      </c>
      <c r="C337" s="21" t="s">
        <v>84</v>
      </c>
      <c r="D337" s="22" t="s">
        <v>329</v>
      </c>
      <c r="E337" s="5"/>
      <c r="F337" s="5"/>
      <c r="G337" s="5"/>
      <c r="H337" s="5"/>
      <c r="I337" s="5"/>
      <c r="J337" s="5"/>
      <c r="K337" s="14"/>
    </row>
    <row r="338" spans="2:48">
      <c r="B338" s="42">
        <v>146</v>
      </c>
      <c r="C338" s="21" t="s">
        <v>65</v>
      </c>
      <c r="D338" s="22" t="s">
        <v>329</v>
      </c>
      <c r="E338" s="5"/>
      <c r="F338" s="5"/>
      <c r="G338" s="5"/>
      <c r="H338" s="5"/>
      <c r="I338" s="5"/>
      <c r="J338" s="5"/>
      <c r="K338" s="14"/>
    </row>
    <row r="339" spans="2:48">
      <c r="B339" s="42">
        <v>156</v>
      </c>
      <c r="C339" s="21" t="s">
        <v>75</v>
      </c>
      <c r="D339" s="22" t="s">
        <v>329</v>
      </c>
      <c r="E339" s="5"/>
      <c r="F339" s="5"/>
      <c r="G339" s="5"/>
      <c r="H339" s="5"/>
      <c r="I339" s="5"/>
      <c r="J339" s="5"/>
      <c r="K339" s="14"/>
    </row>
    <row r="340" spans="2:48">
      <c r="B340" s="42">
        <v>166</v>
      </c>
      <c r="C340" s="21" t="s">
        <v>85</v>
      </c>
      <c r="D340" s="22" t="s">
        <v>329</v>
      </c>
      <c r="E340" s="5"/>
      <c r="F340" s="5"/>
      <c r="G340" s="5"/>
      <c r="H340" s="5"/>
      <c r="I340" s="5"/>
      <c r="J340" s="5"/>
      <c r="K340" s="14"/>
    </row>
    <row r="341" spans="2:48">
      <c r="B341" s="42">
        <v>212</v>
      </c>
      <c r="C341" s="21" t="s">
        <v>131</v>
      </c>
      <c r="D341" s="22" t="s">
        <v>436</v>
      </c>
      <c r="E341" s="5"/>
      <c r="F341" s="5"/>
      <c r="G341" s="5"/>
      <c r="H341" s="5"/>
      <c r="I341" s="5"/>
      <c r="J341" s="5"/>
      <c r="K341" s="14"/>
    </row>
    <row r="342" spans="2:48">
      <c r="B342" s="42">
        <v>202</v>
      </c>
      <c r="C342" s="21" t="s">
        <v>121</v>
      </c>
      <c r="D342" s="327" t="s">
        <v>435</v>
      </c>
      <c r="E342" s="323" t="s">
        <v>870</v>
      </c>
      <c r="F342" s="323"/>
      <c r="G342" s="387" t="s">
        <v>147</v>
      </c>
      <c r="H342" s="5"/>
      <c r="I342" s="5"/>
      <c r="J342" s="5"/>
      <c r="K342" s="14"/>
    </row>
    <row r="343" spans="2:48">
      <c r="B343" s="42">
        <v>174</v>
      </c>
      <c r="C343" s="21" t="s">
        <v>93</v>
      </c>
      <c r="D343" s="327" t="s">
        <v>459</v>
      </c>
      <c r="E343" s="323" t="s">
        <v>870</v>
      </c>
      <c r="F343" s="212"/>
      <c r="G343" s="323" t="s">
        <v>247</v>
      </c>
      <c r="H343" s="5"/>
      <c r="I343" s="5"/>
      <c r="J343" s="5"/>
      <c r="K343" s="14"/>
    </row>
    <row r="344" spans="2:48">
      <c r="B344" s="42">
        <v>173</v>
      </c>
      <c r="C344" s="21" t="s">
        <v>92</v>
      </c>
      <c r="D344" s="327" t="s">
        <v>449</v>
      </c>
      <c r="E344" s="323" t="s">
        <v>870</v>
      </c>
      <c r="F344" s="212"/>
      <c r="G344" s="323" t="s">
        <v>257</v>
      </c>
      <c r="H344" s="5"/>
      <c r="I344" s="5"/>
      <c r="J344" s="5"/>
      <c r="K344" s="14"/>
    </row>
    <row r="345" spans="2:48">
      <c r="B345" s="42">
        <v>135</v>
      </c>
      <c r="C345" s="21" t="s">
        <v>54</v>
      </c>
      <c r="D345" s="327" t="s">
        <v>457</v>
      </c>
      <c r="E345" s="323" t="s">
        <v>870</v>
      </c>
      <c r="F345" s="323"/>
      <c r="G345" s="5" t="s">
        <v>317</v>
      </c>
      <c r="H345" s="5"/>
      <c r="I345" s="5"/>
      <c r="J345" s="5"/>
      <c r="K345" s="14"/>
    </row>
    <row r="346" spans="2:48">
      <c r="B346" s="42">
        <v>134</v>
      </c>
      <c r="C346" s="21" t="s">
        <v>53</v>
      </c>
      <c r="D346" s="327" t="s">
        <v>466</v>
      </c>
      <c r="E346" s="323" t="s">
        <v>870</v>
      </c>
      <c r="F346" s="323"/>
      <c r="G346" s="387" t="s">
        <v>1033</v>
      </c>
      <c r="H346" s="5"/>
      <c r="I346" s="5"/>
      <c r="J346" s="5"/>
      <c r="K346" s="14"/>
    </row>
    <row r="347" spans="2:48">
      <c r="B347" s="260">
        <v>332</v>
      </c>
      <c r="C347" s="261" t="s">
        <v>251</v>
      </c>
      <c r="D347" s="262" t="s">
        <v>549</v>
      </c>
      <c r="E347" s="325" t="s">
        <v>870</v>
      </c>
      <c r="F347" s="325"/>
      <c r="G347" s="386" t="s">
        <v>121</v>
      </c>
      <c r="H347" s="340" t="s">
        <v>930</v>
      </c>
      <c r="I347" s="212"/>
      <c r="J347" s="212"/>
      <c r="K347" s="263"/>
      <c r="AQ347"/>
      <c r="AR347"/>
      <c r="AS347"/>
      <c r="AT347"/>
      <c r="AU347"/>
      <c r="AV347"/>
    </row>
    <row r="348" spans="2:48">
      <c r="B348" s="260">
        <v>331</v>
      </c>
      <c r="C348" s="261" t="s">
        <v>250</v>
      </c>
      <c r="D348" s="262" t="s">
        <v>529</v>
      </c>
      <c r="E348" s="325" t="s">
        <v>870</v>
      </c>
      <c r="F348" s="325"/>
      <c r="G348" s="386" t="s">
        <v>131</v>
      </c>
      <c r="H348" s="343" t="s">
        <v>930</v>
      </c>
      <c r="I348" s="212"/>
      <c r="J348" s="212"/>
      <c r="K348" s="263"/>
      <c r="AQ348"/>
      <c r="AR348"/>
      <c r="AS348"/>
      <c r="AT348"/>
      <c r="AU348"/>
      <c r="AV348"/>
    </row>
    <row r="349" spans="2:48">
      <c r="B349" s="260">
        <v>322</v>
      </c>
      <c r="C349" s="261" t="s">
        <v>241</v>
      </c>
      <c r="D349" s="262" t="s">
        <v>548</v>
      </c>
      <c r="E349" s="325" t="s">
        <v>870</v>
      </c>
      <c r="F349" s="325"/>
      <c r="G349" s="386" t="s">
        <v>140</v>
      </c>
      <c r="H349" s="343" t="s">
        <v>930</v>
      </c>
      <c r="I349" s="212"/>
      <c r="J349" s="212"/>
      <c r="K349" s="263"/>
      <c r="AQ349"/>
      <c r="AR349"/>
      <c r="AS349"/>
      <c r="AT349"/>
      <c r="AU349"/>
      <c r="AV349"/>
    </row>
    <row r="350" spans="2:48">
      <c r="B350" s="260">
        <v>321</v>
      </c>
      <c r="C350" s="261" t="s">
        <v>240</v>
      </c>
      <c r="D350" s="262" t="s">
        <v>528</v>
      </c>
      <c r="E350" s="325" t="s">
        <v>870</v>
      </c>
      <c r="F350" s="325"/>
      <c r="G350" s="386" t="s">
        <v>150</v>
      </c>
      <c r="H350" s="343" t="s">
        <v>930</v>
      </c>
      <c r="I350" s="212"/>
      <c r="J350" s="212"/>
      <c r="K350" s="263"/>
      <c r="AQ350"/>
      <c r="AR350"/>
      <c r="AS350"/>
      <c r="AT350"/>
      <c r="AU350"/>
      <c r="AV350"/>
    </row>
    <row r="351" spans="2:48">
      <c r="B351" s="260">
        <v>312</v>
      </c>
      <c r="C351" s="261" t="s">
        <v>231</v>
      </c>
      <c r="D351" s="262" t="s">
        <v>547</v>
      </c>
      <c r="E351" s="325" t="s">
        <v>870</v>
      </c>
      <c r="F351" s="325"/>
      <c r="G351" s="386" t="s">
        <v>100</v>
      </c>
      <c r="H351" s="343" t="s">
        <v>930</v>
      </c>
      <c r="I351" s="212"/>
      <c r="J351" s="212"/>
      <c r="K351" s="263"/>
      <c r="AQ351"/>
      <c r="AR351"/>
      <c r="AS351"/>
      <c r="AT351"/>
      <c r="AU351"/>
      <c r="AV351"/>
    </row>
    <row r="352" spans="2:48">
      <c r="B352" s="260">
        <v>311</v>
      </c>
      <c r="C352" s="261" t="s">
        <v>230</v>
      </c>
      <c r="D352" s="262" t="s">
        <v>527</v>
      </c>
      <c r="E352" s="325" t="s">
        <v>870</v>
      </c>
      <c r="F352" s="325"/>
      <c r="G352" s="386" t="s">
        <v>110</v>
      </c>
      <c r="H352" s="343" t="s">
        <v>930</v>
      </c>
      <c r="I352" s="212"/>
      <c r="J352" s="212"/>
      <c r="K352" s="263"/>
      <c r="AQ352"/>
      <c r="AR352"/>
      <c r="AS352"/>
      <c r="AT352"/>
      <c r="AU352"/>
      <c r="AV352"/>
    </row>
    <row r="353" spans="2:48">
      <c r="B353" s="260">
        <v>313</v>
      </c>
      <c r="C353" s="261" t="s">
        <v>232</v>
      </c>
      <c r="D353" s="262" t="s">
        <v>572</v>
      </c>
      <c r="E353" s="325" t="s">
        <v>870</v>
      </c>
      <c r="F353" s="325"/>
      <c r="G353" s="386" t="s">
        <v>142</v>
      </c>
      <c r="H353" s="343" t="s">
        <v>930</v>
      </c>
      <c r="I353" s="212"/>
      <c r="J353" s="212"/>
      <c r="K353" s="263"/>
      <c r="AQ353"/>
      <c r="AR353"/>
      <c r="AS353"/>
      <c r="AT353"/>
      <c r="AU353"/>
      <c r="AV353"/>
    </row>
    <row r="354" spans="2:48">
      <c r="B354" s="260">
        <v>323</v>
      </c>
      <c r="C354" s="261" t="s">
        <v>242</v>
      </c>
      <c r="D354" s="262" t="s">
        <v>573</v>
      </c>
      <c r="E354" s="325" t="s">
        <v>870</v>
      </c>
      <c r="F354" s="325"/>
      <c r="G354" s="386" t="s">
        <v>152</v>
      </c>
      <c r="H354" s="343" t="s">
        <v>930</v>
      </c>
      <c r="I354" s="212"/>
      <c r="J354" s="212"/>
      <c r="K354" s="263"/>
      <c r="AQ354"/>
      <c r="AR354"/>
      <c r="AS354"/>
      <c r="AT354"/>
      <c r="AU354"/>
      <c r="AV354"/>
    </row>
    <row r="355" spans="2:48">
      <c r="B355" s="260">
        <v>303</v>
      </c>
      <c r="C355" s="261" t="s">
        <v>222</v>
      </c>
      <c r="D355" s="262" t="s">
        <v>571</v>
      </c>
      <c r="E355" s="325" t="s">
        <v>870</v>
      </c>
      <c r="F355" s="325"/>
      <c r="G355" s="386" t="s">
        <v>102</v>
      </c>
      <c r="H355" s="343" t="s">
        <v>930</v>
      </c>
      <c r="I355" s="212"/>
      <c r="J355" s="212"/>
      <c r="K355" s="263"/>
      <c r="AQ355"/>
      <c r="AR355"/>
      <c r="AS355"/>
      <c r="AT355"/>
      <c r="AU355"/>
      <c r="AV355"/>
    </row>
    <row r="356" spans="2:48">
      <c r="B356" s="260">
        <v>293</v>
      </c>
      <c r="C356" s="261" t="s">
        <v>212</v>
      </c>
      <c r="D356" s="262" t="s">
        <v>570</v>
      </c>
      <c r="E356" s="325" t="s">
        <v>870</v>
      </c>
      <c r="F356" s="325"/>
      <c r="G356" s="386" t="s">
        <v>112</v>
      </c>
      <c r="H356" s="343" t="s">
        <v>930</v>
      </c>
      <c r="I356" s="212"/>
      <c r="J356" s="212"/>
      <c r="K356" s="263"/>
      <c r="AQ356"/>
      <c r="AR356"/>
      <c r="AS356"/>
      <c r="AT356"/>
      <c r="AU356"/>
      <c r="AV356"/>
    </row>
    <row r="357" spans="2:48">
      <c r="B357" s="260">
        <v>324</v>
      </c>
      <c r="C357" s="261" t="s">
        <v>243</v>
      </c>
      <c r="D357" s="262" t="s">
        <v>594</v>
      </c>
      <c r="E357" s="325" t="s">
        <v>870</v>
      </c>
      <c r="F357" s="325"/>
      <c r="G357" s="386" t="s">
        <v>161</v>
      </c>
      <c r="H357" s="343" t="s">
        <v>930</v>
      </c>
      <c r="I357" s="212"/>
      <c r="J357" s="212"/>
      <c r="K357" s="263"/>
      <c r="AQ357"/>
      <c r="AR357"/>
      <c r="AS357"/>
      <c r="AT357"/>
      <c r="AU357"/>
      <c r="AV357"/>
    </row>
    <row r="358" spans="2:48">
      <c r="B358" s="260">
        <v>314</v>
      </c>
      <c r="C358" s="261" t="s">
        <v>233</v>
      </c>
      <c r="D358" s="262" t="s">
        <v>593</v>
      </c>
      <c r="E358" s="325" t="s">
        <v>870</v>
      </c>
      <c r="F358" s="325"/>
      <c r="G358" s="386" t="s">
        <v>171</v>
      </c>
      <c r="H358" s="343" t="s">
        <v>930</v>
      </c>
      <c r="I358" s="212"/>
      <c r="J358" s="212"/>
      <c r="K358" s="263"/>
      <c r="AQ358"/>
      <c r="AR358"/>
      <c r="AS358"/>
      <c r="AT358"/>
      <c r="AU358"/>
      <c r="AV358"/>
    </row>
    <row r="359" spans="2:48">
      <c r="B359" s="260">
        <v>244</v>
      </c>
      <c r="C359" s="261" t="s">
        <v>163</v>
      </c>
      <c r="D359" s="262" t="s">
        <v>592</v>
      </c>
      <c r="E359" s="325" t="s">
        <v>870</v>
      </c>
      <c r="F359" s="325"/>
      <c r="G359" s="386" t="s">
        <v>104</v>
      </c>
      <c r="H359" s="343" t="s">
        <v>930</v>
      </c>
      <c r="I359" s="212"/>
      <c r="J359" s="212"/>
      <c r="K359" s="263"/>
      <c r="AQ359"/>
      <c r="AR359"/>
      <c r="AS359"/>
      <c r="AT359"/>
      <c r="AU359"/>
      <c r="AV359"/>
    </row>
    <row r="360" spans="2:48">
      <c r="B360" s="260">
        <v>245</v>
      </c>
      <c r="C360" s="261" t="s">
        <v>164</v>
      </c>
      <c r="D360" s="262" t="s">
        <v>607</v>
      </c>
      <c r="E360" s="325" t="s">
        <v>870</v>
      </c>
      <c r="F360" s="325"/>
      <c r="G360" s="386" t="s">
        <v>114</v>
      </c>
      <c r="H360" s="343" t="s">
        <v>930</v>
      </c>
      <c r="I360" s="212"/>
      <c r="J360" s="212"/>
      <c r="K360" s="263"/>
      <c r="AQ360"/>
      <c r="AR360"/>
      <c r="AS360"/>
      <c r="AT360"/>
      <c r="AU360"/>
      <c r="AV360"/>
    </row>
    <row r="361" spans="2:48">
      <c r="B361" s="260">
        <v>234</v>
      </c>
      <c r="C361" s="261" t="s">
        <v>153</v>
      </c>
      <c r="D361" s="262" t="s">
        <v>591</v>
      </c>
      <c r="E361" s="325" t="s">
        <v>870</v>
      </c>
      <c r="F361" s="325"/>
      <c r="G361" s="386" t="s">
        <v>163</v>
      </c>
      <c r="H361" s="343" t="s">
        <v>930</v>
      </c>
      <c r="I361" s="212"/>
      <c r="J361" s="212"/>
      <c r="K361" s="263"/>
      <c r="AQ361"/>
      <c r="AR361"/>
      <c r="AS361"/>
      <c r="AT361"/>
      <c r="AU361"/>
      <c r="AV361"/>
    </row>
    <row r="362" spans="2:48">
      <c r="B362" s="260">
        <v>235</v>
      </c>
      <c r="C362" s="261" t="s">
        <v>154</v>
      </c>
      <c r="D362" s="262" t="s">
        <v>606</v>
      </c>
      <c r="E362" s="325" t="s">
        <v>870</v>
      </c>
      <c r="F362" s="325"/>
      <c r="G362" s="386" t="s">
        <v>173</v>
      </c>
      <c r="H362" s="343" t="s">
        <v>930</v>
      </c>
      <c r="I362" s="212"/>
      <c r="J362" s="212"/>
      <c r="K362" s="263"/>
      <c r="AQ362"/>
      <c r="AR362"/>
      <c r="AS362"/>
      <c r="AT362"/>
      <c r="AU362"/>
      <c r="AV362"/>
    </row>
    <row r="363" spans="2:48">
      <c r="B363" s="260">
        <v>224</v>
      </c>
      <c r="C363" s="261" t="s">
        <v>143</v>
      </c>
      <c r="D363" s="262" t="s">
        <v>590</v>
      </c>
      <c r="E363" s="325" t="s">
        <v>870</v>
      </c>
      <c r="F363" s="325"/>
      <c r="G363" s="386" t="s">
        <v>123</v>
      </c>
      <c r="H363" s="343" t="s">
        <v>930</v>
      </c>
      <c r="I363" s="212"/>
      <c r="J363" s="212"/>
      <c r="K363" s="263"/>
      <c r="AQ363"/>
      <c r="AR363"/>
      <c r="AS363"/>
      <c r="AT363"/>
      <c r="AU363"/>
      <c r="AV363"/>
    </row>
    <row r="364" spans="2:48">
      <c r="B364" s="260">
        <v>225</v>
      </c>
      <c r="C364" s="261" t="s">
        <v>144</v>
      </c>
      <c r="D364" s="262" t="s">
        <v>605</v>
      </c>
      <c r="E364" s="325" t="s">
        <v>870</v>
      </c>
      <c r="F364" s="325"/>
      <c r="G364" s="386" t="s">
        <v>133</v>
      </c>
      <c r="H364" s="343" t="s">
        <v>930</v>
      </c>
      <c r="I364" s="212"/>
      <c r="J364" s="212"/>
      <c r="K364" s="263"/>
      <c r="AQ364"/>
      <c r="AR364"/>
      <c r="AS364"/>
      <c r="AT364"/>
      <c r="AU364"/>
      <c r="AV364"/>
    </row>
    <row r="365" spans="2:48">
      <c r="B365" s="260">
        <v>252</v>
      </c>
      <c r="C365" s="261" t="s">
        <v>171</v>
      </c>
      <c r="D365" s="262" t="s">
        <v>546</v>
      </c>
      <c r="E365" s="325" t="s">
        <v>870</v>
      </c>
      <c r="F365" s="325"/>
      <c r="G365" s="386" t="s">
        <v>165</v>
      </c>
      <c r="H365" s="343" t="s">
        <v>930</v>
      </c>
      <c r="I365" s="212"/>
      <c r="J365" s="212"/>
      <c r="K365" s="263"/>
      <c r="AQ365"/>
      <c r="AR365"/>
      <c r="AS365"/>
      <c r="AT365"/>
      <c r="AU365"/>
      <c r="AV365"/>
    </row>
    <row r="366" spans="2:48">
      <c r="B366" s="260">
        <v>253</v>
      </c>
      <c r="C366" s="261" t="s">
        <v>172</v>
      </c>
      <c r="D366" s="262" t="s">
        <v>569</v>
      </c>
      <c r="E366" s="325" t="s">
        <v>870</v>
      </c>
      <c r="F366" s="325"/>
      <c r="G366" s="386" t="s">
        <v>175</v>
      </c>
      <c r="H366" s="343" t="s">
        <v>930</v>
      </c>
      <c r="I366" s="212"/>
      <c r="J366" s="212"/>
      <c r="K366" s="263"/>
      <c r="AQ366"/>
      <c r="AR366"/>
      <c r="AS366"/>
      <c r="AT366"/>
      <c r="AU366"/>
      <c r="AV366"/>
    </row>
    <row r="367" spans="2:48">
      <c r="B367" s="260">
        <v>242</v>
      </c>
      <c r="C367" s="261" t="s">
        <v>161</v>
      </c>
      <c r="D367" s="262" t="s">
        <v>545</v>
      </c>
      <c r="E367" s="325" t="s">
        <v>870</v>
      </c>
      <c r="F367" s="325"/>
      <c r="G367" s="386" t="s">
        <v>125</v>
      </c>
      <c r="H367" s="343" t="s">
        <v>930</v>
      </c>
      <c r="I367" s="212"/>
      <c r="J367" s="212"/>
      <c r="K367" s="263"/>
      <c r="AQ367"/>
      <c r="AR367"/>
      <c r="AS367"/>
      <c r="AT367"/>
      <c r="AU367"/>
      <c r="AV367"/>
    </row>
    <row r="368" spans="2:48">
      <c r="B368" s="260">
        <v>243</v>
      </c>
      <c r="C368" s="261" t="s">
        <v>162</v>
      </c>
      <c r="D368" s="262" t="s">
        <v>568</v>
      </c>
      <c r="E368" s="325" t="s">
        <v>870</v>
      </c>
      <c r="F368" s="325"/>
      <c r="G368" s="386" t="s">
        <v>135</v>
      </c>
      <c r="H368" s="343" t="s">
        <v>930</v>
      </c>
      <c r="I368" s="212"/>
      <c r="J368" s="212"/>
      <c r="K368" s="263"/>
      <c r="AQ368"/>
      <c r="AR368"/>
      <c r="AS368"/>
      <c r="AT368"/>
      <c r="AU368"/>
      <c r="AV368"/>
    </row>
    <row r="369" spans="2:48">
      <c r="B369" s="260">
        <v>222</v>
      </c>
      <c r="C369" s="261" t="s">
        <v>141</v>
      </c>
      <c r="D369" s="262" t="s">
        <v>544</v>
      </c>
      <c r="E369" s="325" t="s">
        <v>870</v>
      </c>
      <c r="F369" s="325"/>
      <c r="G369" s="386" t="s">
        <v>144</v>
      </c>
      <c r="H369" s="343" t="s">
        <v>930</v>
      </c>
      <c r="I369" s="212"/>
      <c r="J369" s="212"/>
      <c r="K369" s="263"/>
      <c r="AQ369"/>
      <c r="AR369"/>
      <c r="AS369"/>
      <c r="AT369"/>
      <c r="AU369"/>
      <c r="AV369"/>
    </row>
    <row r="370" spans="2:48">
      <c r="B370" s="260">
        <v>223</v>
      </c>
      <c r="C370" s="261" t="s">
        <v>142</v>
      </c>
      <c r="D370" s="262" t="s">
        <v>567</v>
      </c>
      <c r="E370" s="325" t="s">
        <v>870</v>
      </c>
      <c r="F370" s="325"/>
      <c r="G370" s="386" t="s">
        <v>154</v>
      </c>
      <c r="H370" s="343" t="s">
        <v>930</v>
      </c>
      <c r="I370" s="212"/>
      <c r="J370" s="212"/>
      <c r="K370" s="263"/>
      <c r="AQ370"/>
      <c r="AR370"/>
      <c r="AS370"/>
      <c r="AT370"/>
      <c r="AU370"/>
      <c r="AV370"/>
    </row>
    <row r="371" spans="2:48">
      <c r="B371" s="260">
        <v>254</v>
      </c>
      <c r="C371" s="261" t="s">
        <v>173</v>
      </c>
      <c r="D371" s="262" t="s">
        <v>460</v>
      </c>
      <c r="E371" s="325" t="s">
        <v>870</v>
      </c>
      <c r="F371" s="212"/>
      <c r="G371" s="325" t="s">
        <v>306</v>
      </c>
      <c r="H371" s="212"/>
      <c r="I371" s="212"/>
      <c r="J371" s="212"/>
      <c r="K371" s="263"/>
    </row>
    <row r="372" spans="2:48">
      <c r="B372" s="260">
        <v>255</v>
      </c>
      <c r="C372" s="261" t="s">
        <v>174</v>
      </c>
      <c r="D372" s="262" t="s">
        <v>467</v>
      </c>
      <c r="E372" s="325" t="s">
        <v>870</v>
      </c>
      <c r="F372" s="212"/>
      <c r="G372" s="325" t="s">
        <v>316</v>
      </c>
      <c r="H372" s="212"/>
      <c r="I372" s="212"/>
      <c r="J372" s="212"/>
      <c r="K372" s="263"/>
    </row>
    <row r="373" spans="2:48">
      <c r="B373" s="260">
        <v>275</v>
      </c>
      <c r="C373" s="261" t="s">
        <v>194</v>
      </c>
      <c r="D373" s="262" t="s">
        <v>468</v>
      </c>
      <c r="E373" s="212"/>
      <c r="F373" s="212"/>
      <c r="G373" s="212"/>
      <c r="H373" s="212"/>
      <c r="I373" s="212"/>
      <c r="J373" s="212"/>
      <c r="K373" s="263"/>
    </row>
    <row r="374" spans="2:48">
      <c r="B374" s="260">
        <v>274</v>
      </c>
      <c r="C374" s="261" t="s">
        <v>193</v>
      </c>
      <c r="D374" s="262" t="s">
        <v>461</v>
      </c>
      <c r="E374" s="325" t="s">
        <v>870</v>
      </c>
      <c r="F374" s="325"/>
      <c r="G374" s="325" t="s">
        <v>47</v>
      </c>
      <c r="H374" s="212"/>
      <c r="I374" s="212"/>
      <c r="J374" s="212"/>
      <c r="K374" s="263"/>
    </row>
    <row r="375" spans="2:48">
      <c r="B375" s="260">
        <v>272</v>
      </c>
      <c r="C375" s="261" t="s">
        <v>191</v>
      </c>
      <c r="D375" s="262" t="s">
        <v>438</v>
      </c>
      <c r="E375" s="212"/>
      <c r="F375" s="212"/>
      <c r="G375" s="212"/>
      <c r="H375" s="212"/>
      <c r="I375" s="212"/>
      <c r="J375" s="212"/>
      <c r="K375" s="263"/>
    </row>
    <row r="376" spans="2:48">
      <c r="B376" s="260">
        <v>273</v>
      </c>
      <c r="C376" s="261" t="s">
        <v>192</v>
      </c>
      <c r="D376" s="262" t="s">
        <v>451</v>
      </c>
      <c r="E376" s="325" t="s">
        <v>870</v>
      </c>
      <c r="F376" s="325"/>
      <c r="G376" s="325" t="s">
        <v>57</v>
      </c>
      <c r="H376" s="212"/>
      <c r="I376" s="212"/>
      <c r="J376" s="212"/>
      <c r="K376" s="263"/>
    </row>
    <row r="377" spans="2:48">
      <c r="B377" s="260">
        <v>291</v>
      </c>
      <c r="C377" s="261" t="s">
        <v>210</v>
      </c>
      <c r="D377" s="262" t="s">
        <v>330</v>
      </c>
      <c r="E377" s="212"/>
      <c r="F377" s="212"/>
      <c r="G377" s="212"/>
      <c r="H377" s="212"/>
      <c r="I377" s="212"/>
      <c r="J377" s="212"/>
      <c r="K377" s="263"/>
    </row>
    <row r="378" spans="2:48">
      <c r="B378" s="260">
        <v>292</v>
      </c>
      <c r="C378" s="261" t="s">
        <v>211</v>
      </c>
      <c r="D378" s="262" t="s">
        <v>330</v>
      </c>
      <c r="E378" s="212"/>
      <c r="F378" s="212"/>
      <c r="G378" s="212"/>
      <c r="H378" s="212"/>
      <c r="I378" s="212"/>
      <c r="J378" s="212"/>
      <c r="K378" s="263"/>
    </row>
    <row r="379" spans="2:48">
      <c r="B379" s="260">
        <v>295</v>
      </c>
      <c r="C379" s="261" t="s">
        <v>214</v>
      </c>
      <c r="D379" s="262" t="s">
        <v>330</v>
      </c>
      <c r="E379" s="212"/>
      <c r="F379" s="212"/>
      <c r="G379" s="212"/>
      <c r="H379" s="212"/>
      <c r="I379" s="212"/>
      <c r="J379" s="212"/>
      <c r="K379" s="263"/>
    </row>
    <row r="380" spans="2:48">
      <c r="B380" s="260">
        <v>305</v>
      </c>
      <c r="C380" s="261" t="s">
        <v>224</v>
      </c>
      <c r="D380" s="262" t="s">
        <v>330</v>
      </c>
      <c r="E380" s="212"/>
      <c r="F380" s="212"/>
      <c r="G380" s="212"/>
      <c r="H380" s="212"/>
      <c r="I380" s="212"/>
      <c r="J380" s="212"/>
      <c r="K380" s="263"/>
    </row>
    <row r="381" spans="2:48">
      <c r="B381" s="260">
        <v>315</v>
      </c>
      <c r="C381" s="261" t="s">
        <v>234</v>
      </c>
      <c r="D381" s="262" t="s">
        <v>330</v>
      </c>
      <c r="E381" s="212"/>
      <c r="F381" s="212"/>
      <c r="G381" s="212"/>
      <c r="H381" s="212"/>
      <c r="I381" s="212"/>
      <c r="J381" s="212"/>
      <c r="K381" s="263"/>
    </row>
    <row r="382" spans="2:48">
      <c r="B382" s="260">
        <v>325</v>
      </c>
      <c r="C382" s="261" t="s">
        <v>244</v>
      </c>
      <c r="D382" s="262" t="s">
        <v>330</v>
      </c>
      <c r="E382" s="212"/>
      <c r="F382" s="212"/>
      <c r="G382" s="212"/>
      <c r="H382" s="212"/>
      <c r="I382" s="212"/>
      <c r="J382" s="212"/>
      <c r="K382" s="263"/>
    </row>
    <row r="383" spans="2:48">
      <c r="B383" s="260">
        <v>261</v>
      </c>
      <c r="C383" s="261" t="s">
        <v>180</v>
      </c>
      <c r="D383" s="262" t="s">
        <v>331</v>
      </c>
      <c r="E383" s="212"/>
      <c r="F383" s="212"/>
      <c r="G383" s="212"/>
      <c r="H383" s="212"/>
      <c r="I383" s="212"/>
      <c r="J383" s="212"/>
      <c r="K383" s="263"/>
    </row>
    <row r="384" spans="2:48">
      <c r="B384" s="260">
        <v>281</v>
      </c>
      <c r="C384" s="261" t="s">
        <v>200</v>
      </c>
      <c r="D384" s="262" t="s">
        <v>333</v>
      </c>
      <c r="E384" s="212"/>
      <c r="F384" s="212"/>
      <c r="G384" s="212"/>
      <c r="H384" s="212"/>
      <c r="I384" s="212"/>
      <c r="J384" s="212"/>
      <c r="K384" s="263"/>
    </row>
    <row r="385" spans="2:11">
      <c r="B385" s="260">
        <v>271</v>
      </c>
      <c r="C385" s="261" t="s">
        <v>190</v>
      </c>
      <c r="D385" s="262" t="s">
        <v>332</v>
      </c>
      <c r="E385" s="212"/>
      <c r="F385" s="212"/>
      <c r="G385" s="212"/>
      <c r="H385" s="212"/>
      <c r="I385" s="212"/>
      <c r="J385" s="212"/>
      <c r="K385" s="263"/>
    </row>
    <row r="386" spans="2:11">
      <c r="B386" s="260">
        <v>221</v>
      </c>
      <c r="C386" s="261" t="s">
        <v>140</v>
      </c>
      <c r="D386" s="262" t="s">
        <v>334</v>
      </c>
      <c r="E386" s="212"/>
      <c r="F386" s="212"/>
      <c r="G386" s="212"/>
      <c r="H386" s="212"/>
      <c r="I386" s="212"/>
      <c r="J386" s="212"/>
      <c r="K386" s="263"/>
    </row>
    <row r="387" spans="2:11">
      <c r="B387" s="260">
        <v>231</v>
      </c>
      <c r="C387" s="261" t="s">
        <v>150</v>
      </c>
      <c r="D387" s="262" t="s">
        <v>334</v>
      </c>
      <c r="E387" s="212"/>
      <c r="F387" s="212"/>
      <c r="G387" s="212"/>
      <c r="H387" s="212"/>
      <c r="I387" s="212"/>
      <c r="J387" s="212"/>
      <c r="K387" s="263"/>
    </row>
    <row r="388" spans="2:11">
      <c r="B388" s="260">
        <v>241</v>
      </c>
      <c r="C388" s="261" t="s">
        <v>160</v>
      </c>
      <c r="D388" s="262" t="s">
        <v>334</v>
      </c>
      <c r="E388" s="212"/>
      <c r="F388" s="212"/>
      <c r="G388" s="212"/>
      <c r="H388" s="212"/>
      <c r="I388" s="212"/>
      <c r="J388" s="212"/>
      <c r="K388" s="263"/>
    </row>
    <row r="389" spans="2:11">
      <c r="B389" s="260">
        <v>251</v>
      </c>
      <c r="C389" s="261" t="s">
        <v>170</v>
      </c>
      <c r="D389" s="262" t="s">
        <v>334</v>
      </c>
      <c r="E389" s="212"/>
      <c r="F389" s="212"/>
      <c r="G389" s="212"/>
      <c r="H389" s="212"/>
      <c r="I389" s="212"/>
      <c r="J389" s="212"/>
      <c r="K389" s="263"/>
    </row>
    <row r="390" spans="2:11">
      <c r="B390" s="260">
        <v>262</v>
      </c>
      <c r="C390" s="261" t="s">
        <v>181</v>
      </c>
      <c r="D390" s="262" t="s">
        <v>334</v>
      </c>
      <c r="E390" s="212"/>
      <c r="F390" s="212"/>
      <c r="G390" s="212"/>
      <c r="H390" s="212"/>
      <c r="I390" s="212"/>
      <c r="J390" s="212"/>
      <c r="K390" s="263"/>
    </row>
    <row r="391" spans="2:11">
      <c r="B391" s="260">
        <v>263</v>
      </c>
      <c r="C391" s="261" t="s">
        <v>182</v>
      </c>
      <c r="D391" s="262" t="s">
        <v>334</v>
      </c>
      <c r="E391" s="212"/>
      <c r="F391" s="212"/>
      <c r="G391" s="212"/>
      <c r="H391" s="212"/>
      <c r="I391" s="212"/>
      <c r="J391" s="212"/>
      <c r="K391" s="263"/>
    </row>
    <row r="392" spans="2:11">
      <c r="B392" s="260">
        <v>264</v>
      </c>
      <c r="C392" s="261" t="s">
        <v>183</v>
      </c>
      <c r="D392" s="262" t="s">
        <v>334</v>
      </c>
      <c r="E392" s="212"/>
      <c r="F392" s="212"/>
      <c r="G392" s="212"/>
      <c r="H392" s="212"/>
      <c r="I392" s="212"/>
      <c r="J392" s="212"/>
      <c r="K392" s="263"/>
    </row>
    <row r="393" spans="2:11">
      <c r="B393" s="260">
        <v>265</v>
      </c>
      <c r="C393" s="261" t="s">
        <v>184</v>
      </c>
      <c r="D393" s="262" t="s">
        <v>334</v>
      </c>
      <c r="E393" s="212"/>
      <c r="F393" s="212"/>
      <c r="G393" s="212"/>
      <c r="H393" s="212"/>
      <c r="I393" s="212"/>
      <c r="J393" s="212"/>
      <c r="K393" s="263"/>
    </row>
    <row r="394" spans="2:11">
      <c r="B394" s="260">
        <v>302</v>
      </c>
      <c r="C394" s="261" t="s">
        <v>221</v>
      </c>
      <c r="D394" s="262" t="s">
        <v>439</v>
      </c>
      <c r="E394" s="212"/>
      <c r="F394" s="212"/>
      <c r="G394" s="212"/>
      <c r="H394" s="212"/>
      <c r="I394" s="212"/>
      <c r="J394" s="212"/>
      <c r="K394" s="263"/>
    </row>
    <row r="395" spans="2:11">
      <c r="B395" s="260">
        <v>301</v>
      </c>
      <c r="C395" s="261" t="s">
        <v>220</v>
      </c>
      <c r="D395" s="326" t="s">
        <v>335</v>
      </c>
      <c r="E395" s="325" t="s">
        <v>870</v>
      </c>
      <c r="F395" s="325"/>
      <c r="G395" s="325" t="s">
        <v>187</v>
      </c>
      <c r="H395" s="212"/>
      <c r="I395" s="212"/>
      <c r="J395" s="212"/>
      <c r="K395" s="263"/>
    </row>
    <row r="396" spans="2:11">
      <c r="B396" s="260">
        <v>304</v>
      </c>
      <c r="C396" s="261" t="s">
        <v>223</v>
      </c>
      <c r="D396" s="326" t="s">
        <v>463</v>
      </c>
      <c r="E396" s="325" t="s">
        <v>870</v>
      </c>
      <c r="F396" s="212"/>
      <c r="G396" s="329" t="s">
        <v>970</v>
      </c>
      <c r="H396" s="212"/>
      <c r="I396" s="212"/>
      <c r="J396" s="212"/>
      <c r="K396" s="263"/>
    </row>
    <row r="397" spans="2:11">
      <c r="B397" s="260">
        <v>294</v>
      </c>
      <c r="C397" s="261" t="s">
        <v>213</v>
      </c>
      <c r="D397" s="326" t="s">
        <v>462</v>
      </c>
      <c r="E397" s="325" t="s">
        <v>870</v>
      </c>
      <c r="F397" s="212"/>
      <c r="G397" s="329" t="s">
        <v>971</v>
      </c>
      <c r="H397" s="212"/>
      <c r="I397" s="212"/>
      <c r="J397" s="212"/>
      <c r="K397" s="263"/>
    </row>
    <row r="398" spans="2:11">
      <c r="B398" s="260">
        <v>232</v>
      </c>
      <c r="C398" s="261" t="s">
        <v>151</v>
      </c>
      <c r="D398" s="326" t="s">
        <v>450</v>
      </c>
      <c r="E398" s="325" t="s">
        <v>870</v>
      </c>
      <c r="F398" s="325"/>
      <c r="G398" s="325" t="s">
        <v>317</v>
      </c>
      <c r="H398" s="212"/>
      <c r="I398" s="212"/>
      <c r="J398" s="212"/>
      <c r="K398" s="263"/>
    </row>
    <row r="399" spans="2:11">
      <c r="B399" s="260">
        <v>233</v>
      </c>
      <c r="C399" s="261" t="s">
        <v>152</v>
      </c>
      <c r="D399" s="326" t="s">
        <v>437</v>
      </c>
      <c r="E399" s="325" t="s">
        <v>870</v>
      </c>
      <c r="F399" s="325"/>
      <c r="G399" s="325" t="s">
        <v>297</v>
      </c>
      <c r="H399" s="212"/>
      <c r="I399" s="212"/>
      <c r="J399" s="212"/>
      <c r="K399" s="263"/>
    </row>
    <row r="400" spans="2:11">
      <c r="B400" s="213">
        <v>282</v>
      </c>
      <c r="C400" s="214" t="s">
        <v>201</v>
      </c>
      <c r="D400" s="267" t="s">
        <v>454</v>
      </c>
      <c r="E400" s="199"/>
      <c r="F400" s="216"/>
      <c r="G400" s="216"/>
      <c r="H400" s="216"/>
      <c r="I400" s="216"/>
      <c r="J400" s="216"/>
      <c r="K400" s="217"/>
    </row>
    <row r="401" spans="2:11">
      <c r="B401" s="213">
        <v>283</v>
      </c>
      <c r="C401" s="214" t="s">
        <v>202</v>
      </c>
      <c r="D401" s="267" t="s">
        <v>454</v>
      </c>
      <c r="E401" s="199"/>
      <c r="F401" s="216"/>
      <c r="G401" s="216"/>
      <c r="H401" s="216"/>
      <c r="I401" s="216"/>
      <c r="J401" s="216"/>
      <c r="K401" s="217"/>
    </row>
    <row r="402" spans="2:11">
      <c r="B402" s="213">
        <v>284</v>
      </c>
      <c r="C402" s="214" t="s">
        <v>203</v>
      </c>
      <c r="D402" s="267" t="s">
        <v>454</v>
      </c>
      <c r="E402" s="199"/>
      <c r="F402" s="216"/>
      <c r="G402" s="216"/>
      <c r="H402" s="216"/>
      <c r="I402" s="216"/>
      <c r="J402" s="216"/>
      <c r="K402" s="217"/>
    </row>
    <row r="403" spans="2:11">
      <c r="B403" s="213">
        <v>285</v>
      </c>
      <c r="C403" s="214" t="s">
        <v>204</v>
      </c>
      <c r="D403" s="267" t="s">
        <v>454</v>
      </c>
      <c r="E403" s="199"/>
      <c r="F403" s="216"/>
      <c r="G403" s="216"/>
      <c r="H403" s="216"/>
      <c r="I403" s="216"/>
      <c r="J403" s="216"/>
      <c r="K403" s="217"/>
    </row>
    <row r="404" spans="2:11">
      <c r="B404" s="213">
        <v>335</v>
      </c>
      <c r="C404" s="214" t="s">
        <v>254</v>
      </c>
      <c r="D404" s="267" t="s">
        <v>454</v>
      </c>
      <c r="E404" s="199"/>
      <c r="F404" s="216"/>
      <c r="G404" s="216"/>
      <c r="H404" s="216"/>
      <c r="I404" s="216"/>
      <c r="J404" s="216"/>
      <c r="K404" s="217"/>
    </row>
    <row r="405" spans="2:11" ht="16.5" thickBot="1">
      <c r="B405" s="298">
        <v>99</v>
      </c>
      <c r="C405" s="299" t="s">
        <v>11</v>
      </c>
      <c r="D405" s="300" t="s">
        <v>454</v>
      </c>
      <c r="E405" s="290"/>
      <c r="F405" s="301"/>
      <c r="G405" s="301"/>
      <c r="H405" s="301"/>
      <c r="I405" s="301"/>
      <c r="J405" s="301"/>
      <c r="K405" s="302"/>
    </row>
  </sheetData>
  <sortState ref="B6:K405">
    <sortCondition ref="D6:D405"/>
  </sortState>
  <mergeCells count="11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</mergeCells>
  <conditionalFormatting sqref="I6:K85 H117:K118 H282:K283 H396:K397 H124:K124 H126:K126 H224:K224 H226:K226 H253:K253 H255:K255 H313:K313 H315:K315 H120:K122 B6:D405 F117:F118 F285:F311 F213:F222 F197:F210 F211:G212 F195:G196 F46:F85 F26:F35 F36:G45 F342 F227:K244 F250:K252 F245:F249 F315 F316:K341 F313 F314:K314 F255 F256:K281 F253 F254:K254 F226 F224 F225:K225 F223:K223 F126 F127:K151 F124 F125:K125 F312:K312 F120:F122 F123:K123 F398:K405 F284:K284 F119:K119 F6:G25 F86:K116 H152:K158 F152:F194 F371:K395 F345:F370 I159:K188 H159:H172 H189:K222 H285:K311 H342:K370 H245:K249">
    <cfRule type="expression" dxfId="1122" priority="210">
      <formula>MOD(ROW(),2)=0</formula>
    </cfRule>
  </conditionalFormatting>
  <conditionalFormatting sqref="H6:H25">
    <cfRule type="expression" dxfId="1121" priority="209">
      <formula>MOD(ROW(),2)=0</formula>
    </cfRule>
  </conditionalFormatting>
  <conditionalFormatting sqref="H26:H85">
    <cfRule type="expression" dxfId="1120" priority="208">
      <formula>MOD(ROW(),2)=0</formula>
    </cfRule>
  </conditionalFormatting>
  <conditionalFormatting sqref="H173:H188">
    <cfRule type="expression" dxfId="1119" priority="207">
      <formula>MOD(ROW(),2)=0</formula>
    </cfRule>
  </conditionalFormatting>
  <conditionalFormatting sqref="G117:G118">
    <cfRule type="expression" dxfId="1118" priority="206">
      <formula>MOD(ROW(),2)=0</formula>
    </cfRule>
  </conditionalFormatting>
  <conditionalFormatting sqref="F282:F283">
    <cfRule type="expression" dxfId="1117" priority="200">
      <formula>MOD(ROW(),2)=0</formula>
    </cfRule>
  </conditionalFormatting>
  <conditionalFormatting sqref="G282:G283">
    <cfRule type="expression" dxfId="1116" priority="199">
      <formula>MOD(ROW(),2)=0</formula>
    </cfRule>
  </conditionalFormatting>
  <conditionalFormatting sqref="F343:F344">
    <cfRule type="expression" dxfId="1115" priority="198">
      <formula>MOD(ROW(),2)=0</formula>
    </cfRule>
  </conditionalFormatting>
  <conditionalFormatting sqref="F396:F397">
    <cfRule type="expression" dxfId="1114" priority="196">
      <formula>MOD(ROW(),2)=0</formula>
    </cfRule>
  </conditionalFormatting>
  <conditionalFormatting sqref="G396:G397">
    <cfRule type="expression" dxfId="1113" priority="195">
      <formula>MOD(ROW(),2)=0</formula>
    </cfRule>
  </conditionalFormatting>
  <conditionalFormatting sqref="G255">
    <cfRule type="expression" dxfId="1112" priority="182">
      <formula>MOD(ROW(),2)=0</formula>
    </cfRule>
  </conditionalFormatting>
  <conditionalFormatting sqref="G121:G122">
    <cfRule type="expression" dxfId="1111" priority="193">
      <formula>MOD(ROW(),2)=0</formula>
    </cfRule>
  </conditionalFormatting>
  <conditionalFormatting sqref="G221:G222">
    <cfRule type="expression" dxfId="1110" priority="192">
      <formula>MOD(ROW(),2)=0</formula>
    </cfRule>
  </conditionalFormatting>
  <conditionalFormatting sqref="G310:G311">
    <cfRule type="expression" dxfId="1109" priority="191">
      <formula>MOD(ROW(),2)=0</formula>
    </cfRule>
  </conditionalFormatting>
  <conditionalFormatting sqref="G124">
    <cfRule type="expression" dxfId="1108" priority="188">
      <formula>MOD(ROW(),2)=0</formula>
    </cfRule>
  </conditionalFormatting>
  <conditionalFormatting sqref="G253">
    <cfRule type="expression" dxfId="1107" priority="184">
      <formula>MOD(ROW(),2)=0</formula>
    </cfRule>
  </conditionalFormatting>
  <conditionalFormatting sqref="G313">
    <cfRule type="expression" dxfId="1106" priority="181">
      <formula>MOD(ROW(),2)=0</formula>
    </cfRule>
  </conditionalFormatting>
  <conditionalFormatting sqref="G315">
    <cfRule type="expression" dxfId="1105" priority="180">
      <formula>MOD(ROW(),2)=0</formula>
    </cfRule>
  </conditionalFormatting>
  <conditionalFormatting sqref="G26:G27">
    <cfRule type="expression" dxfId="1104" priority="164">
      <formula>MOD(ROW(),2)=0</formula>
    </cfRule>
  </conditionalFormatting>
  <conditionalFormatting sqref="G34:G35">
    <cfRule type="expression" dxfId="1103" priority="168">
      <formula>MOD(ROW(),2)=0</formula>
    </cfRule>
  </conditionalFormatting>
  <conditionalFormatting sqref="G32:G33">
    <cfRule type="expression" dxfId="1102" priority="167">
      <formula>MOD(ROW(),2)=0</formula>
    </cfRule>
  </conditionalFormatting>
  <conditionalFormatting sqref="G30:G31">
    <cfRule type="expression" dxfId="1101" priority="166">
      <formula>MOD(ROW(),2)=0</formula>
    </cfRule>
  </conditionalFormatting>
  <conditionalFormatting sqref="G28:G29">
    <cfRule type="expression" dxfId="1100" priority="165">
      <formula>MOD(ROW(),2)=0</formula>
    </cfRule>
  </conditionalFormatting>
  <conditionalFormatting sqref="G54:G55">
    <cfRule type="expression" dxfId="1099" priority="163">
      <formula>MOD(ROW(),2)=0</formula>
    </cfRule>
  </conditionalFormatting>
  <conditionalFormatting sqref="G193:G194">
    <cfRule type="expression" dxfId="1098" priority="143">
      <formula>MOD(ROW(),2)=0</formula>
    </cfRule>
  </conditionalFormatting>
  <conditionalFormatting sqref="G191:G192">
    <cfRule type="expression" dxfId="1097" priority="142">
      <formula>MOD(ROW(),2)=0</formula>
    </cfRule>
  </conditionalFormatting>
  <conditionalFormatting sqref="G189:G190">
    <cfRule type="expression" dxfId="1096" priority="141">
      <formula>MOD(ROW(),2)=0</formula>
    </cfRule>
  </conditionalFormatting>
  <conditionalFormatting sqref="G203:G204">
    <cfRule type="expression" dxfId="1095" priority="140">
      <formula>MOD(ROW(),2)=0</formula>
    </cfRule>
  </conditionalFormatting>
  <conditionalFormatting sqref="G201:G202">
    <cfRule type="expression" dxfId="1094" priority="139">
      <formula>MOD(ROW(),2)=0</formula>
    </cfRule>
  </conditionalFormatting>
  <conditionalFormatting sqref="G199:G200">
    <cfRule type="expression" dxfId="1093" priority="138">
      <formula>MOD(ROW(),2)=0</formula>
    </cfRule>
  </conditionalFormatting>
  <conditionalFormatting sqref="G197:G198">
    <cfRule type="expression" dxfId="1092" priority="137">
      <formula>MOD(ROW(),2)=0</formula>
    </cfRule>
  </conditionalFormatting>
  <conditionalFormatting sqref="G209:G210">
    <cfRule type="expression" dxfId="1091" priority="136">
      <formula>MOD(ROW(),2)=0</formula>
    </cfRule>
  </conditionalFormatting>
  <conditionalFormatting sqref="G207:G208">
    <cfRule type="expression" dxfId="1090" priority="135">
      <formula>MOD(ROW(),2)=0</formula>
    </cfRule>
  </conditionalFormatting>
  <conditionalFormatting sqref="G205:G206">
    <cfRule type="expression" dxfId="1089" priority="134">
      <formula>MOD(ROW(),2)=0</formula>
    </cfRule>
  </conditionalFormatting>
  <conditionalFormatting sqref="G219:G220">
    <cfRule type="expression" dxfId="1088" priority="133">
      <formula>MOD(ROW(),2)=0</formula>
    </cfRule>
  </conditionalFormatting>
  <conditionalFormatting sqref="G217:G218">
    <cfRule type="expression" dxfId="1087" priority="132">
      <formula>MOD(ROW(),2)=0</formula>
    </cfRule>
  </conditionalFormatting>
  <conditionalFormatting sqref="G215:G216">
    <cfRule type="expression" dxfId="1086" priority="131">
      <formula>MOD(ROW(),2)=0</formula>
    </cfRule>
  </conditionalFormatting>
  <conditionalFormatting sqref="G213:G214">
    <cfRule type="expression" dxfId="1085" priority="130">
      <formula>MOD(ROW(),2)=0</formula>
    </cfRule>
  </conditionalFormatting>
  <conditionalFormatting sqref="G351:G352">
    <cfRule type="expression" dxfId="1084" priority="117">
      <formula>MOD(ROW(),2)=0</formula>
    </cfRule>
  </conditionalFormatting>
  <conditionalFormatting sqref="G152">
    <cfRule type="expression" dxfId="1083" priority="111">
      <formula>MOD(ROW(),2)=0</formula>
    </cfRule>
  </conditionalFormatting>
  <conditionalFormatting sqref="G342">
    <cfRule type="expression" dxfId="1082" priority="109">
      <formula>MOD(ROW(),2)=0</formula>
    </cfRule>
  </conditionalFormatting>
  <conditionalFormatting sqref="G120">
    <cfRule type="expression" dxfId="1081" priority="108">
      <formula>MOD(ROW(),2)=0</formula>
    </cfRule>
  </conditionalFormatting>
  <conditionalFormatting sqref="G156">
    <cfRule type="expression" dxfId="1080" priority="107">
      <formula>MOD(ROW(),2)=0</formula>
    </cfRule>
  </conditionalFormatting>
  <conditionalFormatting sqref="G285">
    <cfRule type="expression" dxfId="1079" priority="105">
      <formula>MOD(ROW(),2)=0</formula>
    </cfRule>
  </conditionalFormatting>
  <conditionalFormatting sqref="G346">
    <cfRule type="expression" dxfId="1078" priority="104">
      <formula>MOD(ROW(),2)=0</formula>
    </cfRule>
  </conditionalFormatting>
  <conditionalFormatting sqref="E246:E247">
    <cfRule type="expression" dxfId="1077" priority="87">
      <formula>MOD(ROW(),2)=0</formula>
    </cfRule>
  </conditionalFormatting>
  <conditionalFormatting sqref="E88 E90 E6:E85 E121:E152 E155:E245 E119 E92:E116 E248:E281 E284:E342 E345:E350 E355:E395 E398:E405">
    <cfRule type="expression" dxfId="1076" priority="94">
      <formula>MOD(ROW(),2)=0</formula>
    </cfRule>
  </conditionalFormatting>
  <conditionalFormatting sqref="E153:E154">
    <cfRule type="expression" dxfId="1075" priority="88">
      <formula>MOD(ROW(),2)=0</formula>
    </cfRule>
  </conditionalFormatting>
  <conditionalFormatting sqref="E351:E354">
    <cfRule type="expression" dxfId="1074" priority="85">
      <formula>MOD(ROW(),2)=0</formula>
    </cfRule>
  </conditionalFormatting>
  <conditionalFormatting sqref="G52:G53">
    <cfRule type="expression" dxfId="1073" priority="82">
      <formula>MOD(ROW(),2)=0</formula>
    </cfRule>
  </conditionalFormatting>
  <conditionalFormatting sqref="G50:G51">
    <cfRule type="expression" dxfId="1072" priority="81">
      <formula>MOD(ROW(),2)=0</formula>
    </cfRule>
  </conditionalFormatting>
  <conditionalFormatting sqref="G48:G49">
    <cfRule type="expression" dxfId="1071" priority="80">
      <formula>MOD(ROW(),2)=0</formula>
    </cfRule>
  </conditionalFormatting>
  <conditionalFormatting sqref="G46:G47">
    <cfRule type="expression" dxfId="1070" priority="79">
      <formula>MOD(ROW(),2)=0</formula>
    </cfRule>
  </conditionalFormatting>
  <conditionalFormatting sqref="G64:G65">
    <cfRule type="expression" dxfId="1069" priority="78">
      <formula>MOD(ROW(),2)=0</formula>
    </cfRule>
  </conditionalFormatting>
  <conditionalFormatting sqref="G62:G63">
    <cfRule type="expression" dxfId="1068" priority="77">
      <formula>MOD(ROW(),2)=0</formula>
    </cfRule>
  </conditionalFormatting>
  <conditionalFormatting sqref="G60:G61">
    <cfRule type="expression" dxfId="1067" priority="76">
      <formula>MOD(ROW(),2)=0</formula>
    </cfRule>
  </conditionalFormatting>
  <conditionalFormatting sqref="G58:G59">
    <cfRule type="expression" dxfId="1066" priority="75">
      <formula>MOD(ROW(),2)=0</formula>
    </cfRule>
  </conditionalFormatting>
  <conditionalFormatting sqref="G56:G57">
    <cfRule type="expression" dxfId="1065" priority="74">
      <formula>MOD(ROW(),2)=0</formula>
    </cfRule>
  </conditionalFormatting>
  <conditionalFormatting sqref="G74:G75">
    <cfRule type="expression" dxfId="1064" priority="73">
      <formula>MOD(ROW(),2)=0</formula>
    </cfRule>
  </conditionalFormatting>
  <conditionalFormatting sqref="G72:G73">
    <cfRule type="expression" dxfId="1063" priority="72">
      <formula>MOD(ROW(),2)=0</formula>
    </cfRule>
  </conditionalFormatting>
  <conditionalFormatting sqref="G70:G71">
    <cfRule type="expression" dxfId="1062" priority="71">
      <formula>MOD(ROW(),2)=0</formula>
    </cfRule>
  </conditionalFormatting>
  <conditionalFormatting sqref="G68:G69">
    <cfRule type="expression" dxfId="1061" priority="70">
      <formula>MOD(ROW(),2)=0</formula>
    </cfRule>
  </conditionalFormatting>
  <conditionalFormatting sqref="G66:G67">
    <cfRule type="expression" dxfId="1060" priority="69">
      <formula>MOD(ROW(),2)=0</formula>
    </cfRule>
  </conditionalFormatting>
  <conditionalFormatting sqref="G84:G85">
    <cfRule type="expression" dxfId="1059" priority="68">
      <formula>MOD(ROW(),2)=0</formula>
    </cfRule>
  </conditionalFormatting>
  <conditionalFormatting sqref="G82:G83">
    <cfRule type="expression" dxfId="1058" priority="67">
      <formula>MOD(ROW(),2)=0</formula>
    </cfRule>
  </conditionalFormatting>
  <conditionalFormatting sqref="G80:G81">
    <cfRule type="expression" dxfId="1057" priority="66">
      <formula>MOD(ROW(),2)=0</formula>
    </cfRule>
  </conditionalFormatting>
  <conditionalFormatting sqref="G78:G79">
    <cfRule type="expression" dxfId="1056" priority="65">
      <formula>MOD(ROW(),2)=0</formula>
    </cfRule>
  </conditionalFormatting>
  <conditionalFormatting sqref="G76:G77">
    <cfRule type="expression" dxfId="1055" priority="64">
      <formula>MOD(ROW(),2)=0</formula>
    </cfRule>
  </conditionalFormatting>
  <conditionalFormatting sqref="G163:G164">
    <cfRule type="expression" dxfId="1054" priority="63">
      <formula>MOD(ROW(),2)=0</formula>
    </cfRule>
  </conditionalFormatting>
  <conditionalFormatting sqref="G161:G162">
    <cfRule type="expression" dxfId="1053" priority="62">
      <formula>MOD(ROW(),2)=0</formula>
    </cfRule>
  </conditionalFormatting>
  <conditionalFormatting sqref="G159:G160">
    <cfRule type="expression" dxfId="1052" priority="61">
      <formula>MOD(ROW(),2)=0</formula>
    </cfRule>
  </conditionalFormatting>
  <conditionalFormatting sqref="G157:G158">
    <cfRule type="expression" dxfId="1051" priority="60">
      <formula>MOD(ROW(),2)=0</formula>
    </cfRule>
  </conditionalFormatting>
  <conditionalFormatting sqref="G171:G172">
    <cfRule type="expression" dxfId="1050" priority="59">
      <formula>MOD(ROW(),2)=0</formula>
    </cfRule>
  </conditionalFormatting>
  <conditionalFormatting sqref="G169:G170">
    <cfRule type="expression" dxfId="1049" priority="58">
      <formula>MOD(ROW(),2)=0</formula>
    </cfRule>
  </conditionalFormatting>
  <conditionalFormatting sqref="G167:G168">
    <cfRule type="expression" dxfId="1048" priority="57">
      <formula>MOD(ROW(),2)=0</formula>
    </cfRule>
  </conditionalFormatting>
  <conditionalFormatting sqref="G165:G166">
    <cfRule type="expression" dxfId="1047" priority="56">
      <formula>MOD(ROW(),2)=0</formula>
    </cfRule>
  </conditionalFormatting>
  <conditionalFormatting sqref="G154:G155">
    <cfRule type="expression" dxfId="1046" priority="55">
      <formula>MOD(ROW(),2)=0</formula>
    </cfRule>
  </conditionalFormatting>
  <conditionalFormatting sqref="G179:G180">
    <cfRule type="expression" dxfId="1045" priority="54">
      <formula>MOD(ROW(),2)=0</formula>
    </cfRule>
  </conditionalFormatting>
  <conditionalFormatting sqref="G177:G178">
    <cfRule type="expression" dxfId="1044" priority="53">
      <formula>MOD(ROW(),2)=0</formula>
    </cfRule>
  </conditionalFormatting>
  <conditionalFormatting sqref="G175:G176">
    <cfRule type="expression" dxfId="1043" priority="52">
      <formula>MOD(ROW(),2)=0</formula>
    </cfRule>
  </conditionalFormatting>
  <conditionalFormatting sqref="G173:G174">
    <cfRule type="expression" dxfId="1042" priority="51">
      <formula>MOD(ROW(),2)=0</formula>
    </cfRule>
  </conditionalFormatting>
  <conditionalFormatting sqref="G187:G188">
    <cfRule type="expression" dxfId="1041" priority="50">
      <formula>MOD(ROW(),2)=0</formula>
    </cfRule>
  </conditionalFormatting>
  <conditionalFormatting sqref="G185:G186">
    <cfRule type="expression" dxfId="1040" priority="49">
      <formula>MOD(ROW(),2)=0</formula>
    </cfRule>
  </conditionalFormatting>
  <conditionalFormatting sqref="G183:G184">
    <cfRule type="expression" dxfId="1039" priority="48">
      <formula>MOD(ROW(),2)=0</formula>
    </cfRule>
  </conditionalFormatting>
  <conditionalFormatting sqref="G181:G182">
    <cfRule type="expression" dxfId="1038" priority="47">
      <formula>MOD(ROW(),2)=0</formula>
    </cfRule>
  </conditionalFormatting>
  <conditionalFormatting sqref="G290:G291">
    <cfRule type="expression" dxfId="1037" priority="46">
      <formula>MOD(ROW(),2)=0</formula>
    </cfRule>
  </conditionalFormatting>
  <conditionalFormatting sqref="G288:G289">
    <cfRule type="expression" dxfId="1036" priority="45">
      <formula>MOD(ROW(),2)=0</formula>
    </cfRule>
  </conditionalFormatting>
  <conditionalFormatting sqref="G286:G287">
    <cfRule type="expression" dxfId="1035" priority="44">
      <formula>MOD(ROW(),2)=0</formula>
    </cfRule>
  </conditionalFormatting>
  <conditionalFormatting sqref="G296:G297">
    <cfRule type="expression" dxfId="1034" priority="43">
      <formula>MOD(ROW(),2)=0</formula>
    </cfRule>
  </conditionalFormatting>
  <conditionalFormatting sqref="G294:G295">
    <cfRule type="expression" dxfId="1033" priority="42">
      <formula>MOD(ROW(),2)=0</formula>
    </cfRule>
  </conditionalFormatting>
  <conditionalFormatting sqref="G292:G293">
    <cfRule type="expression" dxfId="1032" priority="41">
      <formula>MOD(ROW(),2)=0</formula>
    </cfRule>
  </conditionalFormatting>
  <conditionalFormatting sqref="G302:G303">
    <cfRule type="expression" dxfId="1031" priority="40">
      <formula>MOD(ROW(),2)=0</formula>
    </cfRule>
  </conditionalFormatting>
  <conditionalFormatting sqref="G300:G301">
    <cfRule type="expression" dxfId="1030" priority="39">
      <formula>MOD(ROW(),2)=0</formula>
    </cfRule>
  </conditionalFormatting>
  <conditionalFormatting sqref="G298:G299">
    <cfRule type="expression" dxfId="1029" priority="38">
      <formula>MOD(ROW(),2)=0</formula>
    </cfRule>
  </conditionalFormatting>
  <conditionalFormatting sqref="G308:G309">
    <cfRule type="expression" dxfId="1028" priority="37">
      <formula>MOD(ROW(),2)=0</formula>
    </cfRule>
  </conditionalFormatting>
  <conditionalFormatting sqref="G306:G307">
    <cfRule type="expression" dxfId="1027" priority="36">
      <formula>MOD(ROW(),2)=0</formula>
    </cfRule>
  </conditionalFormatting>
  <conditionalFormatting sqref="G304:G305">
    <cfRule type="expression" dxfId="1026" priority="35">
      <formula>MOD(ROW(),2)=0</formula>
    </cfRule>
  </conditionalFormatting>
  <conditionalFormatting sqref="G344:G345">
    <cfRule type="expression" dxfId="1025" priority="32">
      <formula>MOD(ROW(),2)=0</formula>
    </cfRule>
  </conditionalFormatting>
  <conditionalFormatting sqref="G349:G350">
    <cfRule type="expression" dxfId="1024" priority="31">
      <formula>MOD(ROW(),2)=0</formula>
    </cfRule>
  </conditionalFormatting>
  <conditionalFormatting sqref="G347:G348">
    <cfRule type="expression" dxfId="1023" priority="30">
      <formula>MOD(ROW(),2)=0</formula>
    </cfRule>
  </conditionalFormatting>
  <conditionalFormatting sqref="G357:G358">
    <cfRule type="expression" dxfId="1022" priority="29">
      <formula>MOD(ROW(),2)=0</formula>
    </cfRule>
  </conditionalFormatting>
  <conditionalFormatting sqref="G355:G356">
    <cfRule type="expression" dxfId="1021" priority="28">
      <formula>MOD(ROW(),2)=0</formula>
    </cfRule>
  </conditionalFormatting>
  <conditionalFormatting sqref="G353:G354">
    <cfRule type="expression" dxfId="1020" priority="27">
      <formula>MOD(ROW(),2)=0</formula>
    </cfRule>
  </conditionalFormatting>
  <conditionalFormatting sqref="G363:G364">
    <cfRule type="expression" dxfId="1019" priority="26">
      <formula>MOD(ROW(),2)=0</formula>
    </cfRule>
  </conditionalFormatting>
  <conditionalFormatting sqref="G361:G362">
    <cfRule type="expression" dxfId="1018" priority="25">
      <formula>MOD(ROW(),2)=0</formula>
    </cfRule>
  </conditionalFormatting>
  <conditionalFormatting sqref="G359:G360">
    <cfRule type="expression" dxfId="1017" priority="24">
      <formula>MOD(ROW(),2)=0</formula>
    </cfRule>
  </conditionalFormatting>
  <conditionalFormatting sqref="G369:G370">
    <cfRule type="expression" dxfId="1016" priority="23">
      <formula>MOD(ROW(),2)=0</formula>
    </cfRule>
  </conditionalFormatting>
  <conditionalFormatting sqref="G367:G368">
    <cfRule type="expression" dxfId="1015" priority="22">
      <formula>MOD(ROW(),2)=0</formula>
    </cfRule>
  </conditionalFormatting>
  <conditionalFormatting sqref="G365:G366">
    <cfRule type="expression" dxfId="1014" priority="21">
      <formula>MOD(ROW(),2)=0</formula>
    </cfRule>
  </conditionalFormatting>
  <conditionalFormatting sqref="G126">
    <cfRule type="expression" dxfId="1013" priority="20">
      <formula>MOD(ROW(),2)=0</formula>
    </cfRule>
  </conditionalFormatting>
  <conditionalFormatting sqref="E86:E87">
    <cfRule type="expression" dxfId="1012" priority="19">
      <formula>MOD(ROW(),2)=0</formula>
    </cfRule>
  </conditionalFormatting>
  <conditionalFormatting sqref="G246">
    <cfRule type="expression" dxfId="1011" priority="17">
      <formula>MOD(ROW(),2)=0</formula>
    </cfRule>
  </conditionalFormatting>
  <conditionalFormatting sqref="G247">
    <cfRule type="expression" dxfId="1010" priority="18">
      <formula>MOD(ROW(),2)=0</formula>
    </cfRule>
  </conditionalFormatting>
  <conditionalFormatting sqref="G249">
    <cfRule type="expression" dxfId="1009" priority="16">
      <formula>MOD(ROW(),2)=0</formula>
    </cfRule>
  </conditionalFormatting>
  <conditionalFormatting sqref="G245">
    <cfRule type="expression" dxfId="1008" priority="15">
      <formula>MOD(ROW(),2)=0</formula>
    </cfRule>
  </conditionalFormatting>
  <conditionalFormatting sqref="G224">
    <cfRule type="expression" dxfId="1007" priority="14">
      <formula>MOD(ROW(),2)=0</formula>
    </cfRule>
  </conditionalFormatting>
  <conditionalFormatting sqref="G226">
    <cfRule type="expression" dxfId="1006" priority="13">
      <formula>MOD(ROW(),2)=0</formula>
    </cfRule>
  </conditionalFormatting>
  <conditionalFormatting sqref="E89">
    <cfRule type="expression" dxfId="1005" priority="12">
      <formula>MOD(ROW(),2)=0</formula>
    </cfRule>
  </conditionalFormatting>
  <conditionalFormatting sqref="E91">
    <cfRule type="expression" dxfId="1004" priority="11">
      <formula>MOD(ROW(),2)=0</formula>
    </cfRule>
  </conditionalFormatting>
  <conditionalFormatting sqref="E120">
    <cfRule type="expression" dxfId="1003" priority="10">
      <formula>MOD(ROW(),2)=0</formula>
    </cfRule>
  </conditionalFormatting>
  <conditionalFormatting sqref="E118">
    <cfRule type="expression" dxfId="1002" priority="9">
      <formula>MOD(ROW(),2)=0</formula>
    </cfRule>
  </conditionalFormatting>
  <conditionalFormatting sqref="E117">
    <cfRule type="expression" dxfId="1001" priority="8">
      <formula>MOD(ROW(),2)=0</formula>
    </cfRule>
  </conditionalFormatting>
  <conditionalFormatting sqref="E282">
    <cfRule type="expression" dxfId="1000" priority="7">
      <formula>MOD(ROW(),2)=0</formula>
    </cfRule>
  </conditionalFormatting>
  <conditionalFormatting sqref="E283">
    <cfRule type="expression" dxfId="999" priority="6">
      <formula>MOD(ROW(),2)=0</formula>
    </cfRule>
  </conditionalFormatting>
  <conditionalFormatting sqref="E343">
    <cfRule type="expression" dxfId="998" priority="5">
      <formula>MOD(ROW(),2)=0</formula>
    </cfRule>
  </conditionalFormatting>
  <conditionalFormatting sqref="E344">
    <cfRule type="expression" dxfId="997" priority="4">
      <formula>MOD(ROW(),2)=0</formula>
    </cfRule>
  </conditionalFormatting>
  <conditionalFormatting sqref="E396">
    <cfRule type="expression" dxfId="996" priority="3">
      <formula>MOD(ROW(),2)=0</formula>
    </cfRule>
  </conditionalFormatting>
  <conditionalFormatting sqref="E397">
    <cfRule type="expression" dxfId="995" priority="2">
      <formula>MOD(ROW(),2)=0</formula>
    </cfRule>
  </conditionalFormatting>
  <conditionalFormatting sqref="G248">
    <cfRule type="expression" dxfId="994" priority="1">
      <formula>MOD(ROW(),2)=0</formula>
    </cfRule>
  </conditionalFormatting>
  <hyperlinks>
    <hyperlink ref="AL17" location="'0'!A1" tooltip="X stave 0, Front" display="'0'!A1"/>
    <hyperlink ref="AJ17" location="'1'!A1" tooltip="X stave 1, Back" display="'1'!A1"/>
    <hyperlink ref="AH17" location="'2'!A1" tooltip="Stereo stave 0, Back" display="'2'!A1"/>
    <hyperlink ref="AF17" location="'3'!A1" tooltip="Stereo stave 0, Front" display="'3'!A1"/>
    <hyperlink ref="AD17" location="'4'!A1" tooltip="X stave 1, Front" display="'4'!A1"/>
    <hyperlink ref="AB17" location="'5'!A1" tooltip="X stave 1, Back" display="'5'!A1"/>
    <hyperlink ref="Z17" location="'6'!A1" tooltip="Stereo stave 1, Back" display="'6'!A1"/>
    <hyperlink ref="X17" location="'7'!A1" tooltip="Stereo stave 1, Front" display="'7'!A1"/>
    <hyperlink ref="V17" location="'8'!A1" tooltip="X stave 2, Front" display="'8'!A1"/>
    <hyperlink ref="T17" location="'9'!A1" tooltip="X stave 2, Back" display="'9'!A1"/>
    <hyperlink ref="R17" location="'10'!A1" tooltip="Stereo stave 2, Back" display="'10'!A1"/>
    <hyperlink ref="P17" location="'11'!A1" tooltip="Stereo stave 2, Front" display="'11'!A1"/>
    <hyperlink ref="AL18" location="'0'!A1" tooltip="X stave 0, Front" display="'0'!A1"/>
    <hyperlink ref="AJ18" location="'1'!A1" tooltip="X stave 1, Back" display="'1'!A1"/>
    <hyperlink ref="AH18" location="'2'!A1" tooltip="Stereo stave 0, Back" display="'2'!A1"/>
    <hyperlink ref="AF18" location="'3'!A1" tooltip="Stereo stave 0, Front" display="'3'!A1"/>
    <hyperlink ref="AD18" location="'4'!A1" tooltip="X stave 1, Front" display="'4'!A1"/>
    <hyperlink ref="AB18" location="'5'!A1" tooltip="X stave 1, Back" display="'5'!A1"/>
    <hyperlink ref="Z18" location="'6'!A1" tooltip="Stereo stave 1, Back" display="'6'!A1"/>
    <hyperlink ref="X18" location="'7'!A1" tooltip="Stereo stave 1, Front" display="'7'!A1"/>
    <hyperlink ref="V18" location="'8'!A1" tooltip="X stave 2, Front" display="'8'!A1"/>
    <hyperlink ref="T18" location="'9'!A1" tooltip="X stave 2, Back" display="'9'!A1"/>
    <hyperlink ref="R18" location="'10'!A1" tooltip="Stereo stave 2, Back" display="'10'!A1"/>
    <hyperlink ref="P18" location="'11'!A1" tooltip="Stereo stave 2, Front" display="'11'!A1"/>
  </hyperlinks>
  <pageMargins left="0.75" right="0.75" top="1" bottom="1" header="0.5" footer="0.5"/>
  <pageSetup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AR405"/>
  <sheetViews>
    <sheetView zoomScale="85" zoomScaleNormal="85" workbookViewId="0">
      <selection activeCell="AH18" sqref="AH18"/>
    </sheetView>
  </sheetViews>
  <sheetFormatPr defaultColWidth="11" defaultRowHeight="15.75"/>
  <cols>
    <col min="1" max="1" width="2.875" style="3" customWidth="1"/>
    <col min="2" max="2" width="6.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75" style="1" customWidth="1"/>
    <col min="7" max="7" width="7.875" style="1" bestFit="1" customWidth="1"/>
    <col min="8" max="10" width="7.875" style="1" customWidth="1"/>
    <col min="11" max="11" width="7.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5" thickBot="1"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/>
    </row>
    <row r="2" spans="2:44" s="4" customFormat="1" ht="16.5" customHeight="1">
      <c r="D2" s="43" t="s">
        <v>718</v>
      </c>
      <c r="E2" s="551" t="s">
        <v>955</v>
      </c>
      <c r="F2" s="551"/>
      <c r="G2" s="552" t="s">
        <v>854</v>
      </c>
      <c r="H2" s="552"/>
      <c r="I2" s="552"/>
      <c r="J2" s="40"/>
      <c r="L2" s="177"/>
      <c r="M2" s="178"/>
      <c r="N2" s="180"/>
      <c r="O2" s="179"/>
      <c r="P2" s="180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80"/>
      <c r="AM2" s="180"/>
      <c r="AN2" s="180"/>
      <c r="AO2" s="181"/>
      <c r="AP2" s="177"/>
      <c r="AQ2" s="182"/>
      <c r="AR2"/>
    </row>
    <row r="3" spans="2:44" s="1" customFormat="1">
      <c r="D3"/>
      <c r="E3" s="40"/>
      <c r="F3" s="40"/>
      <c r="G3" s="40"/>
      <c r="H3" s="40"/>
      <c r="I3" s="40"/>
      <c r="J3" s="40"/>
      <c r="L3" s="177"/>
      <c r="M3" s="183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5"/>
      <c r="AP3" s="177"/>
      <c r="AQ3" s="186"/>
      <c r="AR3"/>
    </row>
    <row r="4" spans="2:44" s="6" customFormat="1" ht="16.5" thickBot="1">
      <c r="B4" s="553" t="s">
        <v>722</v>
      </c>
      <c r="C4" s="554"/>
      <c r="D4" s="554"/>
      <c r="E4" s="554"/>
      <c r="F4" s="554"/>
      <c r="G4" s="554"/>
      <c r="H4" s="554"/>
      <c r="I4" s="554"/>
      <c r="J4" s="554"/>
      <c r="K4" s="555"/>
      <c r="L4" s="177"/>
      <c r="M4" s="187"/>
      <c r="N4" s="184"/>
      <c r="O4" s="184"/>
      <c r="P4" s="184"/>
      <c r="Q4" s="184"/>
      <c r="R4" s="16" t="s">
        <v>13</v>
      </c>
      <c r="S4" s="16"/>
      <c r="T4" s="16" t="s">
        <v>14</v>
      </c>
      <c r="U4" s="16"/>
      <c r="V4" s="16" t="s">
        <v>13</v>
      </c>
      <c r="W4" s="16"/>
      <c r="X4" s="16" t="s">
        <v>14</v>
      </c>
      <c r="Y4" s="16"/>
      <c r="Z4" s="16" t="s">
        <v>13</v>
      </c>
      <c r="AA4" s="16"/>
      <c r="AB4" s="16" t="s">
        <v>14</v>
      </c>
      <c r="AC4" s="16"/>
      <c r="AD4" s="16" t="s">
        <v>13</v>
      </c>
      <c r="AE4" s="16"/>
      <c r="AF4" s="16" t="s">
        <v>14</v>
      </c>
      <c r="AG4" s="16"/>
      <c r="AH4" s="16" t="s">
        <v>13</v>
      </c>
      <c r="AI4" s="16"/>
      <c r="AJ4" s="16" t="s">
        <v>14</v>
      </c>
      <c r="AK4" s="16"/>
      <c r="AL4" s="16" t="s">
        <v>13</v>
      </c>
      <c r="AM4" s="16"/>
      <c r="AN4" s="16" t="s">
        <v>14</v>
      </c>
      <c r="AO4" s="185"/>
      <c r="AP4" s="177"/>
      <c r="AQ4" s="182" t="s">
        <v>710</v>
      </c>
      <c r="AR4"/>
    </row>
    <row r="5" spans="2:44" s="12" customFormat="1" ht="32.25" thickBot="1">
      <c r="B5" s="41" t="s">
        <v>19</v>
      </c>
      <c r="C5" s="7" t="s">
        <v>442</v>
      </c>
      <c r="D5" s="8" t="s">
        <v>2</v>
      </c>
      <c r="E5" s="8" t="s">
        <v>1</v>
      </c>
      <c r="F5" s="9"/>
      <c r="G5" s="9" t="s">
        <v>953</v>
      </c>
      <c r="H5" s="10" t="s">
        <v>3</v>
      </c>
      <c r="I5" s="10"/>
      <c r="J5" s="10"/>
      <c r="K5" s="11"/>
      <c r="L5" s="177"/>
      <c r="M5" s="187"/>
      <c r="N5" s="184"/>
      <c r="O5" s="184"/>
      <c r="P5" s="184"/>
      <c r="Q5" s="188"/>
      <c r="R5" s="175">
        <v>5</v>
      </c>
      <c r="S5" s="175"/>
      <c r="T5" s="175">
        <v>5</v>
      </c>
      <c r="U5" s="175"/>
      <c r="V5" s="175">
        <v>4</v>
      </c>
      <c r="W5" s="175"/>
      <c r="X5" s="175">
        <v>4</v>
      </c>
      <c r="Y5" s="175"/>
      <c r="Z5" s="175">
        <v>3</v>
      </c>
      <c r="AA5" s="175"/>
      <c r="AB5" s="175">
        <v>3</v>
      </c>
      <c r="AC5" s="175"/>
      <c r="AD5" s="175">
        <v>2</v>
      </c>
      <c r="AE5" s="175"/>
      <c r="AF5" s="175">
        <v>2</v>
      </c>
      <c r="AG5" s="175"/>
      <c r="AH5" s="175">
        <v>1</v>
      </c>
      <c r="AI5" s="175"/>
      <c r="AJ5" s="175">
        <v>1</v>
      </c>
      <c r="AK5" s="175"/>
      <c r="AL5" s="175">
        <v>0</v>
      </c>
      <c r="AM5" s="175"/>
      <c r="AN5" s="175">
        <v>0</v>
      </c>
      <c r="AO5" s="185"/>
      <c r="AP5" s="177"/>
      <c r="AQ5" s="254" t="s">
        <v>711</v>
      </c>
      <c r="AR5"/>
    </row>
    <row r="6" spans="2:44">
      <c r="B6" s="42">
        <v>199</v>
      </c>
      <c r="C6" s="293" t="s">
        <v>118</v>
      </c>
      <c r="D6" s="294" t="s">
        <v>677</v>
      </c>
      <c r="E6" s="322" t="s">
        <v>868</v>
      </c>
      <c r="F6" s="296"/>
      <c r="G6" s="322" t="s">
        <v>123</v>
      </c>
      <c r="H6" s="340" t="s">
        <v>909</v>
      </c>
      <c r="I6" s="296"/>
      <c r="J6" s="296"/>
      <c r="K6" s="297"/>
      <c r="L6" s="177"/>
      <c r="M6" s="187"/>
      <c r="N6" s="184"/>
      <c r="O6" s="184"/>
      <c r="P6" s="184"/>
      <c r="Q6" s="184"/>
      <c r="R6" s="189"/>
      <c r="S6" s="184"/>
      <c r="T6" s="189"/>
      <c r="U6" s="184"/>
      <c r="V6" s="189"/>
      <c r="W6" s="184"/>
      <c r="X6" s="189"/>
      <c r="Y6" s="184"/>
      <c r="Z6" s="189"/>
      <c r="AA6" s="184"/>
      <c r="AB6" s="189"/>
      <c r="AC6" s="184"/>
      <c r="AD6" s="265"/>
      <c r="AE6" s="184"/>
      <c r="AF6" s="189"/>
      <c r="AG6" s="184"/>
      <c r="AH6" s="265"/>
      <c r="AI6" s="184"/>
      <c r="AJ6" s="189"/>
      <c r="AK6" s="184"/>
      <c r="AL6" s="265"/>
      <c r="AM6" s="184"/>
      <c r="AN6" s="189"/>
      <c r="AO6" s="185"/>
      <c r="AP6" s="177"/>
      <c r="AQ6" s="186"/>
      <c r="AR6"/>
    </row>
    <row r="7" spans="2:44" ht="16.5" thickBot="1">
      <c r="B7" s="42">
        <v>200</v>
      </c>
      <c r="C7" s="21" t="s">
        <v>119</v>
      </c>
      <c r="D7" s="22" t="s">
        <v>699</v>
      </c>
      <c r="E7" s="323" t="s">
        <v>868</v>
      </c>
      <c r="F7" s="5"/>
      <c r="G7" s="323" t="s">
        <v>133</v>
      </c>
      <c r="H7" s="312" t="s">
        <v>909</v>
      </c>
      <c r="I7" s="5"/>
      <c r="J7" s="5"/>
      <c r="K7" s="14"/>
      <c r="L7" s="177"/>
      <c r="M7" s="187"/>
      <c r="N7" s="184"/>
      <c r="O7" s="184"/>
      <c r="P7" s="184"/>
      <c r="Q7" s="184"/>
      <c r="R7" s="191"/>
      <c r="S7" s="184"/>
      <c r="T7" s="191"/>
      <c r="U7" s="184"/>
      <c r="V7" s="191"/>
      <c r="W7" s="184"/>
      <c r="X7" s="191"/>
      <c r="Y7" s="184"/>
      <c r="Z7" s="191"/>
      <c r="AA7" s="184"/>
      <c r="AB7" s="191"/>
      <c r="AC7" s="184"/>
      <c r="AD7" s="266"/>
      <c r="AE7" s="184"/>
      <c r="AF7" s="191"/>
      <c r="AG7" s="184"/>
      <c r="AH7" s="266"/>
      <c r="AI7" s="184"/>
      <c r="AJ7" s="191"/>
      <c r="AK7" s="184"/>
      <c r="AL7" s="266"/>
      <c r="AM7" s="184"/>
      <c r="AN7" s="191"/>
      <c r="AO7" s="185"/>
      <c r="AP7" s="177"/>
      <c r="AQ7" s="186"/>
      <c r="AR7"/>
    </row>
    <row r="8" spans="2:44" ht="16.5" thickBot="1">
      <c r="B8" s="42">
        <v>207</v>
      </c>
      <c r="C8" s="21" t="s">
        <v>126</v>
      </c>
      <c r="D8" s="22" t="s">
        <v>632</v>
      </c>
      <c r="E8" s="323" t="s">
        <v>868</v>
      </c>
      <c r="F8" s="5"/>
      <c r="G8" s="323" t="s">
        <v>142</v>
      </c>
      <c r="H8" s="312" t="s">
        <v>909</v>
      </c>
      <c r="I8" s="5"/>
      <c r="J8" s="5"/>
      <c r="K8" s="14"/>
      <c r="L8" s="177"/>
      <c r="M8" s="187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5"/>
      <c r="AP8" s="177"/>
      <c r="AQ8" s="186"/>
      <c r="AR8"/>
    </row>
    <row r="9" spans="2:44">
      <c r="B9" s="42">
        <v>208</v>
      </c>
      <c r="C9" s="21" t="s">
        <v>127</v>
      </c>
      <c r="D9" s="22" t="s">
        <v>655</v>
      </c>
      <c r="E9" s="323" t="s">
        <v>868</v>
      </c>
      <c r="F9" s="5"/>
      <c r="G9" s="323" t="s">
        <v>152</v>
      </c>
      <c r="H9" s="312" t="s">
        <v>909</v>
      </c>
      <c r="I9" s="5"/>
      <c r="J9" s="5"/>
      <c r="K9" s="14"/>
      <c r="L9" s="177"/>
      <c r="M9" s="187"/>
      <c r="N9" s="184"/>
      <c r="O9" s="184"/>
      <c r="P9" s="184"/>
      <c r="Q9" s="184"/>
      <c r="R9" s="189"/>
      <c r="S9" s="184"/>
      <c r="T9" s="189"/>
      <c r="U9" s="184"/>
      <c r="V9" s="189"/>
      <c r="W9" s="184"/>
      <c r="X9" s="189"/>
      <c r="Y9" s="184"/>
      <c r="Z9" s="189"/>
      <c r="AA9" s="184"/>
      <c r="AB9" s="189"/>
      <c r="AC9" s="184"/>
      <c r="AD9" s="265"/>
      <c r="AE9" s="184"/>
      <c r="AF9" s="189"/>
      <c r="AG9" s="184"/>
      <c r="AH9" s="265"/>
      <c r="AI9" s="184"/>
      <c r="AJ9" s="189"/>
      <c r="AK9" s="184"/>
      <c r="AL9" s="265"/>
      <c r="AM9" s="184"/>
      <c r="AN9" s="189"/>
      <c r="AO9" s="185"/>
      <c r="AP9" s="177"/>
      <c r="AQ9" s="186"/>
      <c r="AR9"/>
    </row>
    <row r="10" spans="2:44" ht="16.5" thickBot="1">
      <c r="B10" s="42">
        <v>228</v>
      </c>
      <c r="C10" s="21" t="s">
        <v>147</v>
      </c>
      <c r="D10" s="22" t="s">
        <v>657</v>
      </c>
      <c r="E10" s="323" t="s">
        <v>868</v>
      </c>
      <c r="F10" s="5"/>
      <c r="G10" s="323" t="s">
        <v>102</v>
      </c>
      <c r="H10" s="312" t="s">
        <v>909</v>
      </c>
      <c r="I10" s="5"/>
      <c r="J10" s="5"/>
      <c r="K10" s="14"/>
      <c r="L10" s="177"/>
      <c r="M10" s="187"/>
      <c r="N10" s="184"/>
      <c r="O10" s="184"/>
      <c r="P10" s="184"/>
      <c r="Q10" s="184"/>
      <c r="R10" s="191"/>
      <c r="S10" s="184"/>
      <c r="T10" s="191"/>
      <c r="U10" s="184"/>
      <c r="V10" s="191"/>
      <c r="W10" s="184"/>
      <c r="X10" s="191"/>
      <c r="Y10" s="184"/>
      <c r="Z10" s="191"/>
      <c r="AA10" s="184"/>
      <c r="AB10" s="191"/>
      <c r="AC10" s="184"/>
      <c r="AD10" s="266"/>
      <c r="AE10" s="184"/>
      <c r="AF10" s="191"/>
      <c r="AG10" s="184"/>
      <c r="AH10" s="266"/>
      <c r="AI10" s="184"/>
      <c r="AJ10" s="191"/>
      <c r="AK10" s="184"/>
      <c r="AL10" s="266"/>
      <c r="AM10" s="184"/>
      <c r="AN10" s="191"/>
      <c r="AO10" s="192"/>
      <c r="AP10" s="177"/>
      <c r="AQ10" s="186"/>
      <c r="AR10"/>
    </row>
    <row r="11" spans="2:44">
      <c r="B11" s="42">
        <v>227</v>
      </c>
      <c r="C11" s="21" t="s">
        <v>146</v>
      </c>
      <c r="D11" s="22" t="s">
        <v>634</v>
      </c>
      <c r="E11" s="323" t="s">
        <v>868</v>
      </c>
      <c r="F11" s="5"/>
      <c r="G11" s="323" t="s">
        <v>112</v>
      </c>
      <c r="H11" s="312" t="s">
        <v>909</v>
      </c>
      <c r="I11" s="5"/>
      <c r="J11" s="5"/>
      <c r="K11" s="14"/>
      <c r="L11" s="177"/>
      <c r="M11" s="187"/>
      <c r="N11" s="184"/>
      <c r="O11" s="184"/>
      <c r="P11" s="184"/>
      <c r="Q11" s="184"/>
      <c r="R11" s="556">
        <v>11</v>
      </c>
      <c r="S11" s="556"/>
      <c r="T11" s="556">
        <v>10</v>
      </c>
      <c r="U11" s="556"/>
      <c r="V11" s="184">
        <v>9</v>
      </c>
      <c r="W11" s="184"/>
      <c r="X11" s="184">
        <v>8</v>
      </c>
      <c r="Y11" s="184"/>
      <c r="Z11" s="184">
        <v>7</v>
      </c>
      <c r="AA11" s="184"/>
      <c r="AB11" s="184">
        <v>6</v>
      </c>
      <c r="AC11" s="184"/>
      <c r="AD11" s="184">
        <v>5</v>
      </c>
      <c r="AE11" s="184"/>
      <c r="AF11" s="184">
        <v>4</v>
      </c>
      <c r="AG11" s="184"/>
      <c r="AH11" s="249">
        <v>3</v>
      </c>
      <c r="AI11" s="249"/>
      <c r="AJ11" s="249">
        <v>2</v>
      </c>
      <c r="AK11" s="250"/>
      <c r="AL11" s="251">
        <v>1</v>
      </c>
      <c r="AM11" s="249"/>
      <c r="AN11" s="249">
        <v>0</v>
      </c>
      <c r="AO11" s="192"/>
      <c r="AP11" s="177"/>
      <c r="AQ11" s="186"/>
      <c r="AR11"/>
    </row>
    <row r="12" spans="2:44">
      <c r="B12" s="260">
        <v>189</v>
      </c>
      <c r="C12" s="261" t="s">
        <v>108</v>
      </c>
      <c r="D12" s="262" t="s">
        <v>676</v>
      </c>
      <c r="E12" s="325" t="s">
        <v>868</v>
      </c>
      <c r="F12" s="212"/>
      <c r="G12" s="325" t="s">
        <v>161</v>
      </c>
      <c r="H12" s="312" t="s">
        <v>909</v>
      </c>
      <c r="I12" s="212"/>
      <c r="J12" s="5"/>
      <c r="K12" s="14"/>
      <c r="L12" s="177"/>
      <c r="M12" s="187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92"/>
      <c r="AP12" s="193"/>
      <c r="AQ12" s="186"/>
      <c r="AR12"/>
    </row>
    <row r="13" spans="2:44">
      <c r="B13" s="260">
        <v>190</v>
      </c>
      <c r="C13" s="261" t="s">
        <v>109</v>
      </c>
      <c r="D13" s="262" t="s">
        <v>698</v>
      </c>
      <c r="E13" s="325" t="s">
        <v>868</v>
      </c>
      <c r="F13" s="212"/>
      <c r="G13" s="325" t="s">
        <v>171</v>
      </c>
      <c r="H13" s="312" t="s">
        <v>909</v>
      </c>
      <c r="I13" s="212"/>
      <c r="J13" s="5"/>
      <c r="K13" s="14"/>
      <c r="L13" s="177"/>
      <c r="M13" s="187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92"/>
      <c r="AP13" s="193"/>
      <c r="AQ13" s="186"/>
      <c r="AR13"/>
    </row>
    <row r="14" spans="2:44">
      <c r="B14" s="213">
        <v>179</v>
      </c>
      <c r="C14" s="214" t="s">
        <v>98</v>
      </c>
      <c r="D14" s="215" t="s">
        <v>675</v>
      </c>
      <c r="E14" s="359"/>
      <c r="F14" s="216"/>
      <c r="G14" s="359"/>
      <c r="H14" s="312"/>
      <c r="I14" s="216"/>
      <c r="J14" s="5"/>
      <c r="K14" s="14"/>
      <c r="L14" s="177"/>
      <c r="M14" s="187"/>
      <c r="N14" s="184"/>
      <c r="O14" s="184"/>
      <c r="P14" s="16" t="s">
        <v>13</v>
      </c>
      <c r="Q14" s="16"/>
      <c r="R14" s="16" t="s">
        <v>13</v>
      </c>
      <c r="S14" s="16"/>
      <c r="T14" s="16" t="s">
        <v>14</v>
      </c>
      <c r="U14" s="16"/>
      <c r="V14" s="16" t="s">
        <v>14</v>
      </c>
      <c r="W14" s="16"/>
      <c r="X14" s="16" t="s">
        <v>13</v>
      </c>
      <c r="Y14" s="16"/>
      <c r="Z14" s="16" t="s">
        <v>13</v>
      </c>
      <c r="AA14" s="16"/>
      <c r="AB14" s="16" t="s">
        <v>14</v>
      </c>
      <c r="AC14" s="16"/>
      <c r="AD14" s="16" t="s">
        <v>14</v>
      </c>
      <c r="AE14" s="16"/>
      <c r="AF14" s="16" t="s">
        <v>13</v>
      </c>
      <c r="AG14" s="16"/>
      <c r="AH14" s="16" t="s">
        <v>13</v>
      </c>
      <c r="AI14" s="16"/>
      <c r="AJ14" s="16" t="s">
        <v>14</v>
      </c>
      <c r="AK14" s="16"/>
      <c r="AL14" s="16" t="s">
        <v>14</v>
      </c>
      <c r="AM14" s="184"/>
      <c r="AN14" s="184"/>
      <c r="AO14" s="192"/>
      <c r="AP14" s="193"/>
      <c r="AQ14" s="182" t="s">
        <v>710</v>
      </c>
      <c r="AR14"/>
    </row>
    <row r="15" spans="2:44">
      <c r="B15" s="213">
        <v>180</v>
      </c>
      <c r="C15" s="214" t="s">
        <v>99</v>
      </c>
      <c r="D15" s="215" t="s">
        <v>697</v>
      </c>
      <c r="E15" s="359"/>
      <c r="F15" s="216"/>
      <c r="G15" s="359"/>
      <c r="H15" s="312"/>
      <c r="I15" s="216"/>
      <c r="J15" s="5"/>
      <c r="K15" s="14"/>
      <c r="L15" s="177"/>
      <c r="M15" s="187"/>
      <c r="N15" s="184"/>
      <c r="O15" s="184"/>
      <c r="P15" s="16">
        <v>2</v>
      </c>
      <c r="Q15" s="16"/>
      <c r="R15" s="16">
        <v>2</v>
      </c>
      <c r="S15" s="16"/>
      <c r="T15" s="16">
        <v>2</v>
      </c>
      <c r="U15" s="16"/>
      <c r="V15" s="16">
        <v>2</v>
      </c>
      <c r="W15" s="16"/>
      <c r="X15" s="16">
        <v>1</v>
      </c>
      <c r="Y15" s="16"/>
      <c r="Z15" s="16">
        <v>1</v>
      </c>
      <c r="AA15" s="16"/>
      <c r="AB15" s="16">
        <v>1</v>
      </c>
      <c r="AC15" s="16"/>
      <c r="AD15" s="16">
        <v>1</v>
      </c>
      <c r="AE15" s="16"/>
      <c r="AF15" s="16">
        <v>0</v>
      </c>
      <c r="AG15" s="16"/>
      <c r="AH15" s="16">
        <v>0</v>
      </c>
      <c r="AI15" s="16"/>
      <c r="AJ15" s="16">
        <v>0</v>
      </c>
      <c r="AK15" s="16"/>
      <c r="AL15" s="16">
        <v>0</v>
      </c>
      <c r="AM15" s="184"/>
      <c r="AN15" s="184"/>
      <c r="AO15" s="192"/>
      <c r="AP15" s="193"/>
      <c r="AQ15" s="182" t="s">
        <v>713</v>
      </c>
      <c r="AR15"/>
    </row>
    <row r="16" spans="2:44" ht="16.5" thickBot="1">
      <c r="B16" s="42">
        <v>197</v>
      </c>
      <c r="C16" s="21" t="s">
        <v>116</v>
      </c>
      <c r="D16" s="22" t="s">
        <v>631</v>
      </c>
      <c r="E16" s="323" t="s">
        <v>868</v>
      </c>
      <c r="F16" s="5"/>
      <c r="G16" s="323" t="s">
        <v>165</v>
      </c>
      <c r="H16" s="312" t="s">
        <v>909</v>
      </c>
      <c r="I16" s="5"/>
      <c r="J16" s="5"/>
      <c r="K16" s="14"/>
      <c r="L16" s="177"/>
      <c r="M16" s="187"/>
      <c r="N16" s="184"/>
      <c r="O16" s="184"/>
      <c r="P16" s="16" t="s">
        <v>17</v>
      </c>
      <c r="Q16" s="16"/>
      <c r="R16" s="16" t="s">
        <v>13</v>
      </c>
      <c r="S16" s="16"/>
      <c r="T16" s="16" t="s">
        <v>13</v>
      </c>
      <c r="U16" s="16"/>
      <c r="V16" s="16" t="s">
        <v>17</v>
      </c>
      <c r="W16" s="16"/>
      <c r="X16" s="16" t="s">
        <v>17</v>
      </c>
      <c r="Y16" s="16"/>
      <c r="Z16" s="16" t="s">
        <v>13</v>
      </c>
      <c r="AA16" s="16"/>
      <c r="AB16" s="16" t="s">
        <v>13</v>
      </c>
      <c r="AC16" s="16"/>
      <c r="AD16" s="16" t="s">
        <v>17</v>
      </c>
      <c r="AE16" s="16"/>
      <c r="AF16" s="16" t="s">
        <v>17</v>
      </c>
      <c r="AG16" s="16"/>
      <c r="AH16" s="16" t="s">
        <v>13</v>
      </c>
      <c r="AI16" s="16"/>
      <c r="AJ16" s="16" t="s">
        <v>13</v>
      </c>
      <c r="AK16" s="16"/>
      <c r="AL16" s="16" t="s">
        <v>17</v>
      </c>
      <c r="AM16" s="184"/>
      <c r="AN16" s="184"/>
      <c r="AO16" s="192"/>
      <c r="AP16" s="193"/>
      <c r="AQ16" s="182" t="s">
        <v>954</v>
      </c>
      <c r="AR16"/>
    </row>
    <row r="17" spans="2:44">
      <c r="B17" s="42">
        <v>198</v>
      </c>
      <c r="C17" s="21" t="s">
        <v>117</v>
      </c>
      <c r="D17" s="22" t="s">
        <v>654</v>
      </c>
      <c r="E17" s="323" t="s">
        <v>868</v>
      </c>
      <c r="F17" s="5"/>
      <c r="G17" s="323" t="s">
        <v>175</v>
      </c>
      <c r="H17" s="312" t="s">
        <v>909</v>
      </c>
      <c r="I17" s="5"/>
      <c r="J17" s="5"/>
      <c r="K17" s="14"/>
      <c r="L17" s="177"/>
      <c r="M17" s="187"/>
      <c r="N17" s="184"/>
      <c r="O17" s="16"/>
      <c r="P17" s="244">
        <v>11</v>
      </c>
      <c r="Q17" s="35"/>
      <c r="R17" s="244">
        <v>10</v>
      </c>
      <c r="S17" s="35"/>
      <c r="T17" s="244">
        <v>9</v>
      </c>
      <c r="U17" s="35"/>
      <c r="V17" s="244">
        <v>8</v>
      </c>
      <c r="W17" s="35"/>
      <c r="X17" s="244">
        <v>7</v>
      </c>
      <c r="Y17" s="35"/>
      <c r="Z17" s="244">
        <v>6</v>
      </c>
      <c r="AA17" s="35"/>
      <c r="AB17" s="244">
        <v>5</v>
      </c>
      <c r="AC17" s="35"/>
      <c r="AD17" s="244">
        <v>4</v>
      </c>
      <c r="AE17" s="35"/>
      <c r="AF17" s="255">
        <v>3</v>
      </c>
      <c r="AG17" s="35"/>
      <c r="AH17" s="244">
        <v>2</v>
      </c>
      <c r="AI17" s="35"/>
      <c r="AJ17" s="244">
        <v>1</v>
      </c>
      <c r="AK17" s="35"/>
      <c r="AL17" s="244">
        <v>0</v>
      </c>
      <c r="AM17" s="184"/>
      <c r="AN17" s="184"/>
      <c r="AO17" s="192"/>
      <c r="AP17" s="193"/>
      <c r="AQ17" s="182" t="s">
        <v>964</v>
      </c>
      <c r="AR17"/>
    </row>
    <row r="18" spans="2:44" s="1" customFormat="1" ht="16.5" thickBot="1">
      <c r="B18" s="42">
        <v>210</v>
      </c>
      <c r="C18" s="21" t="s">
        <v>129</v>
      </c>
      <c r="D18" s="22" t="s">
        <v>700</v>
      </c>
      <c r="E18" s="323" t="s">
        <v>868</v>
      </c>
      <c r="F18" s="5"/>
      <c r="G18" s="323" t="s">
        <v>125</v>
      </c>
      <c r="H18" s="312" t="s">
        <v>909</v>
      </c>
      <c r="I18" s="5"/>
      <c r="J18" s="5"/>
      <c r="K18" s="14"/>
      <c r="L18" s="177"/>
      <c r="M18" s="187"/>
      <c r="N18" s="184"/>
      <c r="O18" s="16"/>
      <c r="P18" s="246">
        <v>11</v>
      </c>
      <c r="Q18" s="35"/>
      <c r="R18" s="246">
        <v>10</v>
      </c>
      <c r="S18" s="35"/>
      <c r="T18" s="246">
        <v>9</v>
      </c>
      <c r="U18" s="35"/>
      <c r="V18" s="246">
        <v>8</v>
      </c>
      <c r="W18" s="35"/>
      <c r="X18" s="246">
        <v>7</v>
      </c>
      <c r="Y18" s="35"/>
      <c r="Z18" s="246">
        <v>6</v>
      </c>
      <c r="AA18" s="35"/>
      <c r="AB18" s="246">
        <v>5</v>
      </c>
      <c r="AC18" s="35"/>
      <c r="AD18" s="246">
        <v>4</v>
      </c>
      <c r="AE18" s="35"/>
      <c r="AF18" s="256">
        <v>3</v>
      </c>
      <c r="AG18" s="35"/>
      <c r="AH18" s="246">
        <v>2</v>
      </c>
      <c r="AI18" s="35"/>
      <c r="AJ18" s="246">
        <v>1</v>
      </c>
      <c r="AK18" s="35"/>
      <c r="AL18" s="246">
        <v>0</v>
      </c>
      <c r="AM18" s="184"/>
      <c r="AN18" s="184"/>
      <c r="AO18" s="192"/>
      <c r="AP18" s="193"/>
      <c r="AQ18" s="186"/>
      <c r="AR18"/>
    </row>
    <row r="19" spans="2:44" s="1" customFormat="1" ht="16.5" thickBot="1">
      <c r="B19" s="42">
        <v>209</v>
      </c>
      <c r="C19" s="21" t="s">
        <v>128</v>
      </c>
      <c r="D19" s="22" t="s">
        <v>678</v>
      </c>
      <c r="E19" s="323" t="s">
        <v>868</v>
      </c>
      <c r="F19" s="5"/>
      <c r="G19" s="323" t="s">
        <v>135</v>
      </c>
      <c r="H19" s="312" t="s">
        <v>909</v>
      </c>
      <c r="I19" s="5"/>
      <c r="J19" s="5"/>
      <c r="K19" s="14"/>
      <c r="L19" s="177"/>
      <c r="M19" s="194"/>
      <c r="N19" s="195"/>
      <c r="O19" s="195"/>
      <c r="P19" s="563">
        <v>11</v>
      </c>
      <c r="Q19" s="563"/>
      <c r="R19" s="563">
        <v>10</v>
      </c>
      <c r="S19" s="563"/>
      <c r="T19" s="195">
        <v>9</v>
      </c>
      <c r="U19" s="195"/>
      <c r="V19" s="195">
        <v>8</v>
      </c>
      <c r="W19" s="195"/>
      <c r="X19" s="195">
        <v>7</v>
      </c>
      <c r="Y19" s="195"/>
      <c r="Z19" s="195">
        <v>6</v>
      </c>
      <c r="AA19" s="195"/>
      <c r="AB19" s="195">
        <v>5</v>
      </c>
      <c r="AC19" s="195"/>
      <c r="AD19" s="195">
        <v>4</v>
      </c>
      <c r="AE19" s="195"/>
      <c r="AF19" s="195">
        <v>3</v>
      </c>
      <c r="AG19" s="195"/>
      <c r="AH19" s="195">
        <v>2</v>
      </c>
      <c r="AI19" s="195"/>
      <c r="AJ19" s="253">
        <v>1</v>
      </c>
      <c r="AK19" s="253"/>
      <c r="AL19" s="253">
        <v>0</v>
      </c>
      <c r="AM19" s="253"/>
      <c r="AN19" s="195"/>
      <c r="AO19" s="196"/>
      <c r="AP19" s="193"/>
      <c r="AQ19" s="186"/>
      <c r="AR19"/>
    </row>
    <row r="20" spans="2:44" s="1" customFormat="1">
      <c r="B20" s="42">
        <v>217</v>
      </c>
      <c r="C20" s="21" t="s">
        <v>136</v>
      </c>
      <c r="D20" s="22" t="s">
        <v>633</v>
      </c>
      <c r="E20" s="323" t="s">
        <v>868</v>
      </c>
      <c r="F20" s="5"/>
      <c r="G20" s="323" t="s">
        <v>144</v>
      </c>
      <c r="H20" s="312" t="s">
        <v>909</v>
      </c>
      <c r="I20" s="5"/>
      <c r="J20" s="5"/>
      <c r="K20" s="14"/>
      <c r="L20" s="558" t="s">
        <v>864</v>
      </c>
      <c r="M20" s="559"/>
      <c r="N20" s="559"/>
      <c r="O20" s="559"/>
      <c r="P20" s="559"/>
      <c r="Q20" s="559"/>
      <c r="R20" s="559"/>
      <c r="S20" s="559"/>
      <c r="T20" s="559"/>
      <c r="U20" s="559"/>
      <c r="V20" s="559"/>
      <c r="W20" s="559"/>
      <c r="X20" s="559"/>
      <c r="Y20" s="559"/>
      <c r="Z20" s="559"/>
      <c r="AA20" s="559"/>
      <c r="AB20" s="559"/>
      <c r="AC20" s="559"/>
      <c r="AD20" s="559"/>
      <c r="AE20" s="559"/>
      <c r="AF20" s="559"/>
      <c r="AG20" s="559"/>
      <c r="AH20" s="559"/>
      <c r="AI20" s="559"/>
      <c r="AJ20" s="559"/>
      <c r="AK20" s="559"/>
      <c r="AL20" s="559"/>
      <c r="AM20" s="559"/>
      <c r="AN20" s="559"/>
      <c r="AO20" s="559"/>
      <c r="AP20" s="559"/>
      <c r="AQ20" s="186"/>
      <c r="AR20"/>
    </row>
    <row r="21" spans="2:44" s="1" customFormat="1">
      <c r="B21" s="42">
        <v>218</v>
      </c>
      <c r="C21" s="21" t="s">
        <v>137</v>
      </c>
      <c r="D21" s="22" t="s">
        <v>656</v>
      </c>
      <c r="E21" s="323" t="s">
        <v>868</v>
      </c>
      <c r="F21" s="5"/>
      <c r="G21" s="323" t="s">
        <v>154</v>
      </c>
      <c r="H21" s="312" t="s">
        <v>909</v>
      </c>
      <c r="I21" s="5"/>
      <c r="J21" s="5"/>
      <c r="K21" s="14"/>
      <c r="L21" s="560" t="s">
        <v>721</v>
      </c>
      <c r="M21" s="561"/>
      <c r="N21" s="561"/>
      <c r="O21" s="561"/>
      <c r="P21" s="561"/>
      <c r="Q21" s="561"/>
      <c r="R21" s="561"/>
      <c r="S21" s="561"/>
      <c r="T21" s="561"/>
      <c r="U21" s="561"/>
      <c r="V21" s="561"/>
      <c r="W21" s="561"/>
      <c r="X21" s="561"/>
      <c r="Y21" s="561"/>
      <c r="Z21" s="561"/>
      <c r="AA21" s="561"/>
      <c r="AB21" s="561"/>
      <c r="AC21" s="561"/>
      <c r="AD21" s="561"/>
      <c r="AE21" s="561"/>
      <c r="AF21" s="561"/>
      <c r="AG21" s="561"/>
      <c r="AH21" s="561"/>
      <c r="AI21" s="561"/>
      <c r="AJ21" s="561"/>
      <c r="AK21" s="561"/>
      <c r="AL21" s="561"/>
      <c r="AM21" s="561"/>
      <c r="AN21" s="561"/>
      <c r="AO21" s="561"/>
      <c r="AP21" s="561"/>
      <c r="AQ21" s="193"/>
      <c r="AR21"/>
    </row>
    <row r="22" spans="2:44" s="1" customFormat="1">
      <c r="B22" s="260">
        <v>177</v>
      </c>
      <c r="C22" s="261" t="s">
        <v>96</v>
      </c>
      <c r="D22" s="262" t="s">
        <v>629</v>
      </c>
      <c r="E22" s="325" t="s">
        <v>868</v>
      </c>
      <c r="F22" s="212"/>
      <c r="G22" s="325" t="s">
        <v>104</v>
      </c>
      <c r="H22" s="312" t="s">
        <v>909</v>
      </c>
      <c r="I22" s="212"/>
      <c r="J22" s="5"/>
      <c r="K22" s="14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0">
        <v>187</v>
      </c>
      <c r="C23" s="261" t="s">
        <v>106</v>
      </c>
      <c r="D23" s="262" t="s">
        <v>630</v>
      </c>
      <c r="E23" s="325" t="s">
        <v>868</v>
      </c>
      <c r="F23" s="212"/>
      <c r="G23" s="325" t="s">
        <v>114</v>
      </c>
      <c r="H23" s="312" t="s">
        <v>909</v>
      </c>
      <c r="I23" s="212"/>
      <c r="J23" s="5"/>
      <c r="K23" s="14"/>
      <c r="L23"/>
      <c r="M23" s="562" t="s">
        <v>836</v>
      </c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2"/>
      <c r="AP23"/>
      <c r="AQ23"/>
      <c r="AR23"/>
    </row>
    <row r="24" spans="2:44" s="1" customFormat="1">
      <c r="B24" s="213">
        <v>178</v>
      </c>
      <c r="C24" s="214" t="s">
        <v>97</v>
      </c>
      <c r="D24" s="215" t="s">
        <v>652</v>
      </c>
      <c r="E24" s="359"/>
      <c r="F24" s="216"/>
      <c r="G24" s="216"/>
      <c r="H24" s="199"/>
      <c r="I24" s="216"/>
      <c r="J24" s="5"/>
      <c r="K24" s="14"/>
      <c r="L24"/>
      <c r="M24" s="557" t="s">
        <v>883</v>
      </c>
      <c r="N24" s="557"/>
      <c r="O24" s="557"/>
      <c r="P24" s="557"/>
      <c r="Q24" s="557"/>
      <c r="R24" s="557"/>
      <c r="S24" s="557"/>
      <c r="T24" s="557"/>
      <c r="U24" s="557"/>
      <c r="V24" s="557"/>
      <c r="W24" s="557"/>
      <c r="X24" s="557"/>
      <c r="Y24" s="557"/>
      <c r="Z24" s="557"/>
      <c r="AA24" s="557"/>
      <c r="AB24" s="557"/>
      <c r="AC24" s="557"/>
      <c r="AD24" s="557"/>
      <c r="AE24" s="557"/>
      <c r="AF24" s="557"/>
      <c r="AG24" s="557"/>
      <c r="AH24" s="557"/>
      <c r="AI24" s="557"/>
      <c r="AJ24" s="557"/>
      <c r="AK24" s="557"/>
      <c r="AL24" s="557"/>
      <c r="AM24" s="557"/>
      <c r="AN24" s="557"/>
      <c r="AO24" s="557"/>
      <c r="AP24"/>
      <c r="AQ24"/>
      <c r="AR24"/>
    </row>
    <row r="25" spans="2:44" s="1" customFormat="1">
      <c r="B25" s="213">
        <v>188</v>
      </c>
      <c r="C25" s="214" t="s">
        <v>107</v>
      </c>
      <c r="D25" s="215" t="s">
        <v>653</v>
      </c>
      <c r="E25" s="359"/>
      <c r="F25" s="216"/>
      <c r="G25" s="216"/>
      <c r="H25" s="199"/>
      <c r="I25" s="216"/>
      <c r="J25" s="5"/>
      <c r="K25" s="14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42">
        <v>277</v>
      </c>
      <c r="C26" s="21" t="s">
        <v>196</v>
      </c>
      <c r="D26" s="22" t="s">
        <v>635</v>
      </c>
      <c r="E26" s="323" t="s">
        <v>868</v>
      </c>
      <c r="F26" s="5"/>
      <c r="G26" s="323" t="s">
        <v>43</v>
      </c>
      <c r="H26" s="340" t="s">
        <v>914</v>
      </c>
      <c r="I26" s="5"/>
      <c r="J26" s="5"/>
      <c r="K26" s="14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42">
        <v>278</v>
      </c>
      <c r="C27" s="21" t="s">
        <v>197</v>
      </c>
      <c r="D27" s="22" t="s">
        <v>658</v>
      </c>
      <c r="E27" s="323" t="s">
        <v>868</v>
      </c>
      <c r="F27" s="5"/>
      <c r="G27" s="323" t="s">
        <v>53</v>
      </c>
      <c r="H27" s="312" t="s">
        <v>914</v>
      </c>
      <c r="I27" s="5"/>
      <c r="J27" s="5"/>
      <c r="K27" s="14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42">
        <v>287</v>
      </c>
      <c r="C28" s="21" t="s">
        <v>206</v>
      </c>
      <c r="D28" s="22" t="s">
        <v>636</v>
      </c>
      <c r="E28" s="323" t="s">
        <v>868</v>
      </c>
      <c r="F28" s="5"/>
      <c r="G28" s="323" t="s">
        <v>62</v>
      </c>
      <c r="H28" s="312" t="s">
        <v>914</v>
      </c>
      <c r="I28" s="5"/>
      <c r="J28" s="5"/>
      <c r="K28" s="14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42">
        <v>288</v>
      </c>
      <c r="C29" s="21" t="s">
        <v>207</v>
      </c>
      <c r="D29" s="22" t="s">
        <v>659</v>
      </c>
      <c r="E29" s="323" t="s">
        <v>868</v>
      </c>
      <c r="F29" s="5"/>
      <c r="G29" s="323" t="s">
        <v>72</v>
      </c>
      <c r="H29" s="312" t="s">
        <v>914</v>
      </c>
      <c r="I29" s="5"/>
      <c r="J29" s="5"/>
      <c r="K29" s="14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42">
        <v>297</v>
      </c>
      <c r="C30" s="21" t="s">
        <v>216</v>
      </c>
      <c r="D30" s="22" t="s">
        <v>637</v>
      </c>
      <c r="E30" s="323" t="s">
        <v>868</v>
      </c>
      <c r="F30" s="5"/>
      <c r="G30" s="323" t="s">
        <v>22</v>
      </c>
      <c r="H30" s="312" t="s">
        <v>914</v>
      </c>
      <c r="I30" s="5"/>
      <c r="J30" s="5"/>
      <c r="K30" s="14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42">
        <v>298</v>
      </c>
      <c r="C31" s="21" t="s">
        <v>217</v>
      </c>
      <c r="D31" s="22" t="s">
        <v>660</v>
      </c>
      <c r="E31" s="323" t="s">
        <v>868</v>
      </c>
      <c r="F31" s="5"/>
      <c r="G31" s="323" t="s">
        <v>32</v>
      </c>
      <c r="H31" s="312" t="s">
        <v>914</v>
      </c>
      <c r="I31" s="5"/>
      <c r="J31" s="5"/>
      <c r="K31" s="14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0">
        <v>307</v>
      </c>
      <c r="C32" s="261" t="s">
        <v>226</v>
      </c>
      <c r="D32" s="262" t="s">
        <v>638</v>
      </c>
      <c r="E32" s="325" t="s">
        <v>868</v>
      </c>
      <c r="F32" s="212"/>
      <c r="G32" s="325" t="s">
        <v>81</v>
      </c>
      <c r="H32" s="312" t="s">
        <v>914</v>
      </c>
      <c r="I32" s="212"/>
      <c r="J32" s="5"/>
      <c r="K32" s="14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0">
        <v>308</v>
      </c>
      <c r="C33" s="261" t="s">
        <v>227</v>
      </c>
      <c r="D33" s="262" t="s">
        <v>661</v>
      </c>
      <c r="E33" s="325" t="s">
        <v>868</v>
      </c>
      <c r="F33" s="212"/>
      <c r="G33" s="325" t="s">
        <v>91</v>
      </c>
      <c r="H33" s="312" t="s">
        <v>914</v>
      </c>
      <c r="I33" s="212"/>
      <c r="J33" s="5"/>
      <c r="K33" s="14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13">
        <v>317</v>
      </c>
      <c r="C34" s="214" t="s">
        <v>236</v>
      </c>
      <c r="D34" s="215" t="s">
        <v>639</v>
      </c>
      <c r="E34" s="359"/>
      <c r="F34" s="216"/>
      <c r="G34" s="359"/>
      <c r="H34" s="312"/>
      <c r="I34" s="216"/>
      <c r="J34" s="5"/>
      <c r="K34" s="1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13">
        <v>318</v>
      </c>
      <c r="C35" s="214" t="s">
        <v>237</v>
      </c>
      <c r="D35" s="215" t="s">
        <v>662</v>
      </c>
      <c r="E35" s="359"/>
      <c r="F35" s="216"/>
      <c r="G35" s="359"/>
      <c r="H35" s="312"/>
      <c r="I35" s="216"/>
      <c r="J35" s="5"/>
      <c r="K35" s="14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42">
        <v>279</v>
      </c>
      <c r="C36" s="21" t="s">
        <v>198</v>
      </c>
      <c r="D36" s="22" t="s">
        <v>679</v>
      </c>
      <c r="E36" s="323" t="s">
        <v>868</v>
      </c>
      <c r="F36" s="5"/>
      <c r="G36" s="323" t="s">
        <v>85</v>
      </c>
      <c r="H36" s="312" t="s">
        <v>914</v>
      </c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42">
        <v>280</v>
      </c>
      <c r="C37" s="21" t="s">
        <v>199</v>
      </c>
      <c r="D37" s="22" t="s">
        <v>701</v>
      </c>
      <c r="E37" s="323" t="s">
        <v>868</v>
      </c>
      <c r="F37" s="5"/>
      <c r="G37" s="323" t="s">
        <v>95</v>
      </c>
      <c r="H37" s="312" t="s">
        <v>914</v>
      </c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42">
        <v>289</v>
      </c>
      <c r="C38" s="21" t="s">
        <v>208</v>
      </c>
      <c r="D38" s="22" t="s">
        <v>680</v>
      </c>
      <c r="E38" s="323" t="s">
        <v>868</v>
      </c>
      <c r="F38" s="5"/>
      <c r="G38" s="323" t="s">
        <v>45</v>
      </c>
      <c r="H38" s="312" t="s">
        <v>914</v>
      </c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42">
        <v>290</v>
      </c>
      <c r="C39" s="21" t="s">
        <v>209</v>
      </c>
      <c r="D39" s="22" t="s">
        <v>702</v>
      </c>
      <c r="E39" s="323" t="s">
        <v>868</v>
      </c>
      <c r="F39" s="5"/>
      <c r="G39" s="323" t="s">
        <v>55</v>
      </c>
      <c r="H39" s="312" t="s">
        <v>914</v>
      </c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42">
        <v>299</v>
      </c>
      <c r="C40" s="21" t="s">
        <v>218</v>
      </c>
      <c r="D40" s="22" t="s">
        <v>681</v>
      </c>
      <c r="E40" s="323" t="s">
        <v>868</v>
      </c>
      <c r="F40" s="5"/>
      <c r="G40" s="323" t="s">
        <v>64</v>
      </c>
      <c r="H40" s="312" t="s">
        <v>914</v>
      </c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42">
        <v>300</v>
      </c>
      <c r="C41" s="21" t="s">
        <v>219</v>
      </c>
      <c r="D41" s="22" t="s">
        <v>703</v>
      </c>
      <c r="E41" s="323" t="s">
        <v>868</v>
      </c>
      <c r="F41" s="5"/>
      <c r="G41" s="323" t="s">
        <v>74</v>
      </c>
      <c r="H41" s="312" t="s">
        <v>914</v>
      </c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0">
        <v>309</v>
      </c>
      <c r="C42" s="261" t="s">
        <v>228</v>
      </c>
      <c r="D42" s="262" t="s">
        <v>682</v>
      </c>
      <c r="E42" s="325" t="s">
        <v>868</v>
      </c>
      <c r="F42" s="212"/>
      <c r="G42" s="325" t="s">
        <v>24</v>
      </c>
      <c r="H42" s="312" t="s">
        <v>914</v>
      </c>
      <c r="I42" s="212"/>
      <c r="J42" s="5"/>
      <c r="K42" s="14"/>
      <c r="L42" s="3"/>
    </row>
    <row r="43" spans="2:44" s="1" customFormat="1">
      <c r="B43" s="260">
        <v>310</v>
      </c>
      <c r="C43" s="261" t="s">
        <v>229</v>
      </c>
      <c r="D43" s="262" t="s">
        <v>704</v>
      </c>
      <c r="E43" s="325" t="s">
        <v>868</v>
      </c>
      <c r="F43" s="212"/>
      <c r="G43" s="325" t="s">
        <v>34</v>
      </c>
      <c r="H43" s="312" t="s">
        <v>914</v>
      </c>
      <c r="I43" s="212"/>
      <c r="J43" s="5"/>
      <c r="K43" s="14"/>
      <c r="L43" s="3"/>
    </row>
    <row r="44" spans="2:44" s="1" customFormat="1">
      <c r="B44" s="213">
        <v>319</v>
      </c>
      <c r="C44" s="214" t="s">
        <v>238</v>
      </c>
      <c r="D44" s="215" t="s">
        <v>683</v>
      </c>
      <c r="E44" s="199"/>
      <c r="F44" s="216"/>
      <c r="G44" s="216"/>
      <c r="H44" s="199"/>
      <c r="I44" s="216"/>
      <c r="J44" s="5"/>
      <c r="K44" s="14"/>
      <c r="L44" s="3"/>
    </row>
    <row r="45" spans="2:44" s="1" customFormat="1">
      <c r="B45" s="213">
        <v>320</v>
      </c>
      <c r="C45" s="214" t="s">
        <v>239</v>
      </c>
      <c r="D45" s="215" t="s">
        <v>705</v>
      </c>
      <c r="E45" s="199"/>
      <c r="F45" s="216"/>
      <c r="G45" s="216"/>
      <c r="H45" s="199"/>
      <c r="I45" s="216"/>
      <c r="J45" s="5"/>
      <c r="K45" s="14"/>
      <c r="L45" s="3"/>
    </row>
    <row r="46" spans="2:44" s="1" customFormat="1">
      <c r="B46" s="260">
        <v>37</v>
      </c>
      <c r="C46" s="261" t="s">
        <v>373</v>
      </c>
      <c r="D46" s="262" t="s">
        <v>622</v>
      </c>
      <c r="E46" s="325" t="s">
        <v>869</v>
      </c>
      <c r="F46" s="212"/>
      <c r="G46" s="325" t="s">
        <v>123</v>
      </c>
      <c r="H46" s="340" t="s">
        <v>922</v>
      </c>
      <c r="I46" s="212"/>
      <c r="J46" s="5"/>
      <c r="K46" s="14"/>
      <c r="L46" s="3"/>
    </row>
    <row r="47" spans="2:44" s="1" customFormat="1">
      <c r="B47" s="260">
        <v>27</v>
      </c>
      <c r="C47" s="261" t="s">
        <v>363</v>
      </c>
      <c r="D47" s="262" t="s">
        <v>623</v>
      </c>
      <c r="E47" s="325" t="s">
        <v>869</v>
      </c>
      <c r="F47" s="212"/>
      <c r="G47" s="325" t="s">
        <v>133</v>
      </c>
      <c r="H47" s="314" t="s">
        <v>922</v>
      </c>
      <c r="I47" s="212"/>
      <c r="J47" s="5"/>
      <c r="K47" s="14"/>
      <c r="L47" s="3"/>
    </row>
    <row r="48" spans="2:44">
      <c r="B48" s="260">
        <v>18</v>
      </c>
      <c r="C48" s="261" t="s">
        <v>354</v>
      </c>
      <c r="D48" s="262" t="s">
        <v>643</v>
      </c>
      <c r="E48" s="325" t="s">
        <v>869</v>
      </c>
      <c r="F48" s="212"/>
      <c r="G48" s="325" t="s">
        <v>142</v>
      </c>
      <c r="H48" s="314" t="s">
        <v>922</v>
      </c>
      <c r="I48" s="212"/>
      <c r="J48" s="5"/>
      <c r="K48" s="14"/>
    </row>
    <row r="49" spans="2:11">
      <c r="B49" s="260">
        <v>8</v>
      </c>
      <c r="C49" s="261" t="s">
        <v>344</v>
      </c>
      <c r="D49" s="262" t="s">
        <v>644</v>
      </c>
      <c r="E49" s="325" t="s">
        <v>869</v>
      </c>
      <c r="F49" s="212"/>
      <c r="G49" s="325" t="s">
        <v>152</v>
      </c>
      <c r="H49" s="314" t="s">
        <v>922</v>
      </c>
      <c r="I49" s="212"/>
      <c r="J49" s="5"/>
      <c r="K49" s="14"/>
    </row>
    <row r="50" spans="2:11">
      <c r="B50" s="260">
        <v>10</v>
      </c>
      <c r="C50" s="261" t="s">
        <v>346</v>
      </c>
      <c r="D50" s="262" t="s">
        <v>666</v>
      </c>
      <c r="E50" s="325" t="s">
        <v>869</v>
      </c>
      <c r="F50" s="212"/>
      <c r="G50" s="325" t="s">
        <v>102</v>
      </c>
      <c r="H50" s="314" t="s">
        <v>922</v>
      </c>
      <c r="I50" s="212"/>
      <c r="J50" s="5"/>
      <c r="K50" s="14"/>
    </row>
    <row r="51" spans="2:11">
      <c r="B51" s="260">
        <v>9</v>
      </c>
      <c r="C51" s="261" t="s">
        <v>345</v>
      </c>
      <c r="D51" s="262" t="s">
        <v>688</v>
      </c>
      <c r="E51" s="325" t="s">
        <v>869</v>
      </c>
      <c r="F51" s="212"/>
      <c r="G51" s="325" t="s">
        <v>112</v>
      </c>
      <c r="H51" s="314" t="s">
        <v>922</v>
      </c>
      <c r="I51" s="212"/>
      <c r="J51" s="5"/>
      <c r="K51" s="14"/>
    </row>
    <row r="52" spans="2:11">
      <c r="B52" s="260">
        <v>7</v>
      </c>
      <c r="C52" s="261" t="s">
        <v>343</v>
      </c>
      <c r="D52" s="262" t="s">
        <v>621</v>
      </c>
      <c r="E52" s="325" t="s">
        <v>869</v>
      </c>
      <c r="F52" s="212"/>
      <c r="G52" s="325" t="s">
        <v>161</v>
      </c>
      <c r="H52" s="314" t="s">
        <v>922</v>
      </c>
      <c r="I52" s="212"/>
      <c r="J52" s="5"/>
      <c r="K52" s="14"/>
    </row>
    <row r="53" spans="2:11">
      <c r="B53" s="260">
        <v>17</v>
      </c>
      <c r="C53" s="261" t="s">
        <v>353</v>
      </c>
      <c r="D53" s="262" t="s">
        <v>620</v>
      </c>
      <c r="E53" s="325" t="s">
        <v>869</v>
      </c>
      <c r="F53" s="212"/>
      <c r="G53" s="325" t="s">
        <v>171</v>
      </c>
      <c r="H53" s="314" t="s">
        <v>922</v>
      </c>
      <c r="I53" s="212"/>
      <c r="J53" s="5"/>
      <c r="K53" s="14"/>
    </row>
    <row r="54" spans="2:11">
      <c r="B54" s="213">
        <v>6</v>
      </c>
      <c r="C54" s="214" t="s">
        <v>342</v>
      </c>
      <c r="D54" s="215" t="s">
        <v>611</v>
      </c>
      <c r="E54" s="359"/>
      <c r="F54" s="216"/>
      <c r="G54" s="359"/>
      <c r="H54" s="314"/>
      <c r="I54" s="216"/>
      <c r="J54" s="5"/>
      <c r="K54" s="14"/>
    </row>
    <row r="55" spans="2:11">
      <c r="B55" s="213">
        <v>16</v>
      </c>
      <c r="C55" s="214" t="s">
        <v>352</v>
      </c>
      <c r="D55" s="215" t="s">
        <v>610</v>
      </c>
      <c r="E55" s="359"/>
      <c r="F55" s="216"/>
      <c r="G55" s="359"/>
      <c r="H55" s="314"/>
      <c r="I55" s="216"/>
      <c r="J55" s="5"/>
      <c r="K55" s="14"/>
    </row>
    <row r="56" spans="2:11">
      <c r="B56" s="260">
        <v>60</v>
      </c>
      <c r="C56" s="261" t="s">
        <v>396</v>
      </c>
      <c r="D56" s="264" t="s">
        <v>669</v>
      </c>
      <c r="E56" s="325" t="s">
        <v>869</v>
      </c>
      <c r="F56" s="212"/>
      <c r="G56" s="325" t="s">
        <v>165</v>
      </c>
      <c r="H56" s="314" t="s">
        <v>922</v>
      </c>
      <c r="I56" s="212"/>
      <c r="J56" s="5"/>
      <c r="K56" s="14"/>
    </row>
    <row r="57" spans="2:11">
      <c r="B57" s="260">
        <v>59</v>
      </c>
      <c r="C57" s="261" t="s">
        <v>395</v>
      </c>
      <c r="D57" s="264" t="s">
        <v>691</v>
      </c>
      <c r="E57" s="325" t="s">
        <v>869</v>
      </c>
      <c r="F57" s="212"/>
      <c r="G57" s="325" t="s">
        <v>175</v>
      </c>
      <c r="H57" s="314" t="s">
        <v>922</v>
      </c>
      <c r="I57" s="212"/>
      <c r="J57" s="5"/>
      <c r="K57" s="14"/>
    </row>
    <row r="58" spans="2:11">
      <c r="B58" s="260">
        <v>28</v>
      </c>
      <c r="C58" s="261" t="s">
        <v>364</v>
      </c>
      <c r="D58" s="262" t="s">
        <v>646</v>
      </c>
      <c r="E58" s="325" t="s">
        <v>869</v>
      </c>
      <c r="F58" s="212"/>
      <c r="G58" s="325" t="s">
        <v>125</v>
      </c>
      <c r="H58" s="314" t="s">
        <v>922</v>
      </c>
      <c r="I58" s="212"/>
      <c r="J58" s="5"/>
      <c r="K58" s="14"/>
    </row>
    <row r="59" spans="2:11">
      <c r="B59" s="260">
        <v>38</v>
      </c>
      <c r="C59" s="261" t="s">
        <v>374</v>
      </c>
      <c r="D59" s="262" t="s">
        <v>645</v>
      </c>
      <c r="E59" s="325" t="s">
        <v>869</v>
      </c>
      <c r="F59" s="212"/>
      <c r="G59" s="325" t="s">
        <v>135</v>
      </c>
      <c r="H59" s="314" t="s">
        <v>922</v>
      </c>
      <c r="I59" s="212"/>
      <c r="J59" s="5"/>
      <c r="K59" s="14"/>
    </row>
    <row r="60" spans="2:11">
      <c r="B60" s="260">
        <v>49</v>
      </c>
      <c r="C60" s="261" t="s">
        <v>385</v>
      </c>
      <c r="D60" s="264" t="s">
        <v>690</v>
      </c>
      <c r="E60" s="325" t="s">
        <v>869</v>
      </c>
      <c r="F60" s="212"/>
      <c r="G60" s="325" t="s">
        <v>144</v>
      </c>
      <c r="H60" s="314" t="s">
        <v>922</v>
      </c>
      <c r="I60" s="212"/>
      <c r="J60" s="5"/>
      <c r="K60" s="14"/>
    </row>
    <row r="61" spans="2:11">
      <c r="B61" s="260">
        <v>50</v>
      </c>
      <c r="C61" s="261" t="s">
        <v>386</v>
      </c>
      <c r="D61" s="264" t="s">
        <v>668</v>
      </c>
      <c r="E61" s="325" t="s">
        <v>869</v>
      </c>
      <c r="F61" s="212"/>
      <c r="G61" s="325" t="s">
        <v>154</v>
      </c>
      <c r="H61" s="314" t="s">
        <v>922</v>
      </c>
      <c r="I61" s="212"/>
      <c r="J61" s="5"/>
      <c r="K61" s="14"/>
    </row>
    <row r="62" spans="2:11">
      <c r="B62" s="260">
        <v>19</v>
      </c>
      <c r="C62" s="261" t="s">
        <v>355</v>
      </c>
      <c r="D62" s="262" t="s">
        <v>689</v>
      </c>
      <c r="E62" s="325" t="s">
        <v>869</v>
      </c>
      <c r="F62" s="212"/>
      <c r="G62" s="325" t="s">
        <v>104</v>
      </c>
      <c r="H62" s="314" t="s">
        <v>922</v>
      </c>
      <c r="I62" s="212"/>
      <c r="J62" s="5"/>
      <c r="K62" s="14"/>
    </row>
    <row r="63" spans="2:11">
      <c r="B63" s="260">
        <v>20</v>
      </c>
      <c r="C63" s="261" t="s">
        <v>356</v>
      </c>
      <c r="D63" s="262" t="s">
        <v>667</v>
      </c>
      <c r="E63" s="325" t="s">
        <v>869</v>
      </c>
      <c r="F63" s="212"/>
      <c r="G63" s="325" t="s">
        <v>114</v>
      </c>
      <c r="H63" s="314" t="s">
        <v>922</v>
      </c>
      <c r="I63" s="212"/>
      <c r="J63" s="5"/>
      <c r="K63" s="14"/>
    </row>
    <row r="64" spans="2:11">
      <c r="B64" s="213">
        <v>26</v>
      </c>
      <c r="C64" s="214" t="s">
        <v>362</v>
      </c>
      <c r="D64" s="215" t="s">
        <v>613</v>
      </c>
      <c r="E64" s="359"/>
      <c r="F64" s="216"/>
      <c r="G64" s="216"/>
      <c r="H64" s="199"/>
      <c r="I64" s="216"/>
      <c r="J64" s="5"/>
      <c r="K64" s="14"/>
    </row>
    <row r="65" spans="2:11">
      <c r="B65" s="213">
        <v>36</v>
      </c>
      <c r="C65" s="214" t="s">
        <v>372</v>
      </c>
      <c r="D65" s="215" t="s">
        <v>612</v>
      </c>
      <c r="E65" s="359"/>
      <c r="F65" s="216"/>
      <c r="G65" s="216"/>
      <c r="H65" s="199"/>
      <c r="I65" s="216"/>
      <c r="J65" s="5"/>
      <c r="K65" s="14"/>
    </row>
    <row r="66" spans="2:11">
      <c r="B66" s="260">
        <v>118</v>
      </c>
      <c r="C66" s="261" t="s">
        <v>37</v>
      </c>
      <c r="D66" s="262" t="s">
        <v>624</v>
      </c>
      <c r="E66" s="325" t="s">
        <v>869</v>
      </c>
      <c r="F66" s="212"/>
      <c r="G66" s="386" t="s">
        <v>43</v>
      </c>
      <c r="H66" s="340" t="s">
        <v>919</v>
      </c>
      <c r="I66" s="212"/>
      <c r="J66" s="5"/>
      <c r="K66" s="14"/>
    </row>
    <row r="67" spans="2:11">
      <c r="B67" s="260">
        <v>117</v>
      </c>
      <c r="C67" s="261" t="s">
        <v>36</v>
      </c>
      <c r="D67" s="262" t="s">
        <v>647</v>
      </c>
      <c r="E67" s="325" t="s">
        <v>869</v>
      </c>
      <c r="F67" s="212"/>
      <c r="G67" s="386" t="s">
        <v>53</v>
      </c>
      <c r="H67" s="314" t="s">
        <v>919</v>
      </c>
      <c r="I67" s="212"/>
      <c r="J67" s="5"/>
      <c r="K67" s="14"/>
    </row>
    <row r="68" spans="2:11">
      <c r="B68" s="260">
        <v>148</v>
      </c>
      <c r="C68" s="261" t="s">
        <v>67</v>
      </c>
      <c r="D68" s="262" t="s">
        <v>626</v>
      </c>
      <c r="E68" s="325" t="s">
        <v>869</v>
      </c>
      <c r="F68" s="212"/>
      <c r="G68" s="386" t="s">
        <v>62</v>
      </c>
      <c r="H68" s="314" t="s">
        <v>919</v>
      </c>
      <c r="I68" s="212"/>
      <c r="J68" s="5"/>
      <c r="K68" s="14"/>
    </row>
    <row r="69" spans="2:11">
      <c r="B69" s="260">
        <v>147</v>
      </c>
      <c r="C69" s="261" t="s">
        <v>66</v>
      </c>
      <c r="D69" s="262" t="s">
        <v>649</v>
      </c>
      <c r="E69" s="325" t="s">
        <v>869</v>
      </c>
      <c r="F69" s="212"/>
      <c r="G69" s="386" t="s">
        <v>72</v>
      </c>
      <c r="H69" s="314" t="s">
        <v>919</v>
      </c>
      <c r="I69" s="212"/>
      <c r="J69" s="5"/>
      <c r="K69" s="14"/>
    </row>
    <row r="70" spans="2:11">
      <c r="B70" s="260">
        <v>168</v>
      </c>
      <c r="C70" s="261" t="s">
        <v>87</v>
      </c>
      <c r="D70" s="262" t="s">
        <v>628</v>
      </c>
      <c r="E70" s="325" t="s">
        <v>869</v>
      </c>
      <c r="F70" s="212"/>
      <c r="G70" s="386" t="s">
        <v>22</v>
      </c>
      <c r="H70" s="314" t="s">
        <v>919</v>
      </c>
      <c r="I70" s="212"/>
      <c r="J70" s="5"/>
      <c r="K70" s="14"/>
    </row>
    <row r="71" spans="2:11">
      <c r="B71" s="260">
        <v>167</v>
      </c>
      <c r="C71" s="261" t="s">
        <v>86</v>
      </c>
      <c r="D71" s="262" t="s">
        <v>651</v>
      </c>
      <c r="E71" s="325" t="s">
        <v>869</v>
      </c>
      <c r="F71" s="212"/>
      <c r="G71" s="386" t="s">
        <v>32</v>
      </c>
      <c r="H71" s="314" t="s">
        <v>919</v>
      </c>
      <c r="I71" s="212"/>
      <c r="J71" s="5"/>
      <c r="K71" s="14"/>
    </row>
    <row r="72" spans="2:11">
      <c r="B72" s="260">
        <v>170</v>
      </c>
      <c r="C72" s="261" t="s">
        <v>89</v>
      </c>
      <c r="D72" s="262" t="s">
        <v>674</v>
      </c>
      <c r="E72" s="325" t="s">
        <v>869</v>
      </c>
      <c r="F72" s="212"/>
      <c r="G72" s="386" t="s">
        <v>81</v>
      </c>
      <c r="H72" s="314" t="s">
        <v>919</v>
      </c>
      <c r="I72" s="212"/>
      <c r="J72" s="5"/>
      <c r="K72" s="14"/>
    </row>
    <row r="73" spans="2:11">
      <c r="B73" s="260">
        <v>169</v>
      </c>
      <c r="C73" s="261" t="s">
        <v>88</v>
      </c>
      <c r="D73" s="262" t="s">
        <v>696</v>
      </c>
      <c r="E73" s="325" t="s">
        <v>869</v>
      </c>
      <c r="F73" s="212"/>
      <c r="G73" s="386" t="s">
        <v>91</v>
      </c>
      <c r="H73" s="314" t="s">
        <v>919</v>
      </c>
      <c r="I73" s="212"/>
      <c r="J73" s="5"/>
      <c r="K73" s="14"/>
    </row>
    <row r="74" spans="2:11">
      <c r="B74" s="213">
        <v>158</v>
      </c>
      <c r="C74" s="214" t="s">
        <v>77</v>
      </c>
      <c r="D74" s="215" t="s">
        <v>627</v>
      </c>
      <c r="E74" s="359"/>
      <c r="F74" s="216"/>
      <c r="G74" s="325"/>
      <c r="H74" s="314"/>
      <c r="I74" s="216"/>
      <c r="J74" s="5"/>
      <c r="K74" s="14"/>
    </row>
    <row r="75" spans="2:11">
      <c r="B75" s="213">
        <v>157</v>
      </c>
      <c r="C75" s="214" t="s">
        <v>76</v>
      </c>
      <c r="D75" s="215" t="s">
        <v>650</v>
      </c>
      <c r="E75" s="359"/>
      <c r="F75" s="216"/>
      <c r="G75" s="325"/>
      <c r="H75" s="314"/>
      <c r="I75" s="216"/>
      <c r="J75" s="5"/>
      <c r="K75" s="14"/>
    </row>
    <row r="76" spans="2:11">
      <c r="B76" s="260">
        <v>129</v>
      </c>
      <c r="C76" s="261" t="s">
        <v>48</v>
      </c>
      <c r="D76" s="262" t="s">
        <v>692</v>
      </c>
      <c r="E76" s="325" t="s">
        <v>869</v>
      </c>
      <c r="F76" s="212"/>
      <c r="G76" s="386" t="s">
        <v>85</v>
      </c>
      <c r="H76" s="314" t="s">
        <v>919</v>
      </c>
      <c r="I76" s="212"/>
      <c r="J76" s="5"/>
      <c r="K76" s="14"/>
    </row>
    <row r="77" spans="2:11">
      <c r="B77" s="260">
        <v>130</v>
      </c>
      <c r="C77" s="261" t="s">
        <v>49</v>
      </c>
      <c r="D77" s="262" t="s">
        <v>670</v>
      </c>
      <c r="E77" s="325" t="s">
        <v>869</v>
      </c>
      <c r="F77" s="212"/>
      <c r="G77" s="386" t="s">
        <v>95</v>
      </c>
      <c r="H77" s="314" t="s">
        <v>919</v>
      </c>
      <c r="I77" s="212"/>
      <c r="J77" s="5"/>
      <c r="K77" s="14"/>
    </row>
    <row r="78" spans="2:11">
      <c r="B78" s="260">
        <v>139</v>
      </c>
      <c r="C78" s="261" t="s">
        <v>58</v>
      </c>
      <c r="D78" s="262" t="s">
        <v>693</v>
      </c>
      <c r="E78" s="325" t="s">
        <v>869</v>
      </c>
      <c r="F78" s="212"/>
      <c r="G78" s="386" t="s">
        <v>45</v>
      </c>
      <c r="H78" s="314" t="s">
        <v>919</v>
      </c>
      <c r="I78" s="212"/>
      <c r="J78" s="5"/>
      <c r="K78" s="14"/>
    </row>
    <row r="79" spans="2:11">
      <c r="B79" s="260">
        <v>140</v>
      </c>
      <c r="C79" s="261" t="s">
        <v>59</v>
      </c>
      <c r="D79" s="262" t="s">
        <v>671</v>
      </c>
      <c r="E79" s="325" t="s">
        <v>869</v>
      </c>
      <c r="F79" s="212"/>
      <c r="G79" s="386" t="s">
        <v>55</v>
      </c>
      <c r="H79" s="314" t="s">
        <v>919</v>
      </c>
      <c r="I79" s="212"/>
      <c r="J79" s="5"/>
      <c r="K79" s="14"/>
    </row>
    <row r="80" spans="2:11">
      <c r="B80" s="260">
        <v>138</v>
      </c>
      <c r="C80" s="261" t="s">
        <v>57</v>
      </c>
      <c r="D80" s="262" t="s">
        <v>625</v>
      </c>
      <c r="E80" s="325" t="s">
        <v>869</v>
      </c>
      <c r="F80" s="212"/>
      <c r="G80" s="386" t="s">
        <v>64</v>
      </c>
      <c r="H80" s="314" t="s">
        <v>919</v>
      </c>
      <c r="I80" s="212"/>
      <c r="J80" s="5"/>
      <c r="K80" s="14"/>
    </row>
    <row r="81" spans="2:11">
      <c r="B81" s="260">
        <v>137</v>
      </c>
      <c r="C81" s="261" t="s">
        <v>56</v>
      </c>
      <c r="D81" s="262" t="s">
        <v>648</v>
      </c>
      <c r="E81" s="325" t="s">
        <v>869</v>
      </c>
      <c r="F81" s="212"/>
      <c r="G81" s="386" t="s">
        <v>74</v>
      </c>
      <c r="H81" s="314" t="s">
        <v>919</v>
      </c>
      <c r="I81" s="212"/>
      <c r="J81" s="5"/>
      <c r="K81" s="14"/>
    </row>
    <row r="82" spans="2:11">
      <c r="B82" s="260">
        <v>150</v>
      </c>
      <c r="C82" s="261" t="s">
        <v>69</v>
      </c>
      <c r="D82" s="262" t="s">
        <v>672</v>
      </c>
      <c r="E82" s="325" t="s">
        <v>869</v>
      </c>
      <c r="F82" s="212"/>
      <c r="G82" s="386" t="s">
        <v>24</v>
      </c>
      <c r="H82" s="314" t="s">
        <v>919</v>
      </c>
      <c r="I82" s="212"/>
      <c r="J82" s="5"/>
      <c r="K82" s="14"/>
    </row>
    <row r="83" spans="2:11">
      <c r="B83" s="260">
        <v>149</v>
      </c>
      <c r="C83" s="261" t="s">
        <v>68</v>
      </c>
      <c r="D83" s="262" t="s">
        <v>694</v>
      </c>
      <c r="E83" s="325" t="s">
        <v>869</v>
      </c>
      <c r="F83" s="212"/>
      <c r="G83" s="386" t="s">
        <v>34</v>
      </c>
      <c r="H83" s="314" t="s">
        <v>919</v>
      </c>
      <c r="I83" s="212"/>
      <c r="J83" s="5"/>
      <c r="K83" s="14"/>
    </row>
    <row r="84" spans="2:11">
      <c r="B84" s="213">
        <v>160</v>
      </c>
      <c r="C84" s="214" t="s">
        <v>79</v>
      </c>
      <c r="D84" s="215" t="s">
        <v>673</v>
      </c>
      <c r="E84" s="199"/>
      <c r="F84" s="216"/>
      <c r="G84" s="216"/>
      <c r="H84" s="199"/>
      <c r="I84" s="216"/>
      <c r="J84" s="5"/>
      <c r="K84" s="14"/>
    </row>
    <row r="85" spans="2:11">
      <c r="B85" s="213">
        <v>159</v>
      </c>
      <c r="C85" s="214" t="s">
        <v>78</v>
      </c>
      <c r="D85" s="215" t="s">
        <v>695</v>
      </c>
      <c r="E85" s="199"/>
      <c r="F85" s="216"/>
      <c r="G85" s="216"/>
      <c r="H85" s="199"/>
      <c r="I85" s="216"/>
      <c r="J85" s="5"/>
      <c r="K85" s="14"/>
    </row>
    <row r="86" spans="2:11">
      <c r="B86" s="260">
        <v>128</v>
      </c>
      <c r="C86" s="261" t="s">
        <v>47</v>
      </c>
      <c r="D86" s="262" t="s">
        <v>507</v>
      </c>
      <c r="E86" s="325" t="s">
        <v>869</v>
      </c>
      <c r="F86" s="212"/>
      <c r="G86" s="325" t="s">
        <v>306</v>
      </c>
      <c r="H86" s="212"/>
      <c r="I86" s="212"/>
      <c r="J86" s="5"/>
      <c r="K86" s="14"/>
    </row>
    <row r="87" spans="2:11">
      <c r="B87" s="260">
        <v>127</v>
      </c>
      <c r="C87" s="261" t="s">
        <v>46</v>
      </c>
      <c r="D87" s="262" t="s">
        <v>497</v>
      </c>
      <c r="E87" s="325" t="s">
        <v>869</v>
      </c>
      <c r="F87" s="212"/>
      <c r="G87" s="325" t="s">
        <v>316</v>
      </c>
      <c r="H87" s="212"/>
      <c r="I87" s="212"/>
      <c r="J87" s="5"/>
      <c r="K87" s="14"/>
    </row>
    <row r="88" spans="2:11">
      <c r="B88" s="260">
        <v>79</v>
      </c>
      <c r="C88" s="261" t="s">
        <v>415</v>
      </c>
      <c r="D88" s="264" t="s">
        <v>490</v>
      </c>
      <c r="E88" s="212"/>
      <c r="F88" s="212"/>
      <c r="G88" s="212"/>
      <c r="H88" s="212"/>
      <c r="I88" s="212"/>
      <c r="J88" s="5"/>
      <c r="K88" s="14"/>
    </row>
    <row r="89" spans="2:11">
      <c r="B89" s="260">
        <v>78</v>
      </c>
      <c r="C89" s="261" t="s">
        <v>414</v>
      </c>
      <c r="D89" s="264" t="s">
        <v>498</v>
      </c>
      <c r="E89" s="325" t="s">
        <v>869</v>
      </c>
      <c r="F89" s="325"/>
      <c r="G89" s="325" t="s">
        <v>47</v>
      </c>
      <c r="H89" s="212"/>
      <c r="I89" s="212"/>
      <c r="J89" s="5"/>
      <c r="K89" s="14"/>
    </row>
    <row r="90" spans="2:11">
      <c r="B90" s="260">
        <v>88</v>
      </c>
      <c r="C90" s="261" t="s">
        <v>424</v>
      </c>
      <c r="D90" s="262" t="s">
        <v>499</v>
      </c>
      <c r="E90" s="212"/>
      <c r="F90" s="212"/>
      <c r="G90" s="212"/>
      <c r="H90" s="212"/>
      <c r="I90" s="212"/>
      <c r="J90" s="5"/>
      <c r="K90" s="14"/>
    </row>
    <row r="91" spans="2:11">
      <c r="B91" s="260">
        <v>89</v>
      </c>
      <c r="C91" s="261" t="s">
        <v>425</v>
      </c>
      <c r="D91" s="262" t="s">
        <v>491</v>
      </c>
      <c r="E91" s="325" t="s">
        <v>869</v>
      </c>
      <c r="F91" s="325"/>
      <c r="G91" s="325" t="s">
        <v>57</v>
      </c>
      <c r="H91" s="212"/>
      <c r="I91" s="212"/>
      <c r="J91" s="5"/>
      <c r="K91" s="14"/>
    </row>
    <row r="92" spans="2:11">
      <c r="B92" s="260">
        <v>47</v>
      </c>
      <c r="C92" s="261" t="s">
        <v>383</v>
      </c>
      <c r="D92" s="264" t="s">
        <v>474</v>
      </c>
      <c r="E92" s="212"/>
      <c r="F92" s="212"/>
      <c r="G92" s="212"/>
      <c r="H92" s="212"/>
      <c r="I92" s="212"/>
      <c r="J92" s="5"/>
      <c r="K92" s="14"/>
    </row>
    <row r="93" spans="2:11">
      <c r="B93" s="260">
        <v>57</v>
      </c>
      <c r="C93" s="261" t="s">
        <v>393</v>
      </c>
      <c r="D93" s="264" t="s">
        <v>474</v>
      </c>
      <c r="E93" s="212"/>
      <c r="F93" s="212"/>
      <c r="G93" s="212"/>
      <c r="H93" s="212"/>
      <c r="I93" s="212"/>
      <c r="J93" s="5"/>
      <c r="K93" s="14"/>
    </row>
    <row r="94" spans="2:11">
      <c r="B94" s="260">
        <v>67</v>
      </c>
      <c r="C94" s="261" t="s">
        <v>403</v>
      </c>
      <c r="D94" s="264" t="s">
        <v>474</v>
      </c>
      <c r="E94" s="212"/>
      <c r="F94" s="212"/>
      <c r="G94" s="212"/>
      <c r="H94" s="212"/>
      <c r="I94" s="212"/>
      <c r="J94" s="5"/>
      <c r="K94" s="14"/>
    </row>
    <row r="95" spans="2:11">
      <c r="B95" s="260">
        <v>77</v>
      </c>
      <c r="C95" s="261" t="s">
        <v>413</v>
      </c>
      <c r="D95" s="264" t="s">
        <v>474</v>
      </c>
      <c r="E95" s="212"/>
      <c r="F95" s="212"/>
      <c r="G95" s="212"/>
      <c r="H95" s="212"/>
      <c r="I95" s="212"/>
      <c r="J95" s="5"/>
      <c r="K95" s="14"/>
    </row>
    <row r="96" spans="2:11">
      <c r="B96" s="260">
        <v>87</v>
      </c>
      <c r="C96" s="261" t="s">
        <v>423</v>
      </c>
      <c r="D96" s="262" t="s">
        <v>474</v>
      </c>
      <c r="E96" s="212"/>
      <c r="F96" s="212"/>
      <c r="G96" s="212"/>
      <c r="H96" s="212"/>
      <c r="I96" s="212"/>
      <c r="J96" s="5"/>
      <c r="K96" s="14"/>
    </row>
    <row r="97" spans="2:11">
      <c r="B97" s="260">
        <v>48</v>
      </c>
      <c r="C97" s="261" t="s">
        <v>384</v>
      </c>
      <c r="D97" s="264" t="s">
        <v>474</v>
      </c>
      <c r="E97" s="212"/>
      <c r="F97" s="212"/>
      <c r="G97" s="212"/>
      <c r="H97" s="212"/>
      <c r="I97" s="212"/>
      <c r="J97" s="5"/>
      <c r="K97" s="14"/>
    </row>
    <row r="98" spans="2:11">
      <c r="B98" s="260">
        <v>58</v>
      </c>
      <c r="C98" s="261" t="s">
        <v>394</v>
      </c>
      <c r="D98" s="264" t="s">
        <v>474</v>
      </c>
      <c r="E98" s="212"/>
      <c r="F98" s="212"/>
      <c r="G98" s="212"/>
      <c r="H98" s="212"/>
      <c r="I98" s="212"/>
      <c r="J98" s="5"/>
      <c r="K98" s="14"/>
    </row>
    <row r="99" spans="2:11">
      <c r="B99" s="260">
        <v>68</v>
      </c>
      <c r="C99" s="261" t="s">
        <v>404</v>
      </c>
      <c r="D99" s="264" t="s">
        <v>474</v>
      </c>
      <c r="E99" s="212"/>
      <c r="F99" s="212"/>
      <c r="G99" s="212"/>
      <c r="H99" s="212"/>
      <c r="I99" s="212"/>
      <c r="J99" s="5"/>
      <c r="K99" s="14"/>
    </row>
    <row r="100" spans="2:11">
      <c r="B100" s="260">
        <v>69</v>
      </c>
      <c r="C100" s="261" t="s">
        <v>405</v>
      </c>
      <c r="D100" s="264" t="s">
        <v>474</v>
      </c>
      <c r="E100" s="212"/>
      <c r="F100" s="212"/>
      <c r="G100" s="212"/>
      <c r="H100" s="212"/>
      <c r="I100" s="212"/>
      <c r="J100" s="5"/>
      <c r="K100" s="14"/>
    </row>
    <row r="101" spans="2:11">
      <c r="B101" s="260">
        <v>70</v>
      </c>
      <c r="C101" s="261" t="s">
        <v>406</v>
      </c>
      <c r="D101" s="264" t="s">
        <v>508</v>
      </c>
      <c r="E101" s="212"/>
      <c r="F101" s="212"/>
      <c r="G101" s="212"/>
      <c r="H101" s="212"/>
      <c r="I101" s="212"/>
      <c r="J101" s="5"/>
      <c r="K101" s="14"/>
    </row>
    <row r="102" spans="2:11">
      <c r="B102" s="260">
        <v>80</v>
      </c>
      <c r="C102" s="261" t="s">
        <v>416</v>
      </c>
      <c r="D102" s="264" t="s">
        <v>510</v>
      </c>
      <c r="E102" s="212"/>
      <c r="F102" s="212"/>
      <c r="G102" s="212"/>
      <c r="H102" s="212"/>
      <c r="I102" s="212"/>
      <c r="J102" s="5"/>
      <c r="K102" s="14"/>
    </row>
    <row r="103" spans="2:11">
      <c r="B103" s="260">
        <v>90</v>
      </c>
      <c r="C103" s="261" t="s">
        <v>426</v>
      </c>
      <c r="D103" s="262" t="s">
        <v>509</v>
      </c>
      <c r="E103" s="212"/>
      <c r="F103" s="212"/>
      <c r="G103" s="212"/>
      <c r="H103" s="212"/>
      <c r="I103" s="212"/>
      <c r="J103" s="5"/>
      <c r="K103" s="14"/>
    </row>
    <row r="104" spans="2:11">
      <c r="B104" s="260">
        <v>106</v>
      </c>
      <c r="C104" s="261" t="s">
        <v>25</v>
      </c>
      <c r="D104" s="262" t="s">
        <v>482</v>
      </c>
      <c r="E104" s="212"/>
      <c r="F104" s="212"/>
      <c r="G104" s="212"/>
      <c r="H104" s="212"/>
      <c r="I104" s="212"/>
      <c r="J104" s="5"/>
      <c r="K104" s="14"/>
    </row>
    <row r="105" spans="2:11">
      <c r="B105" s="260">
        <v>116</v>
      </c>
      <c r="C105" s="261" t="s">
        <v>35</v>
      </c>
      <c r="D105" s="262" t="s">
        <v>482</v>
      </c>
      <c r="E105" s="212"/>
      <c r="F105" s="212"/>
      <c r="G105" s="212"/>
      <c r="H105" s="212"/>
      <c r="I105" s="212"/>
      <c r="J105" s="5"/>
      <c r="K105" s="14"/>
    </row>
    <row r="106" spans="2:11">
      <c r="B106" s="260">
        <v>126</v>
      </c>
      <c r="C106" s="261" t="s">
        <v>45</v>
      </c>
      <c r="D106" s="262" t="s">
        <v>482</v>
      </c>
      <c r="E106" s="212"/>
      <c r="F106" s="212"/>
      <c r="G106" s="212"/>
      <c r="H106" s="212"/>
      <c r="I106" s="212"/>
      <c r="J106" s="5"/>
      <c r="K106" s="14"/>
    </row>
    <row r="107" spans="2:11">
      <c r="B107" s="260">
        <v>136</v>
      </c>
      <c r="C107" s="261" t="s">
        <v>55</v>
      </c>
      <c r="D107" s="262" t="s">
        <v>482</v>
      </c>
      <c r="E107" s="212"/>
      <c r="F107" s="212"/>
      <c r="G107" s="212"/>
      <c r="H107" s="212"/>
      <c r="I107" s="212"/>
      <c r="J107" s="5"/>
      <c r="K107" s="14"/>
    </row>
    <row r="108" spans="2:11">
      <c r="B108" s="260">
        <v>97</v>
      </c>
      <c r="C108" s="261" t="s">
        <v>9</v>
      </c>
      <c r="D108" s="262" t="s">
        <v>482</v>
      </c>
      <c r="E108" s="212"/>
      <c r="F108" s="212"/>
      <c r="G108" s="212"/>
      <c r="H108" s="212"/>
      <c r="I108" s="212"/>
      <c r="J108" s="5"/>
      <c r="K108" s="14"/>
    </row>
    <row r="109" spans="2:11">
      <c r="B109" s="260">
        <v>107</v>
      </c>
      <c r="C109" s="261" t="s">
        <v>26</v>
      </c>
      <c r="D109" s="262" t="s">
        <v>482</v>
      </c>
      <c r="E109" s="212"/>
      <c r="F109" s="212"/>
      <c r="G109" s="212"/>
      <c r="H109" s="212"/>
      <c r="I109" s="212"/>
      <c r="J109" s="5"/>
      <c r="K109" s="14"/>
    </row>
    <row r="110" spans="2:11">
      <c r="B110" s="260">
        <v>98</v>
      </c>
      <c r="C110" s="261" t="s">
        <v>10</v>
      </c>
      <c r="D110" s="262" t="s">
        <v>482</v>
      </c>
      <c r="E110" s="212"/>
      <c r="F110" s="212"/>
      <c r="G110" s="212"/>
      <c r="H110" s="212"/>
      <c r="I110" s="212"/>
      <c r="J110" s="5"/>
      <c r="K110" s="14"/>
    </row>
    <row r="111" spans="2:11">
      <c r="B111" s="260">
        <v>108</v>
      </c>
      <c r="C111" s="261" t="s">
        <v>27</v>
      </c>
      <c r="D111" s="262" t="s">
        <v>482</v>
      </c>
      <c r="E111" s="212"/>
      <c r="F111" s="212"/>
      <c r="G111" s="212"/>
      <c r="H111" s="212"/>
      <c r="I111" s="212"/>
      <c r="J111" s="5"/>
      <c r="K111" s="14"/>
    </row>
    <row r="112" spans="2:11">
      <c r="B112" s="260">
        <v>109</v>
      </c>
      <c r="C112" s="261" t="s">
        <v>28</v>
      </c>
      <c r="D112" s="262" t="s">
        <v>482</v>
      </c>
      <c r="E112" s="212"/>
      <c r="F112" s="212"/>
      <c r="G112" s="212"/>
      <c r="H112" s="212"/>
      <c r="I112" s="212"/>
      <c r="J112" s="5"/>
      <c r="K112" s="14"/>
    </row>
    <row r="113" spans="2:11">
      <c r="B113" s="260">
        <v>100</v>
      </c>
      <c r="C113" s="261" t="s">
        <v>12</v>
      </c>
      <c r="D113" s="262" t="s">
        <v>482</v>
      </c>
      <c r="E113" s="212"/>
      <c r="F113" s="212"/>
      <c r="G113" s="212"/>
      <c r="H113" s="212"/>
      <c r="I113" s="212"/>
      <c r="J113" s="5"/>
      <c r="K113" s="14"/>
    </row>
    <row r="114" spans="2:11">
      <c r="B114" s="260">
        <v>110</v>
      </c>
      <c r="C114" s="261" t="s">
        <v>29</v>
      </c>
      <c r="D114" s="262" t="s">
        <v>482</v>
      </c>
      <c r="E114" s="212"/>
      <c r="F114" s="212"/>
      <c r="G114" s="212"/>
      <c r="H114" s="212"/>
      <c r="I114" s="212"/>
      <c r="J114" s="5"/>
      <c r="K114" s="14"/>
    </row>
    <row r="115" spans="2:11">
      <c r="B115" s="260">
        <v>30</v>
      </c>
      <c r="C115" s="261" t="s">
        <v>366</v>
      </c>
      <c r="D115" s="262" t="s">
        <v>511</v>
      </c>
      <c r="E115" s="212"/>
      <c r="F115" s="212"/>
      <c r="G115" s="212"/>
      <c r="H115" s="212"/>
      <c r="I115" s="212"/>
      <c r="J115" s="5"/>
      <c r="K115" s="14"/>
    </row>
    <row r="116" spans="2:11">
      <c r="B116" s="260">
        <v>29</v>
      </c>
      <c r="C116" s="261" t="s">
        <v>365</v>
      </c>
      <c r="D116" s="326" t="s">
        <v>500</v>
      </c>
      <c r="E116" s="325" t="s">
        <v>869</v>
      </c>
      <c r="F116" s="325"/>
      <c r="G116" s="325" t="s">
        <v>187</v>
      </c>
      <c r="H116" s="212"/>
      <c r="I116" s="212"/>
      <c r="J116" s="5"/>
      <c r="K116" s="14"/>
    </row>
    <row r="117" spans="2:11">
      <c r="B117" s="260">
        <v>39</v>
      </c>
      <c r="C117" s="261" t="s">
        <v>375</v>
      </c>
      <c r="D117" s="326" t="s">
        <v>483</v>
      </c>
      <c r="E117" s="325" t="s">
        <v>869</v>
      </c>
      <c r="F117" s="212"/>
      <c r="G117" s="329" t="s">
        <v>970</v>
      </c>
      <c r="H117" s="212"/>
      <c r="I117" s="212"/>
      <c r="J117" s="5"/>
      <c r="K117" s="14"/>
    </row>
    <row r="118" spans="2:11">
      <c r="B118" s="260">
        <v>40</v>
      </c>
      <c r="C118" s="261" t="s">
        <v>376</v>
      </c>
      <c r="D118" s="326" t="s">
        <v>492</v>
      </c>
      <c r="E118" s="325" t="s">
        <v>869</v>
      </c>
      <c r="F118" s="212"/>
      <c r="G118" s="329" t="s">
        <v>971</v>
      </c>
      <c r="H118" s="212"/>
      <c r="I118" s="212"/>
      <c r="J118" s="5"/>
      <c r="K118" s="14"/>
    </row>
    <row r="119" spans="2:11">
      <c r="B119" s="260">
        <v>119</v>
      </c>
      <c r="C119" s="261" t="s">
        <v>38</v>
      </c>
      <c r="D119" s="326" t="s">
        <v>506</v>
      </c>
      <c r="E119" s="325" t="s">
        <v>869</v>
      </c>
      <c r="F119" s="325"/>
      <c r="G119" s="325"/>
      <c r="H119" s="212"/>
      <c r="I119" s="212"/>
      <c r="J119" s="5"/>
      <c r="K119" s="14"/>
    </row>
    <row r="120" spans="2:11">
      <c r="B120" s="260">
        <v>120</v>
      </c>
      <c r="C120" s="261" t="s">
        <v>39</v>
      </c>
      <c r="D120" s="326" t="s">
        <v>496</v>
      </c>
      <c r="E120" s="325" t="s">
        <v>869</v>
      </c>
      <c r="F120" s="325"/>
      <c r="G120" s="325" t="s">
        <v>297</v>
      </c>
      <c r="H120" s="212"/>
      <c r="I120" s="212"/>
      <c r="J120" s="5"/>
      <c r="K120" s="14"/>
    </row>
    <row r="121" spans="2:11">
      <c r="B121" s="42">
        <v>267</v>
      </c>
      <c r="C121" s="21" t="s">
        <v>186</v>
      </c>
      <c r="D121" s="22" t="s">
        <v>485</v>
      </c>
      <c r="E121" s="323" t="s">
        <v>868</v>
      </c>
      <c r="F121" s="323"/>
      <c r="G121" s="320" t="s">
        <v>306</v>
      </c>
      <c r="H121" s="5"/>
      <c r="I121" s="5"/>
      <c r="J121" s="5"/>
      <c r="K121" s="14"/>
    </row>
    <row r="122" spans="2:11">
      <c r="B122" s="42">
        <v>268</v>
      </c>
      <c r="C122" s="21" t="s">
        <v>187</v>
      </c>
      <c r="D122" s="22" t="s">
        <v>494</v>
      </c>
      <c r="E122" s="323" t="s">
        <v>868</v>
      </c>
      <c r="F122" s="323"/>
      <c r="G122" s="320" t="s">
        <v>316</v>
      </c>
      <c r="H122" s="5"/>
      <c r="I122" s="5"/>
      <c r="J122" s="5"/>
      <c r="K122" s="14"/>
    </row>
    <row r="123" spans="2:11">
      <c r="B123" s="42">
        <v>258</v>
      </c>
      <c r="C123" s="21" t="s">
        <v>177</v>
      </c>
      <c r="D123" s="22" t="s">
        <v>493</v>
      </c>
      <c r="E123" s="5"/>
      <c r="F123" s="5"/>
      <c r="G123" s="5"/>
      <c r="H123" s="5"/>
      <c r="I123" s="5"/>
      <c r="J123" s="5"/>
      <c r="K123" s="14"/>
    </row>
    <row r="124" spans="2:11">
      <c r="B124" s="42">
        <v>257</v>
      </c>
      <c r="C124" s="21" t="s">
        <v>176</v>
      </c>
      <c r="D124" s="22" t="s">
        <v>484</v>
      </c>
      <c r="E124" s="323" t="s">
        <v>868</v>
      </c>
      <c r="F124" s="323"/>
      <c r="G124" s="332" t="s">
        <v>47</v>
      </c>
      <c r="H124" s="5"/>
      <c r="I124" s="5"/>
      <c r="J124" s="5"/>
      <c r="K124" s="14"/>
    </row>
    <row r="125" spans="2:11">
      <c r="B125" s="42">
        <v>260</v>
      </c>
      <c r="C125" s="21" t="s">
        <v>179</v>
      </c>
      <c r="D125" s="22" t="s">
        <v>516</v>
      </c>
      <c r="E125" s="5"/>
      <c r="F125" s="5"/>
      <c r="G125" s="5"/>
      <c r="H125" s="5"/>
      <c r="I125" s="5"/>
      <c r="J125" s="5"/>
      <c r="K125" s="14"/>
    </row>
    <row r="126" spans="2:11">
      <c r="B126" s="42">
        <v>259</v>
      </c>
      <c r="C126" s="21" t="s">
        <v>178</v>
      </c>
      <c r="D126" s="22" t="s">
        <v>504</v>
      </c>
      <c r="E126" s="323" t="s">
        <v>868</v>
      </c>
      <c r="F126" s="323"/>
      <c r="G126" s="332" t="s">
        <v>57</v>
      </c>
      <c r="H126" s="5"/>
      <c r="I126" s="5"/>
      <c r="J126" s="5"/>
      <c r="K126" s="14"/>
    </row>
    <row r="127" spans="2:11">
      <c r="B127" s="42">
        <v>206</v>
      </c>
      <c r="C127" s="21" t="s">
        <v>125</v>
      </c>
      <c r="D127" s="22" t="s">
        <v>475</v>
      </c>
      <c r="E127" s="5"/>
      <c r="F127" s="5"/>
      <c r="G127" s="5"/>
      <c r="H127" s="5"/>
      <c r="I127" s="5"/>
      <c r="J127" s="5"/>
      <c r="K127" s="14"/>
    </row>
    <row r="128" spans="2:11">
      <c r="B128" s="42">
        <v>216</v>
      </c>
      <c r="C128" s="21" t="s">
        <v>135</v>
      </c>
      <c r="D128" s="22" t="s">
        <v>475</v>
      </c>
      <c r="E128" s="5"/>
      <c r="F128" s="5"/>
      <c r="G128" s="5"/>
      <c r="H128" s="5"/>
      <c r="I128" s="5"/>
      <c r="J128" s="5"/>
      <c r="K128" s="14"/>
    </row>
    <row r="129" spans="2:11">
      <c r="B129" s="42">
        <v>226</v>
      </c>
      <c r="C129" s="21" t="s">
        <v>145</v>
      </c>
      <c r="D129" s="22" t="s">
        <v>475</v>
      </c>
      <c r="E129" s="5"/>
      <c r="F129" s="5"/>
      <c r="G129" s="5"/>
      <c r="H129" s="5"/>
      <c r="I129" s="5"/>
      <c r="J129" s="5"/>
      <c r="K129" s="14"/>
    </row>
    <row r="130" spans="2:11">
      <c r="B130" s="42">
        <v>236</v>
      </c>
      <c r="C130" s="21" t="s">
        <v>155</v>
      </c>
      <c r="D130" s="22" t="s">
        <v>475</v>
      </c>
      <c r="E130" s="5"/>
      <c r="F130" s="5"/>
      <c r="G130" s="5"/>
      <c r="H130" s="5"/>
      <c r="I130" s="5"/>
      <c r="J130" s="5"/>
      <c r="K130" s="14"/>
    </row>
    <row r="131" spans="2:11">
      <c r="B131" s="42">
        <v>246</v>
      </c>
      <c r="C131" s="21" t="s">
        <v>165</v>
      </c>
      <c r="D131" s="22" t="s">
        <v>475</v>
      </c>
      <c r="E131" s="5"/>
      <c r="F131" s="5"/>
      <c r="G131" s="5"/>
      <c r="H131" s="5"/>
      <c r="I131" s="5"/>
      <c r="J131" s="5"/>
      <c r="K131" s="14"/>
    </row>
    <row r="132" spans="2:11">
      <c r="B132" s="42">
        <v>256</v>
      </c>
      <c r="C132" s="21" t="s">
        <v>175</v>
      </c>
      <c r="D132" s="22" t="s">
        <v>475</v>
      </c>
      <c r="E132" s="5"/>
      <c r="F132" s="5"/>
      <c r="G132" s="5"/>
      <c r="H132" s="5"/>
      <c r="I132" s="5"/>
      <c r="J132" s="5"/>
      <c r="K132" s="14"/>
    </row>
    <row r="133" spans="2:11">
      <c r="B133" s="42">
        <v>237</v>
      </c>
      <c r="C133" s="21" t="s">
        <v>156</v>
      </c>
      <c r="D133" s="22" t="s">
        <v>475</v>
      </c>
      <c r="E133" s="5"/>
      <c r="F133" s="5"/>
      <c r="G133" s="5"/>
      <c r="H133" s="5"/>
      <c r="I133" s="5"/>
      <c r="J133" s="5"/>
      <c r="K133" s="14"/>
    </row>
    <row r="134" spans="2:11">
      <c r="B134" s="42">
        <v>247</v>
      </c>
      <c r="C134" s="21" t="s">
        <v>166</v>
      </c>
      <c r="D134" s="22" t="s">
        <v>475</v>
      </c>
      <c r="E134" s="5"/>
      <c r="F134" s="5"/>
      <c r="G134" s="5"/>
      <c r="H134" s="5"/>
      <c r="I134" s="5"/>
      <c r="J134" s="5"/>
      <c r="K134" s="14"/>
    </row>
    <row r="135" spans="2:11">
      <c r="B135" s="42">
        <v>238</v>
      </c>
      <c r="C135" s="21" t="s">
        <v>157</v>
      </c>
      <c r="D135" s="22" t="s">
        <v>475</v>
      </c>
      <c r="E135" s="5"/>
      <c r="F135" s="5"/>
      <c r="G135" s="5"/>
      <c r="H135" s="5"/>
      <c r="I135" s="5"/>
      <c r="J135" s="5"/>
      <c r="K135" s="14"/>
    </row>
    <row r="136" spans="2:11">
      <c r="B136" s="42">
        <v>248</v>
      </c>
      <c r="C136" s="21" t="s">
        <v>167</v>
      </c>
      <c r="D136" s="22" t="s">
        <v>475</v>
      </c>
      <c r="E136" s="5"/>
      <c r="F136" s="5"/>
      <c r="G136" s="5"/>
      <c r="H136" s="5"/>
      <c r="I136" s="5"/>
      <c r="J136" s="5"/>
      <c r="K136" s="14"/>
    </row>
    <row r="137" spans="2:11">
      <c r="B137" s="42">
        <v>239</v>
      </c>
      <c r="C137" s="21" t="s">
        <v>158</v>
      </c>
      <c r="D137" s="22" t="s">
        <v>475</v>
      </c>
      <c r="E137" s="5"/>
      <c r="F137" s="5"/>
      <c r="G137" s="5"/>
      <c r="H137" s="5"/>
      <c r="I137" s="5"/>
      <c r="J137" s="5"/>
      <c r="K137" s="14"/>
    </row>
    <row r="138" spans="2:11">
      <c r="B138" s="42">
        <v>240</v>
      </c>
      <c r="C138" s="21" t="s">
        <v>159</v>
      </c>
      <c r="D138" s="22" t="s">
        <v>514</v>
      </c>
      <c r="E138" s="5"/>
      <c r="F138" s="5"/>
      <c r="G138" s="5"/>
      <c r="H138" s="5"/>
      <c r="I138" s="5"/>
      <c r="J138" s="5"/>
      <c r="K138" s="14"/>
    </row>
    <row r="139" spans="2:11">
      <c r="B139" s="42">
        <v>250</v>
      </c>
      <c r="C139" s="21" t="s">
        <v>169</v>
      </c>
      <c r="D139" s="22" t="s">
        <v>515</v>
      </c>
      <c r="E139" s="5"/>
      <c r="F139" s="5"/>
      <c r="G139" s="5"/>
      <c r="H139" s="5"/>
      <c r="I139" s="5"/>
      <c r="J139" s="5"/>
      <c r="K139" s="14"/>
    </row>
    <row r="140" spans="2:11">
      <c r="B140" s="42">
        <v>249</v>
      </c>
      <c r="C140" s="21" t="s">
        <v>168</v>
      </c>
      <c r="D140" s="22" t="s">
        <v>503</v>
      </c>
      <c r="E140" s="5"/>
      <c r="F140" s="5"/>
      <c r="G140" s="5"/>
      <c r="H140" s="5"/>
      <c r="I140" s="5"/>
      <c r="J140" s="5"/>
      <c r="K140" s="14"/>
    </row>
    <row r="141" spans="2:11">
      <c r="B141" s="42">
        <v>266</v>
      </c>
      <c r="C141" s="21" t="s">
        <v>185</v>
      </c>
      <c r="D141" s="22" t="s">
        <v>476</v>
      </c>
      <c r="E141" s="5"/>
      <c r="F141" s="5"/>
      <c r="G141" s="5"/>
      <c r="H141" s="5"/>
      <c r="I141" s="5"/>
      <c r="J141" s="5"/>
      <c r="K141" s="14"/>
    </row>
    <row r="142" spans="2:11">
      <c r="B142" s="42">
        <v>276</v>
      </c>
      <c r="C142" s="21" t="s">
        <v>195</v>
      </c>
      <c r="D142" s="22" t="s">
        <v>476</v>
      </c>
      <c r="E142" s="5"/>
      <c r="F142" s="5"/>
      <c r="G142" s="5"/>
      <c r="H142" s="5"/>
      <c r="I142" s="5"/>
      <c r="J142" s="5"/>
      <c r="K142" s="14"/>
    </row>
    <row r="143" spans="2:11">
      <c r="B143" s="42">
        <v>286</v>
      </c>
      <c r="C143" s="21" t="s">
        <v>205</v>
      </c>
      <c r="D143" s="22" t="s">
        <v>476</v>
      </c>
      <c r="E143" s="5"/>
      <c r="F143" s="5"/>
      <c r="G143" s="5"/>
      <c r="H143" s="5"/>
      <c r="I143" s="5"/>
      <c r="J143" s="5"/>
      <c r="K143" s="14"/>
    </row>
    <row r="144" spans="2:11">
      <c r="B144" s="42">
        <v>296</v>
      </c>
      <c r="C144" s="21" t="s">
        <v>215</v>
      </c>
      <c r="D144" s="22" t="s">
        <v>476</v>
      </c>
      <c r="E144" s="5"/>
      <c r="F144" s="5"/>
      <c r="G144" s="5"/>
      <c r="H144" s="5"/>
      <c r="I144" s="5"/>
      <c r="J144" s="5"/>
      <c r="K144" s="14"/>
    </row>
    <row r="145" spans="2:11">
      <c r="B145" s="42">
        <v>306</v>
      </c>
      <c r="C145" s="21" t="s">
        <v>225</v>
      </c>
      <c r="D145" s="22" t="s">
        <v>476</v>
      </c>
      <c r="E145" s="5"/>
      <c r="F145" s="5"/>
      <c r="G145" s="5"/>
      <c r="H145" s="5"/>
      <c r="I145" s="5"/>
      <c r="J145" s="5"/>
      <c r="K145" s="14"/>
    </row>
    <row r="146" spans="2:11">
      <c r="B146" s="42">
        <v>316</v>
      </c>
      <c r="C146" s="21" t="s">
        <v>235</v>
      </c>
      <c r="D146" s="22" t="s">
        <v>476</v>
      </c>
      <c r="E146" s="5"/>
      <c r="F146" s="5"/>
      <c r="G146" s="5"/>
      <c r="H146" s="5"/>
      <c r="I146" s="5"/>
      <c r="J146" s="5"/>
      <c r="K146" s="14"/>
    </row>
    <row r="147" spans="2:11">
      <c r="B147" s="42">
        <v>326</v>
      </c>
      <c r="C147" s="21" t="s">
        <v>245</v>
      </c>
      <c r="D147" s="22" t="s">
        <v>476</v>
      </c>
      <c r="E147" s="5"/>
      <c r="F147" s="5"/>
      <c r="G147" s="5"/>
      <c r="H147" s="5"/>
      <c r="I147" s="5"/>
      <c r="J147" s="5"/>
      <c r="K147" s="14"/>
    </row>
    <row r="148" spans="2:11">
      <c r="B148" s="42">
        <v>328</v>
      </c>
      <c r="C148" s="21" t="s">
        <v>247</v>
      </c>
      <c r="D148" s="22" t="s">
        <v>476</v>
      </c>
      <c r="E148" s="5"/>
      <c r="F148" s="5"/>
      <c r="G148" s="5"/>
      <c r="H148" s="5"/>
      <c r="I148" s="5"/>
      <c r="J148" s="5"/>
      <c r="K148" s="14"/>
    </row>
    <row r="149" spans="2:11">
      <c r="B149" s="42">
        <v>329</v>
      </c>
      <c r="C149" s="21" t="s">
        <v>248</v>
      </c>
      <c r="D149" s="22" t="s">
        <v>476</v>
      </c>
      <c r="E149" s="5"/>
      <c r="F149" s="5"/>
      <c r="G149" s="5"/>
      <c r="H149" s="5"/>
      <c r="I149" s="5"/>
      <c r="J149" s="5"/>
      <c r="K149" s="14"/>
    </row>
    <row r="150" spans="2:11">
      <c r="B150" s="42">
        <v>330</v>
      </c>
      <c r="C150" s="21" t="s">
        <v>249</v>
      </c>
      <c r="D150" s="22" t="s">
        <v>476</v>
      </c>
      <c r="E150" s="5"/>
      <c r="F150" s="5"/>
      <c r="G150" s="5"/>
      <c r="H150" s="5"/>
      <c r="I150" s="5"/>
      <c r="J150" s="5"/>
      <c r="K150" s="14"/>
    </row>
    <row r="151" spans="2:11">
      <c r="B151" s="42">
        <v>219</v>
      </c>
      <c r="C151" s="21" t="s">
        <v>138</v>
      </c>
      <c r="D151" s="22" t="s">
        <v>501</v>
      </c>
      <c r="E151" s="5"/>
      <c r="F151" s="5"/>
      <c r="G151" s="5"/>
      <c r="H151" s="5"/>
      <c r="I151" s="5"/>
      <c r="J151" s="5"/>
      <c r="K151" s="14"/>
    </row>
    <row r="152" spans="2:11">
      <c r="B152" s="42">
        <v>220</v>
      </c>
      <c r="C152" s="21" t="s">
        <v>139</v>
      </c>
      <c r="D152" s="327" t="s">
        <v>512</v>
      </c>
      <c r="E152" s="323" t="s">
        <v>868</v>
      </c>
      <c r="F152" s="323"/>
      <c r="G152" s="332" t="s">
        <v>187</v>
      </c>
      <c r="H152" s="5"/>
      <c r="I152" s="5"/>
      <c r="J152" s="5"/>
      <c r="K152" s="14"/>
    </row>
    <row r="153" spans="2:11">
      <c r="B153" s="42">
        <v>229</v>
      </c>
      <c r="C153" s="21" t="s">
        <v>148</v>
      </c>
      <c r="D153" s="327" t="s">
        <v>502</v>
      </c>
      <c r="E153" s="323" t="s">
        <v>868</v>
      </c>
      <c r="F153" s="13"/>
      <c r="G153" s="320" t="s">
        <v>970</v>
      </c>
      <c r="H153" s="5"/>
      <c r="I153" s="5"/>
      <c r="J153" s="5"/>
      <c r="K153" s="14"/>
    </row>
    <row r="154" spans="2:11">
      <c r="B154" s="42">
        <v>230</v>
      </c>
      <c r="C154" s="21" t="s">
        <v>149</v>
      </c>
      <c r="D154" s="327" t="s">
        <v>513</v>
      </c>
      <c r="E154" s="323" t="s">
        <v>868</v>
      </c>
      <c r="F154" s="13"/>
      <c r="G154" s="320" t="s">
        <v>971</v>
      </c>
      <c r="H154" s="5"/>
      <c r="I154" s="5"/>
      <c r="J154" s="5"/>
      <c r="K154" s="14"/>
    </row>
    <row r="155" spans="2:11">
      <c r="B155" s="42">
        <v>269</v>
      </c>
      <c r="C155" s="21" t="s">
        <v>188</v>
      </c>
      <c r="D155" s="327" t="s">
        <v>517</v>
      </c>
      <c r="E155" s="323" t="s">
        <v>868</v>
      </c>
      <c r="F155" s="323"/>
      <c r="G155" s="323" t="s">
        <v>317</v>
      </c>
      <c r="H155" s="5"/>
      <c r="I155" s="5"/>
      <c r="J155" s="5"/>
      <c r="K155" s="14"/>
    </row>
    <row r="156" spans="2:11">
      <c r="B156" s="42">
        <v>270</v>
      </c>
      <c r="C156" s="21" t="s">
        <v>189</v>
      </c>
      <c r="D156" s="327" t="s">
        <v>505</v>
      </c>
      <c r="E156" s="323" t="s">
        <v>868</v>
      </c>
      <c r="F156" s="323"/>
      <c r="G156" s="320" t="s">
        <v>297</v>
      </c>
      <c r="H156" s="5"/>
      <c r="I156" s="5"/>
      <c r="J156" s="5"/>
      <c r="K156" s="14"/>
    </row>
    <row r="157" spans="2:11">
      <c r="B157" s="197">
        <v>400</v>
      </c>
      <c r="C157" s="198" t="s">
        <v>319</v>
      </c>
      <c r="D157" s="292" t="s">
        <v>709</v>
      </c>
      <c r="E157" s="199"/>
      <c r="F157" s="199"/>
      <c r="G157" s="199"/>
      <c r="H157" s="199"/>
      <c r="I157" s="199"/>
      <c r="J157" s="199"/>
      <c r="K157" s="200"/>
    </row>
    <row r="158" spans="2:11">
      <c r="B158" s="197">
        <v>399</v>
      </c>
      <c r="C158" s="198" t="s">
        <v>318</v>
      </c>
      <c r="D158" s="292" t="s">
        <v>687</v>
      </c>
      <c r="E158" s="199"/>
      <c r="F158" s="199"/>
      <c r="G158" s="199"/>
      <c r="H158" s="199"/>
      <c r="I158" s="199"/>
      <c r="J158" s="199"/>
      <c r="K158" s="200"/>
    </row>
    <row r="159" spans="2:11">
      <c r="B159" s="197">
        <v>398</v>
      </c>
      <c r="C159" s="198" t="s">
        <v>317</v>
      </c>
      <c r="D159" s="292" t="s">
        <v>665</v>
      </c>
      <c r="E159" s="199"/>
      <c r="F159" s="199"/>
      <c r="G159" s="199"/>
      <c r="H159" s="199"/>
      <c r="I159" s="199"/>
      <c r="J159" s="199"/>
      <c r="K159" s="200"/>
    </row>
    <row r="160" spans="2:11">
      <c r="B160" s="197">
        <v>397</v>
      </c>
      <c r="C160" s="198" t="s">
        <v>316</v>
      </c>
      <c r="D160" s="292" t="s">
        <v>642</v>
      </c>
      <c r="E160" s="199"/>
      <c r="F160" s="199"/>
      <c r="G160" s="199"/>
      <c r="H160" s="199"/>
      <c r="I160" s="199"/>
      <c r="J160" s="199"/>
      <c r="K160" s="200"/>
    </row>
    <row r="161" spans="2:11">
      <c r="B161" s="197">
        <v>366</v>
      </c>
      <c r="C161" s="198" t="s">
        <v>285</v>
      </c>
      <c r="D161" s="292" t="s">
        <v>618</v>
      </c>
      <c r="E161" s="199"/>
      <c r="F161" s="199"/>
      <c r="G161" s="199"/>
      <c r="H161" s="199"/>
      <c r="I161" s="199"/>
      <c r="J161" s="199"/>
      <c r="K161" s="200"/>
    </row>
    <row r="162" spans="2:11">
      <c r="B162" s="197">
        <v>376</v>
      </c>
      <c r="C162" s="198" t="s">
        <v>295</v>
      </c>
      <c r="D162" s="292" t="s">
        <v>619</v>
      </c>
      <c r="E162" s="199"/>
      <c r="F162" s="199"/>
      <c r="G162" s="199"/>
      <c r="H162" s="199"/>
      <c r="I162" s="199"/>
      <c r="J162" s="199"/>
      <c r="K162" s="200"/>
    </row>
    <row r="163" spans="2:11">
      <c r="B163" s="197">
        <v>390</v>
      </c>
      <c r="C163" s="198" t="s">
        <v>309</v>
      </c>
      <c r="D163" s="292" t="s">
        <v>708</v>
      </c>
      <c r="E163" s="199"/>
      <c r="F163" s="199"/>
      <c r="G163" s="199"/>
      <c r="H163" s="199"/>
      <c r="I163" s="199"/>
      <c r="J163" s="199"/>
      <c r="K163" s="200"/>
    </row>
    <row r="164" spans="2:11">
      <c r="B164" s="197">
        <v>389</v>
      </c>
      <c r="C164" s="198" t="s">
        <v>308</v>
      </c>
      <c r="D164" s="292" t="s">
        <v>686</v>
      </c>
      <c r="E164" s="199"/>
      <c r="F164" s="199"/>
      <c r="G164" s="199"/>
      <c r="H164" s="199"/>
      <c r="I164" s="199"/>
      <c r="J164" s="199"/>
      <c r="K164" s="200"/>
    </row>
    <row r="165" spans="2:11">
      <c r="B165" s="197">
        <v>370</v>
      </c>
      <c r="C165" s="198" t="s">
        <v>289</v>
      </c>
      <c r="D165" s="292" t="s">
        <v>706</v>
      </c>
      <c r="E165" s="199"/>
      <c r="F165" s="199"/>
      <c r="G165" s="199"/>
      <c r="H165" s="199"/>
      <c r="I165" s="199"/>
      <c r="J165" s="199"/>
      <c r="K165" s="200"/>
    </row>
    <row r="166" spans="2:11">
      <c r="B166" s="197">
        <v>369</v>
      </c>
      <c r="C166" s="198" t="s">
        <v>288</v>
      </c>
      <c r="D166" s="292" t="s">
        <v>684</v>
      </c>
      <c r="E166" s="199"/>
      <c r="F166" s="199"/>
      <c r="G166" s="199"/>
      <c r="H166" s="199"/>
      <c r="I166" s="199"/>
      <c r="J166" s="199"/>
      <c r="K166" s="200"/>
    </row>
    <row r="167" spans="2:11">
      <c r="B167" s="197">
        <v>377</v>
      </c>
      <c r="C167" s="198" t="s">
        <v>296</v>
      </c>
      <c r="D167" s="292" t="s">
        <v>641</v>
      </c>
      <c r="E167" s="199"/>
      <c r="F167" s="199"/>
      <c r="G167" s="199"/>
      <c r="H167" s="199"/>
      <c r="I167" s="199"/>
      <c r="J167" s="199"/>
      <c r="K167" s="200"/>
    </row>
    <row r="168" spans="2:11">
      <c r="B168" s="197">
        <v>378</v>
      </c>
      <c r="C168" s="198" t="s">
        <v>297</v>
      </c>
      <c r="D168" s="292" t="s">
        <v>664</v>
      </c>
      <c r="E168" s="199"/>
      <c r="F168" s="199"/>
      <c r="G168" s="199"/>
      <c r="H168" s="199"/>
      <c r="I168" s="199"/>
      <c r="J168" s="199"/>
      <c r="K168" s="200"/>
    </row>
    <row r="169" spans="2:11">
      <c r="B169" s="197">
        <v>367</v>
      </c>
      <c r="C169" s="198" t="s">
        <v>286</v>
      </c>
      <c r="D169" s="292" t="s">
        <v>640</v>
      </c>
      <c r="E169" s="199"/>
      <c r="F169" s="199"/>
      <c r="G169" s="199"/>
      <c r="H169" s="199"/>
      <c r="I169" s="199"/>
      <c r="J169" s="199"/>
      <c r="K169" s="200"/>
    </row>
    <row r="170" spans="2:11">
      <c r="B170" s="197">
        <v>368</v>
      </c>
      <c r="C170" s="198" t="s">
        <v>287</v>
      </c>
      <c r="D170" s="292" t="s">
        <v>663</v>
      </c>
      <c r="E170" s="199"/>
      <c r="F170" s="199"/>
      <c r="G170" s="199"/>
      <c r="H170" s="199"/>
      <c r="I170" s="199"/>
      <c r="J170" s="199"/>
      <c r="K170" s="200"/>
    </row>
    <row r="171" spans="2:11">
      <c r="B171" s="197">
        <v>380</v>
      </c>
      <c r="C171" s="198" t="s">
        <v>299</v>
      </c>
      <c r="D171" s="292" t="s">
        <v>707</v>
      </c>
      <c r="E171" s="199"/>
      <c r="F171" s="199"/>
      <c r="G171" s="199"/>
      <c r="H171" s="199"/>
      <c r="I171" s="199"/>
      <c r="J171" s="199"/>
      <c r="K171" s="200"/>
    </row>
    <row r="172" spans="2:11">
      <c r="B172" s="197">
        <v>379</v>
      </c>
      <c r="C172" s="198" t="s">
        <v>298</v>
      </c>
      <c r="D172" s="292" t="s">
        <v>685</v>
      </c>
      <c r="E172" s="199"/>
      <c r="F172" s="199"/>
      <c r="G172" s="199"/>
      <c r="H172" s="199"/>
      <c r="I172" s="199"/>
      <c r="J172" s="199"/>
      <c r="K172" s="200"/>
    </row>
    <row r="173" spans="2:11">
      <c r="B173" s="197">
        <v>394</v>
      </c>
      <c r="C173" s="198" t="s">
        <v>313</v>
      </c>
      <c r="D173" s="292" t="s">
        <v>599</v>
      </c>
      <c r="E173" s="199"/>
      <c r="F173" s="199"/>
      <c r="G173" s="199"/>
      <c r="H173" s="199"/>
      <c r="I173" s="199"/>
      <c r="J173" s="199"/>
      <c r="K173" s="200"/>
    </row>
    <row r="174" spans="2:11">
      <c r="B174" s="197">
        <v>384</v>
      </c>
      <c r="C174" s="198" t="s">
        <v>303</v>
      </c>
      <c r="D174" s="292" t="s">
        <v>598</v>
      </c>
      <c r="E174" s="199"/>
      <c r="F174" s="199"/>
      <c r="G174" s="199"/>
      <c r="H174" s="199"/>
      <c r="I174" s="199"/>
      <c r="J174" s="199"/>
      <c r="K174" s="200"/>
    </row>
    <row r="175" spans="2:11">
      <c r="B175" s="197">
        <v>374</v>
      </c>
      <c r="C175" s="198" t="s">
        <v>293</v>
      </c>
      <c r="D175" s="292" t="s">
        <v>597</v>
      </c>
      <c r="E175" s="199"/>
      <c r="F175" s="199"/>
      <c r="G175" s="199"/>
      <c r="H175" s="199"/>
      <c r="I175" s="199"/>
      <c r="J175" s="199"/>
      <c r="K175" s="200"/>
    </row>
    <row r="176" spans="2:11">
      <c r="B176" s="197">
        <v>364</v>
      </c>
      <c r="C176" s="198" t="s">
        <v>283</v>
      </c>
      <c r="D176" s="292" t="s">
        <v>596</v>
      </c>
      <c r="E176" s="199"/>
      <c r="F176" s="199"/>
      <c r="G176" s="199"/>
      <c r="H176" s="199"/>
      <c r="I176" s="199"/>
      <c r="J176" s="199"/>
      <c r="K176" s="200"/>
    </row>
    <row r="177" spans="2:11">
      <c r="B177" s="197">
        <v>375</v>
      </c>
      <c r="C177" s="198" t="s">
        <v>294</v>
      </c>
      <c r="D177" s="292" t="s">
        <v>609</v>
      </c>
      <c r="E177" s="199"/>
      <c r="F177" s="199"/>
      <c r="G177" s="199"/>
      <c r="H177" s="199"/>
      <c r="I177" s="199"/>
      <c r="J177" s="199"/>
      <c r="K177" s="200"/>
    </row>
    <row r="178" spans="2:11">
      <c r="B178" s="197">
        <v>365</v>
      </c>
      <c r="C178" s="198" t="s">
        <v>284</v>
      </c>
      <c r="D178" s="292" t="s">
        <v>608</v>
      </c>
      <c r="E178" s="199"/>
      <c r="F178" s="199"/>
      <c r="G178" s="199"/>
      <c r="H178" s="199"/>
      <c r="I178" s="199"/>
      <c r="J178" s="199"/>
      <c r="K178" s="200"/>
    </row>
    <row r="179" spans="2:11">
      <c r="B179" s="197">
        <v>373</v>
      </c>
      <c r="C179" s="198" t="s">
        <v>292</v>
      </c>
      <c r="D179" s="292" t="s">
        <v>576</v>
      </c>
      <c r="E179" s="199"/>
      <c r="F179" s="199"/>
      <c r="G179" s="199"/>
      <c r="H179" s="199"/>
      <c r="I179" s="199"/>
      <c r="J179" s="199"/>
      <c r="K179" s="200"/>
    </row>
    <row r="180" spans="2:11">
      <c r="B180" s="197">
        <v>363</v>
      </c>
      <c r="C180" s="198" t="s">
        <v>282</v>
      </c>
      <c r="D180" s="292" t="s">
        <v>575</v>
      </c>
      <c r="E180" s="199"/>
      <c r="F180" s="199"/>
      <c r="G180" s="199"/>
      <c r="H180" s="199"/>
      <c r="I180" s="199"/>
      <c r="J180" s="199"/>
      <c r="K180" s="200"/>
    </row>
    <row r="181" spans="2:11">
      <c r="B181" s="197">
        <v>391</v>
      </c>
      <c r="C181" s="198" t="s">
        <v>310</v>
      </c>
      <c r="D181" s="292" t="s">
        <v>533</v>
      </c>
      <c r="E181" s="199"/>
      <c r="F181" s="199"/>
      <c r="G181" s="199"/>
      <c r="H181" s="199"/>
      <c r="I181" s="199"/>
      <c r="J181" s="199"/>
      <c r="K181" s="200"/>
    </row>
    <row r="182" spans="2:11">
      <c r="B182" s="197">
        <v>381</v>
      </c>
      <c r="C182" s="198" t="s">
        <v>300</v>
      </c>
      <c r="D182" s="292" t="s">
        <v>532</v>
      </c>
      <c r="E182" s="199"/>
      <c r="F182" s="199"/>
      <c r="G182" s="199"/>
      <c r="H182" s="199"/>
      <c r="I182" s="199"/>
      <c r="J182" s="199"/>
      <c r="K182" s="200"/>
    </row>
    <row r="183" spans="2:11">
      <c r="B183" s="197">
        <v>371</v>
      </c>
      <c r="C183" s="198" t="s">
        <v>290</v>
      </c>
      <c r="D183" s="292" t="s">
        <v>531</v>
      </c>
      <c r="E183" s="199"/>
      <c r="F183" s="199"/>
      <c r="G183" s="199"/>
      <c r="H183" s="199"/>
      <c r="I183" s="199"/>
      <c r="J183" s="199"/>
      <c r="K183" s="200"/>
    </row>
    <row r="184" spans="2:11">
      <c r="B184" s="197">
        <v>361</v>
      </c>
      <c r="C184" s="198" t="s">
        <v>280</v>
      </c>
      <c r="D184" s="292" t="s">
        <v>530</v>
      </c>
      <c r="E184" s="199"/>
      <c r="F184" s="199"/>
      <c r="G184" s="199"/>
      <c r="H184" s="199"/>
      <c r="I184" s="199"/>
      <c r="J184" s="199"/>
      <c r="K184" s="200"/>
    </row>
    <row r="185" spans="2:11">
      <c r="B185" s="197">
        <v>372</v>
      </c>
      <c r="C185" s="198" t="s">
        <v>291</v>
      </c>
      <c r="D185" s="292" t="s">
        <v>551</v>
      </c>
      <c r="E185" s="199"/>
      <c r="F185" s="199"/>
      <c r="G185" s="199"/>
      <c r="H185" s="199"/>
      <c r="I185" s="199"/>
      <c r="J185" s="199"/>
      <c r="K185" s="200"/>
    </row>
    <row r="186" spans="2:11">
      <c r="B186" s="197">
        <v>362</v>
      </c>
      <c r="C186" s="198" t="s">
        <v>281</v>
      </c>
      <c r="D186" s="292" t="s">
        <v>550</v>
      </c>
      <c r="E186" s="199"/>
      <c r="F186" s="199"/>
      <c r="G186" s="199"/>
      <c r="H186" s="199"/>
      <c r="I186" s="199"/>
      <c r="J186" s="199"/>
      <c r="K186" s="200"/>
    </row>
    <row r="187" spans="2:11">
      <c r="B187" s="213">
        <v>354</v>
      </c>
      <c r="C187" s="214" t="s">
        <v>273</v>
      </c>
      <c r="D187" s="292" t="s">
        <v>595</v>
      </c>
      <c r="E187" s="199"/>
      <c r="F187" s="216"/>
      <c r="G187" s="216"/>
      <c r="H187" s="199"/>
      <c r="I187" s="216"/>
      <c r="J187" s="5"/>
      <c r="K187" s="14"/>
    </row>
    <row r="188" spans="2:11">
      <c r="B188" s="213">
        <v>353</v>
      </c>
      <c r="C188" s="214" t="s">
        <v>272</v>
      </c>
      <c r="D188" s="292" t="s">
        <v>574</v>
      </c>
      <c r="E188" s="199"/>
      <c r="F188" s="216"/>
      <c r="G188" s="216"/>
      <c r="H188" s="199"/>
      <c r="I188" s="216"/>
      <c r="J188" s="5"/>
      <c r="K188" s="14"/>
    </row>
    <row r="189" spans="2:11">
      <c r="B189" s="42">
        <v>93</v>
      </c>
      <c r="C189" s="258" t="s">
        <v>5</v>
      </c>
      <c r="D189" s="257" t="s">
        <v>558</v>
      </c>
      <c r="E189" s="324" t="s">
        <v>870</v>
      </c>
      <c r="F189" s="13"/>
      <c r="G189" s="389" t="s">
        <v>1027</v>
      </c>
      <c r="H189" s="340" t="s">
        <v>927</v>
      </c>
      <c r="I189" s="13"/>
      <c r="J189" s="13"/>
      <c r="K189" s="20"/>
    </row>
    <row r="190" spans="2:11">
      <c r="B190" s="42">
        <v>94</v>
      </c>
      <c r="C190" s="258" t="s">
        <v>6</v>
      </c>
      <c r="D190" s="257" t="s">
        <v>583</v>
      </c>
      <c r="E190" s="324" t="s">
        <v>870</v>
      </c>
      <c r="F190" s="13"/>
      <c r="G190" s="389" t="s">
        <v>1028</v>
      </c>
      <c r="H190" s="312" t="s">
        <v>927</v>
      </c>
      <c r="I190" s="13"/>
      <c r="J190" s="13"/>
      <c r="K190" s="20"/>
    </row>
    <row r="191" spans="2:11">
      <c r="B191" s="42">
        <v>103</v>
      </c>
      <c r="C191" s="258" t="s">
        <v>22</v>
      </c>
      <c r="D191" s="257" t="s">
        <v>559</v>
      </c>
      <c r="E191" s="324" t="s">
        <v>870</v>
      </c>
      <c r="F191" s="13"/>
      <c r="G191" s="389" t="s">
        <v>1025</v>
      </c>
      <c r="H191" s="312" t="s">
        <v>927</v>
      </c>
      <c r="I191" s="13"/>
      <c r="J191" s="13"/>
      <c r="K191" s="20"/>
    </row>
    <row r="192" spans="2:11">
      <c r="B192" s="42">
        <v>104</v>
      </c>
      <c r="C192" s="258" t="s">
        <v>23</v>
      </c>
      <c r="D192" s="257" t="s">
        <v>584</v>
      </c>
      <c r="E192" s="324" t="s">
        <v>870</v>
      </c>
      <c r="F192" s="13"/>
      <c r="G192" s="389" t="s">
        <v>1026</v>
      </c>
      <c r="H192" s="312" t="s">
        <v>927</v>
      </c>
      <c r="I192" s="13"/>
      <c r="J192" s="13"/>
      <c r="K192" s="20"/>
    </row>
    <row r="193" spans="2:11">
      <c r="B193" s="42">
        <v>101</v>
      </c>
      <c r="C193" s="258" t="s">
        <v>20</v>
      </c>
      <c r="D193" s="257" t="s">
        <v>522</v>
      </c>
      <c r="E193" s="324" t="s">
        <v>870</v>
      </c>
      <c r="F193" s="13"/>
      <c r="G193" s="389" t="s">
        <v>1023</v>
      </c>
      <c r="H193" s="312" t="s">
        <v>927</v>
      </c>
      <c r="I193" s="13"/>
      <c r="J193" s="13"/>
      <c r="K193" s="20"/>
    </row>
    <row r="194" spans="2:11">
      <c r="B194" s="42">
        <v>102</v>
      </c>
      <c r="C194" s="258" t="s">
        <v>21</v>
      </c>
      <c r="D194" s="257" t="s">
        <v>538</v>
      </c>
      <c r="E194" s="324" t="s">
        <v>870</v>
      </c>
      <c r="F194" s="13"/>
      <c r="G194" s="389" t="s">
        <v>1024</v>
      </c>
      <c r="H194" s="312" t="s">
        <v>927</v>
      </c>
      <c r="I194" s="13"/>
      <c r="J194" s="13"/>
      <c r="K194" s="20"/>
    </row>
    <row r="195" spans="2:11">
      <c r="B195" s="213">
        <v>95</v>
      </c>
      <c r="C195" s="214" t="s">
        <v>7</v>
      </c>
      <c r="D195" s="215" t="s">
        <v>602</v>
      </c>
      <c r="E195" s="359"/>
      <c r="F195" s="216"/>
      <c r="G195" s="359"/>
      <c r="H195" s="312"/>
      <c r="I195" s="216"/>
      <c r="J195" s="5"/>
      <c r="K195" s="14"/>
    </row>
    <row r="196" spans="2:11">
      <c r="B196" s="213">
        <v>96</v>
      </c>
      <c r="C196" s="214" t="s">
        <v>8</v>
      </c>
      <c r="D196" s="215" t="s">
        <v>616</v>
      </c>
      <c r="E196" s="359"/>
      <c r="F196" s="216"/>
      <c r="G196" s="359"/>
      <c r="H196" s="312"/>
      <c r="I196" s="216"/>
      <c r="J196" s="5"/>
      <c r="K196" s="14"/>
    </row>
    <row r="197" spans="2:11">
      <c r="B197" s="42">
        <v>86</v>
      </c>
      <c r="C197" s="258" t="s">
        <v>422</v>
      </c>
      <c r="D197" s="257" t="s">
        <v>615</v>
      </c>
      <c r="E197" s="324" t="s">
        <v>870</v>
      </c>
      <c r="F197" s="13"/>
      <c r="G197" s="389" t="s">
        <v>998</v>
      </c>
      <c r="H197" s="312" t="s">
        <v>927</v>
      </c>
      <c r="I197" s="13"/>
      <c r="J197" s="13"/>
      <c r="K197" s="20"/>
    </row>
    <row r="198" spans="2:11">
      <c r="B198" s="42">
        <v>85</v>
      </c>
      <c r="C198" s="258" t="s">
        <v>421</v>
      </c>
      <c r="D198" s="257" t="s">
        <v>601</v>
      </c>
      <c r="E198" s="324" t="s">
        <v>870</v>
      </c>
      <c r="F198" s="13"/>
      <c r="G198" s="389" t="s">
        <v>999</v>
      </c>
      <c r="H198" s="312" t="s">
        <v>927</v>
      </c>
      <c r="I198" s="13"/>
      <c r="J198" s="13"/>
      <c r="K198" s="20"/>
    </row>
    <row r="199" spans="2:11">
      <c r="B199" s="42">
        <v>76</v>
      </c>
      <c r="C199" s="258" t="s">
        <v>412</v>
      </c>
      <c r="D199" s="271" t="s">
        <v>614</v>
      </c>
      <c r="E199" s="324" t="s">
        <v>870</v>
      </c>
      <c r="F199" s="13"/>
      <c r="G199" s="389" t="s">
        <v>996</v>
      </c>
      <c r="H199" s="312" t="s">
        <v>927</v>
      </c>
      <c r="I199" s="13"/>
      <c r="J199" s="13"/>
      <c r="K199" s="20"/>
    </row>
    <row r="200" spans="2:11">
      <c r="B200" s="42">
        <v>75</v>
      </c>
      <c r="C200" s="258" t="s">
        <v>411</v>
      </c>
      <c r="D200" s="271" t="s">
        <v>600</v>
      </c>
      <c r="E200" s="324" t="s">
        <v>870</v>
      </c>
      <c r="F200" s="13"/>
      <c r="G200" s="389" t="s">
        <v>997</v>
      </c>
      <c r="H200" s="312" t="s">
        <v>927</v>
      </c>
      <c r="I200" s="13"/>
      <c r="J200" s="13"/>
      <c r="K200" s="20"/>
    </row>
    <row r="201" spans="2:11">
      <c r="B201" s="42">
        <v>74</v>
      </c>
      <c r="C201" s="258" t="s">
        <v>410</v>
      </c>
      <c r="D201" s="271" t="s">
        <v>581</v>
      </c>
      <c r="E201" s="324" t="s">
        <v>870</v>
      </c>
      <c r="F201" s="13"/>
      <c r="G201" s="389" t="s">
        <v>994</v>
      </c>
      <c r="H201" s="312" t="s">
        <v>927</v>
      </c>
      <c r="I201" s="13"/>
      <c r="J201" s="13"/>
      <c r="K201" s="20"/>
    </row>
    <row r="202" spans="2:11">
      <c r="B202" s="42">
        <v>73</v>
      </c>
      <c r="C202" s="258" t="s">
        <v>409</v>
      </c>
      <c r="D202" s="271" t="s">
        <v>556</v>
      </c>
      <c r="E202" s="324" t="s">
        <v>870</v>
      </c>
      <c r="F202" s="13"/>
      <c r="G202" s="389" t="s">
        <v>995</v>
      </c>
      <c r="H202" s="312" t="s">
        <v>927</v>
      </c>
      <c r="I202" s="13"/>
      <c r="J202" s="13"/>
      <c r="K202" s="20"/>
    </row>
    <row r="203" spans="2:11">
      <c r="B203" s="213">
        <v>83</v>
      </c>
      <c r="C203" s="214" t="s">
        <v>419</v>
      </c>
      <c r="D203" s="215" t="s">
        <v>557</v>
      </c>
      <c r="E203" s="359"/>
      <c r="F203" s="216"/>
      <c r="G203" s="359"/>
      <c r="H203" s="312"/>
      <c r="I203" s="216"/>
      <c r="J203" s="5"/>
      <c r="K203" s="14"/>
    </row>
    <row r="204" spans="2:11">
      <c r="B204" s="213">
        <v>84</v>
      </c>
      <c r="C204" s="214" t="s">
        <v>420</v>
      </c>
      <c r="D204" s="215" t="s">
        <v>582</v>
      </c>
      <c r="E204" s="359"/>
      <c r="F204" s="216"/>
      <c r="G204" s="359"/>
      <c r="H204" s="312"/>
      <c r="I204" s="216"/>
      <c r="J204" s="5"/>
      <c r="K204" s="14"/>
    </row>
    <row r="205" spans="2:11">
      <c r="B205" s="42">
        <v>24</v>
      </c>
      <c r="C205" s="258" t="s">
        <v>360</v>
      </c>
      <c r="D205" s="257" t="s">
        <v>579</v>
      </c>
      <c r="E205" s="324" t="s">
        <v>870</v>
      </c>
      <c r="F205" s="13"/>
      <c r="G205" s="389" t="s">
        <v>1006</v>
      </c>
      <c r="H205" s="312" t="s">
        <v>927</v>
      </c>
      <c r="I205" s="13"/>
      <c r="J205" s="13"/>
      <c r="K205" s="20"/>
    </row>
    <row r="206" spans="2:11">
      <c r="B206" s="42">
        <v>34</v>
      </c>
      <c r="C206" s="258" t="s">
        <v>370</v>
      </c>
      <c r="D206" s="257" t="s">
        <v>580</v>
      </c>
      <c r="E206" s="324" t="s">
        <v>870</v>
      </c>
      <c r="F206" s="13"/>
      <c r="G206" s="389" t="s">
        <v>1007</v>
      </c>
      <c r="H206" s="312" t="s">
        <v>927</v>
      </c>
      <c r="I206" s="13"/>
      <c r="J206" s="13"/>
      <c r="K206" s="20"/>
    </row>
    <row r="207" spans="2:11">
      <c r="B207" s="42">
        <v>14</v>
      </c>
      <c r="C207" s="258" t="s">
        <v>350</v>
      </c>
      <c r="D207" s="257" t="s">
        <v>578</v>
      </c>
      <c r="E207" s="324" t="s">
        <v>870</v>
      </c>
      <c r="F207" s="13"/>
      <c r="G207" s="389" t="s">
        <v>1029</v>
      </c>
      <c r="H207" s="312" t="s">
        <v>927</v>
      </c>
      <c r="I207" s="13"/>
      <c r="J207" s="13"/>
      <c r="K207" s="20"/>
    </row>
    <row r="208" spans="2:11">
      <c r="B208" s="42">
        <v>4</v>
      </c>
      <c r="C208" s="258" t="s">
        <v>340</v>
      </c>
      <c r="D208" s="257" t="s">
        <v>577</v>
      </c>
      <c r="E208" s="324" t="s">
        <v>870</v>
      </c>
      <c r="F208" s="13"/>
      <c r="G208" s="389" t="s">
        <v>1030</v>
      </c>
      <c r="H208" s="312" t="s">
        <v>927</v>
      </c>
      <c r="I208" s="13"/>
      <c r="J208" s="13"/>
      <c r="K208" s="20"/>
    </row>
    <row r="209" spans="2:11">
      <c r="B209" s="42">
        <v>13</v>
      </c>
      <c r="C209" s="258" t="s">
        <v>349</v>
      </c>
      <c r="D209" s="257" t="s">
        <v>553</v>
      </c>
      <c r="E209" s="324" t="s">
        <v>870</v>
      </c>
      <c r="F209" s="13"/>
      <c r="G209" s="389" t="s">
        <v>1000</v>
      </c>
      <c r="H209" s="312" t="s">
        <v>927</v>
      </c>
      <c r="I209" s="13"/>
      <c r="J209" s="13"/>
      <c r="K209" s="20"/>
    </row>
    <row r="210" spans="2:11">
      <c r="B210" s="42">
        <v>3</v>
      </c>
      <c r="C210" s="258" t="s">
        <v>339</v>
      </c>
      <c r="D210" s="257" t="s">
        <v>552</v>
      </c>
      <c r="E210" s="324" t="s">
        <v>870</v>
      </c>
      <c r="F210" s="13"/>
      <c r="G210" s="389" t="s">
        <v>1001</v>
      </c>
      <c r="H210" s="312" t="s">
        <v>927</v>
      </c>
      <c r="I210" s="13"/>
      <c r="J210" s="13"/>
      <c r="K210" s="20"/>
    </row>
    <row r="211" spans="2:11">
      <c r="B211" s="213">
        <v>33</v>
      </c>
      <c r="C211" s="214" t="s">
        <v>369</v>
      </c>
      <c r="D211" s="215" t="s">
        <v>555</v>
      </c>
      <c r="E211" s="359"/>
      <c r="F211" s="216"/>
      <c r="G211" s="359"/>
      <c r="H211" s="312"/>
      <c r="I211" s="216"/>
      <c r="J211" s="5"/>
      <c r="K211" s="14"/>
    </row>
    <row r="212" spans="2:11">
      <c r="B212" s="213">
        <v>23</v>
      </c>
      <c r="C212" s="214" t="s">
        <v>359</v>
      </c>
      <c r="D212" s="215" t="s">
        <v>554</v>
      </c>
      <c r="E212" s="359"/>
      <c r="F212" s="216"/>
      <c r="G212" s="359"/>
      <c r="H212" s="312"/>
      <c r="I212" s="216"/>
      <c r="J212" s="5"/>
      <c r="K212" s="14"/>
    </row>
    <row r="213" spans="2:11">
      <c r="B213" s="42">
        <v>31</v>
      </c>
      <c r="C213" s="258" t="s">
        <v>367</v>
      </c>
      <c r="D213" s="257" t="s">
        <v>521</v>
      </c>
      <c r="E213" s="324" t="s">
        <v>870</v>
      </c>
      <c r="F213" s="13"/>
      <c r="G213" s="389" t="s">
        <v>1002</v>
      </c>
      <c r="H213" s="312" t="s">
        <v>927</v>
      </c>
      <c r="I213" s="13"/>
      <c r="J213" s="13"/>
      <c r="K213" s="20"/>
    </row>
    <row r="214" spans="2:11">
      <c r="B214" s="42">
        <v>32</v>
      </c>
      <c r="C214" s="258" t="s">
        <v>368</v>
      </c>
      <c r="D214" s="257" t="s">
        <v>537</v>
      </c>
      <c r="E214" s="324" t="s">
        <v>870</v>
      </c>
      <c r="F214" s="13"/>
      <c r="G214" s="389" t="s">
        <v>1003</v>
      </c>
      <c r="H214" s="312" t="s">
        <v>927</v>
      </c>
      <c r="I214" s="13"/>
      <c r="J214" s="13"/>
      <c r="K214" s="20"/>
    </row>
    <row r="215" spans="2:11">
      <c r="B215" s="42">
        <v>21</v>
      </c>
      <c r="C215" s="258" t="s">
        <v>357</v>
      </c>
      <c r="D215" s="257" t="s">
        <v>520</v>
      </c>
      <c r="E215" s="324" t="s">
        <v>870</v>
      </c>
      <c r="F215" s="13"/>
      <c r="G215" s="389" t="s">
        <v>1004</v>
      </c>
      <c r="H215" s="312" t="s">
        <v>927</v>
      </c>
      <c r="I215" s="13"/>
      <c r="J215" s="13"/>
      <c r="K215" s="20"/>
    </row>
    <row r="216" spans="2:11">
      <c r="B216" s="42">
        <v>22</v>
      </c>
      <c r="C216" s="258" t="s">
        <v>358</v>
      </c>
      <c r="D216" s="257" t="s">
        <v>536</v>
      </c>
      <c r="E216" s="324" t="s">
        <v>870</v>
      </c>
      <c r="F216" s="13"/>
      <c r="G216" s="389" t="s">
        <v>1005</v>
      </c>
      <c r="H216" s="312" t="s">
        <v>927</v>
      </c>
      <c r="I216" s="13"/>
      <c r="J216" s="13"/>
      <c r="K216" s="20"/>
    </row>
    <row r="217" spans="2:11">
      <c r="B217" s="42">
        <v>11</v>
      </c>
      <c r="C217" s="258" t="s">
        <v>347</v>
      </c>
      <c r="D217" s="257" t="s">
        <v>519</v>
      </c>
      <c r="E217" s="324" t="s">
        <v>870</v>
      </c>
      <c r="F217" s="13"/>
      <c r="G217" s="389" t="s">
        <v>1008</v>
      </c>
      <c r="H217" s="312" t="s">
        <v>927</v>
      </c>
      <c r="I217" s="13"/>
      <c r="J217" s="13"/>
      <c r="K217" s="20"/>
    </row>
    <row r="218" spans="2:11">
      <c r="B218" s="42">
        <v>12</v>
      </c>
      <c r="C218" s="258" t="s">
        <v>348</v>
      </c>
      <c r="D218" s="257" t="s">
        <v>535</v>
      </c>
      <c r="E218" s="324" t="s">
        <v>870</v>
      </c>
      <c r="F218" s="13"/>
      <c r="G218" s="389" t="s">
        <v>1009</v>
      </c>
      <c r="H218" s="312" t="s">
        <v>927</v>
      </c>
      <c r="I218" s="13"/>
      <c r="J218" s="13"/>
      <c r="K218" s="20"/>
    </row>
    <row r="219" spans="2:11">
      <c r="B219" s="213">
        <v>1</v>
      </c>
      <c r="C219" s="214" t="s">
        <v>337</v>
      </c>
      <c r="D219" s="215" t="s">
        <v>518</v>
      </c>
      <c r="E219" s="199"/>
      <c r="F219" s="216"/>
      <c r="G219" s="216"/>
      <c r="H219" s="199"/>
      <c r="I219" s="216"/>
      <c r="J219" s="13"/>
      <c r="K219" s="20"/>
    </row>
    <row r="220" spans="2:11">
      <c r="B220" s="213">
        <v>2</v>
      </c>
      <c r="C220" s="214" t="s">
        <v>338</v>
      </c>
      <c r="D220" s="215" t="s">
        <v>534</v>
      </c>
      <c r="E220" s="199"/>
      <c r="F220" s="216"/>
      <c r="G220" s="216"/>
      <c r="H220" s="199"/>
      <c r="I220" s="216"/>
      <c r="J220" s="5"/>
      <c r="K220" s="14"/>
    </row>
    <row r="221" spans="2:11">
      <c r="B221" s="42">
        <v>43</v>
      </c>
      <c r="C221" s="258" t="s">
        <v>379</v>
      </c>
      <c r="D221" s="271" t="s">
        <v>447</v>
      </c>
      <c r="E221" s="324" t="s">
        <v>870</v>
      </c>
      <c r="F221" s="13"/>
      <c r="G221" s="320" t="s">
        <v>186</v>
      </c>
      <c r="H221" s="13"/>
      <c r="I221" s="13"/>
      <c r="J221" s="13"/>
      <c r="K221" s="20"/>
    </row>
    <row r="222" spans="2:11">
      <c r="B222" s="42">
        <v>44</v>
      </c>
      <c r="C222" s="258" t="s">
        <v>380</v>
      </c>
      <c r="D222" s="271" t="s">
        <v>455</v>
      </c>
      <c r="E222" s="324" t="s">
        <v>870</v>
      </c>
      <c r="F222" s="13"/>
      <c r="G222" s="320" t="s">
        <v>196</v>
      </c>
      <c r="H222" s="13"/>
      <c r="I222" s="13"/>
      <c r="J222" s="13"/>
      <c r="K222" s="20"/>
    </row>
    <row r="223" spans="2:11">
      <c r="B223" s="42">
        <v>62</v>
      </c>
      <c r="C223" s="258" t="s">
        <v>398</v>
      </c>
      <c r="D223" s="271" t="s">
        <v>428</v>
      </c>
      <c r="E223" s="13"/>
      <c r="F223" s="13"/>
      <c r="G223" s="13"/>
      <c r="H223" s="13"/>
      <c r="I223" s="13"/>
      <c r="J223" s="13"/>
      <c r="K223" s="20"/>
    </row>
    <row r="224" spans="2:11">
      <c r="B224" s="42">
        <v>61</v>
      </c>
      <c r="C224" s="258" t="s">
        <v>397</v>
      </c>
      <c r="D224" s="271" t="s">
        <v>322</v>
      </c>
      <c r="E224" s="324" t="s">
        <v>870</v>
      </c>
      <c r="F224" s="324"/>
      <c r="G224" s="332" t="s">
        <v>167</v>
      </c>
      <c r="H224" s="13"/>
      <c r="I224" s="13"/>
      <c r="J224" s="13"/>
      <c r="K224" s="20"/>
    </row>
    <row r="225" spans="2:11">
      <c r="B225" s="42">
        <v>71</v>
      </c>
      <c r="C225" s="258" t="s">
        <v>407</v>
      </c>
      <c r="D225" s="271" t="s">
        <v>323</v>
      </c>
      <c r="E225" s="13"/>
      <c r="F225" s="13"/>
      <c r="G225" s="13"/>
      <c r="H225" s="13"/>
      <c r="I225" s="13"/>
      <c r="J225" s="13"/>
      <c r="K225" s="20"/>
    </row>
    <row r="226" spans="2:11">
      <c r="B226" s="42">
        <v>72</v>
      </c>
      <c r="C226" s="258" t="s">
        <v>408</v>
      </c>
      <c r="D226" s="271" t="s">
        <v>429</v>
      </c>
      <c r="E226" s="324" t="s">
        <v>870</v>
      </c>
      <c r="F226" s="324"/>
      <c r="G226" s="320" t="s">
        <v>177</v>
      </c>
      <c r="H226" s="13"/>
      <c r="I226" s="13"/>
      <c r="J226" s="13"/>
      <c r="K226" s="20"/>
    </row>
    <row r="227" spans="2:11">
      <c r="B227" s="42">
        <v>51</v>
      </c>
      <c r="C227" s="258" t="s">
        <v>387</v>
      </c>
      <c r="D227" s="271" t="s">
        <v>464</v>
      </c>
      <c r="E227" s="13"/>
      <c r="F227" s="13"/>
      <c r="G227" s="13"/>
      <c r="H227" s="13"/>
      <c r="I227" s="13"/>
      <c r="J227" s="13"/>
      <c r="K227" s="20"/>
    </row>
    <row r="228" spans="2:11">
      <c r="B228" s="42">
        <v>52</v>
      </c>
      <c r="C228" s="258" t="s">
        <v>388</v>
      </c>
      <c r="D228" s="271" t="s">
        <v>464</v>
      </c>
      <c r="E228" s="13"/>
      <c r="F228" s="13"/>
      <c r="G228" s="13"/>
      <c r="H228" s="13"/>
      <c r="I228" s="13"/>
      <c r="J228" s="13"/>
      <c r="K228" s="20"/>
    </row>
    <row r="229" spans="2:11">
      <c r="B229" s="42">
        <v>53</v>
      </c>
      <c r="C229" s="258" t="s">
        <v>389</v>
      </c>
      <c r="D229" s="271" t="s">
        <v>464</v>
      </c>
      <c r="E229" s="13"/>
      <c r="F229" s="13"/>
      <c r="G229" s="13"/>
      <c r="H229" s="13"/>
      <c r="I229" s="13"/>
      <c r="J229" s="13"/>
      <c r="K229" s="20"/>
    </row>
    <row r="230" spans="2:11">
      <c r="B230" s="42">
        <v>63</v>
      </c>
      <c r="C230" s="258" t="s">
        <v>399</v>
      </c>
      <c r="D230" s="271" t="s">
        <v>464</v>
      </c>
      <c r="E230" s="13"/>
      <c r="F230" s="13"/>
      <c r="G230" s="13"/>
      <c r="H230" s="13"/>
      <c r="I230" s="13"/>
      <c r="J230" s="13"/>
      <c r="K230" s="20"/>
    </row>
    <row r="231" spans="2:11">
      <c r="B231" s="42">
        <v>54</v>
      </c>
      <c r="C231" s="258" t="s">
        <v>390</v>
      </c>
      <c r="D231" s="271" t="s">
        <v>464</v>
      </c>
      <c r="E231" s="13"/>
      <c r="F231" s="13"/>
      <c r="G231" s="13"/>
      <c r="H231" s="13"/>
      <c r="I231" s="13"/>
      <c r="J231" s="13"/>
      <c r="K231" s="20"/>
    </row>
    <row r="232" spans="2:11">
      <c r="B232" s="42">
        <v>64</v>
      </c>
      <c r="C232" s="258" t="s">
        <v>400</v>
      </c>
      <c r="D232" s="271" t="s">
        <v>464</v>
      </c>
      <c r="E232" s="13"/>
      <c r="F232" s="13"/>
      <c r="G232" s="13"/>
      <c r="H232" s="13"/>
      <c r="I232" s="13"/>
      <c r="J232" s="13"/>
      <c r="K232" s="20"/>
    </row>
    <row r="233" spans="2:11">
      <c r="B233" s="42">
        <v>105</v>
      </c>
      <c r="C233" s="258" t="s">
        <v>24</v>
      </c>
      <c r="D233" s="257" t="s">
        <v>464</v>
      </c>
      <c r="E233" s="13"/>
      <c r="F233" s="13"/>
      <c r="G233" s="13"/>
      <c r="H233" s="13"/>
      <c r="I233" s="13"/>
      <c r="J233" s="13"/>
      <c r="K233" s="20"/>
    </row>
    <row r="234" spans="2:11">
      <c r="B234" s="42">
        <v>46</v>
      </c>
      <c r="C234" s="258" t="s">
        <v>382</v>
      </c>
      <c r="D234" s="271" t="s">
        <v>471</v>
      </c>
      <c r="E234" s="13"/>
      <c r="F234" s="13"/>
      <c r="G234" s="13"/>
      <c r="H234" s="13"/>
      <c r="I234" s="13"/>
      <c r="J234" s="13"/>
      <c r="K234" s="20"/>
    </row>
    <row r="235" spans="2:11">
      <c r="B235" s="42">
        <v>66</v>
      </c>
      <c r="C235" s="258" t="s">
        <v>402</v>
      </c>
      <c r="D235" s="271" t="s">
        <v>473</v>
      </c>
      <c r="E235" s="13"/>
      <c r="F235" s="13"/>
      <c r="G235" s="13"/>
      <c r="H235" s="13"/>
      <c r="I235" s="13"/>
      <c r="J235" s="13"/>
      <c r="K235" s="20"/>
    </row>
    <row r="236" spans="2:11">
      <c r="B236" s="42">
        <v>56</v>
      </c>
      <c r="C236" s="258" t="s">
        <v>392</v>
      </c>
      <c r="D236" s="271" t="s">
        <v>472</v>
      </c>
      <c r="E236" s="13"/>
      <c r="F236" s="13"/>
      <c r="G236" s="13"/>
      <c r="H236" s="13"/>
      <c r="I236" s="13"/>
      <c r="J236" s="13"/>
      <c r="K236" s="20"/>
    </row>
    <row r="237" spans="2:11">
      <c r="B237" s="42">
        <v>5</v>
      </c>
      <c r="C237" s="258" t="s">
        <v>341</v>
      </c>
      <c r="D237" s="257" t="s">
        <v>321</v>
      </c>
      <c r="E237" s="13"/>
      <c r="F237" s="13"/>
      <c r="G237" s="13"/>
      <c r="H237" s="13"/>
      <c r="I237" s="13"/>
      <c r="J237" s="13"/>
      <c r="K237" s="20"/>
    </row>
    <row r="238" spans="2:11">
      <c r="B238" s="42">
        <v>15</v>
      </c>
      <c r="C238" s="258" t="s">
        <v>351</v>
      </c>
      <c r="D238" s="257" t="s">
        <v>321</v>
      </c>
      <c r="E238" s="13"/>
      <c r="F238" s="13"/>
      <c r="G238" s="13"/>
      <c r="H238" s="13"/>
      <c r="I238" s="13"/>
      <c r="J238" s="13"/>
      <c r="K238" s="20"/>
    </row>
    <row r="239" spans="2:11">
      <c r="B239" s="42">
        <v>25</v>
      </c>
      <c r="C239" s="258" t="s">
        <v>361</v>
      </c>
      <c r="D239" s="257" t="s">
        <v>321</v>
      </c>
      <c r="E239" s="13"/>
      <c r="F239" s="13"/>
      <c r="G239" s="13"/>
      <c r="H239" s="13"/>
      <c r="I239" s="13"/>
      <c r="J239" s="13"/>
      <c r="K239" s="20"/>
    </row>
    <row r="240" spans="2:11">
      <c r="B240" s="42">
        <v>35</v>
      </c>
      <c r="C240" s="258" t="s">
        <v>371</v>
      </c>
      <c r="D240" s="257" t="s">
        <v>321</v>
      </c>
      <c r="E240" s="13"/>
      <c r="F240" s="13"/>
      <c r="G240" s="13"/>
      <c r="H240" s="13"/>
      <c r="I240" s="13"/>
      <c r="J240" s="13"/>
      <c r="K240" s="20"/>
    </row>
    <row r="241" spans="2:11">
      <c r="B241" s="42">
        <v>45</v>
      </c>
      <c r="C241" s="258" t="s">
        <v>381</v>
      </c>
      <c r="D241" s="271" t="s">
        <v>321</v>
      </c>
      <c r="E241" s="13"/>
      <c r="F241" s="13"/>
      <c r="G241" s="13"/>
      <c r="H241" s="13"/>
      <c r="I241" s="13"/>
      <c r="J241" s="13"/>
      <c r="K241" s="20"/>
    </row>
    <row r="242" spans="2:11">
      <c r="B242" s="42">
        <v>55</v>
      </c>
      <c r="C242" s="258" t="s">
        <v>391</v>
      </c>
      <c r="D242" s="271" t="s">
        <v>321</v>
      </c>
      <c r="E242" s="13"/>
      <c r="F242" s="13"/>
      <c r="G242" s="13"/>
      <c r="H242" s="13"/>
      <c r="I242" s="13"/>
      <c r="J242" s="13"/>
      <c r="K242" s="20"/>
    </row>
    <row r="243" spans="2:11">
      <c r="B243" s="42">
        <v>65</v>
      </c>
      <c r="C243" s="258" t="s">
        <v>401</v>
      </c>
      <c r="D243" s="271" t="s">
        <v>321</v>
      </c>
      <c r="E243" s="13"/>
      <c r="F243" s="13"/>
      <c r="G243" s="13"/>
      <c r="H243" s="13"/>
      <c r="I243" s="13"/>
      <c r="J243" s="13"/>
      <c r="K243" s="20"/>
    </row>
    <row r="244" spans="2:11">
      <c r="B244" s="42">
        <v>92</v>
      </c>
      <c r="C244" s="258" t="s">
        <v>4</v>
      </c>
      <c r="D244" s="257" t="s">
        <v>431</v>
      </c>
      <c r="E244" s="5"/>
      <c r="F244" s="13"/>
      <c r="G244" s="319"/>
      <c r="H244" s="13"/>
      <c r="I244" s="13"/>
      <c r="J244" s="13"/>
      <c r="K244" s="20"/>
    </row>
    <row r="245" spans="2:11">
      <c r="B245" s="42">
        <v>91</v>
      </c>
      <c r="C245" s="258" t="s">
        <v>0</v>
      </c>
      <c r="D245" s="328" t="s">
        <v>325</v>
      </c>
      <c r="E245" s="324" t="s">
        <v>870</v>
      </c>
      <c r="F245" s="324"/>
      <c r="G245" s="320" t="s">
        <v>107</v>
      </c>
      <c r="H245" s="13"/>
      <c r="I245" s="13"/>
      <c r="J245" s="13"/>
      <c r="K245" s="20"/>
    </row>
    <row r="246" spans="2:11">
      <c r="B246" s="42">
        <v>81</v>
      </c>
      <c r="C246" s="258" t="s">
        <v>417</v>
      </c>
      <c r="D246" s="328" t="s">
        <v>324</v>
      </c>
      <c r="E246" s="324" t="s">
        <v>870</v>
      </c>
      <c r="F246" s="5"/>
      <c r="G246" s="320" t="s">
        <v>207</v>
      </c>
      <c r="H246" s="13"/>
      <c r="I246" s="13"/>
      <c r="J246" s="13"/>
      <c r="K246" s="20"/>
    </row>
    <row r="247" spans="2:11">
      <c r="B247" s="42">
        <v>82</v>
      </c>
      <c r="C247" s="258" t="s">
        <v>418</v>
      </c>
      <c r="D247" s="328" t="s">
        <v>430</v>
      </c>
      <c r="E247" s="324" t="s">
        <v>870</v>
      </c>
      <c r="F247" s="5"/>
      <c r="G247" s="320" t="s">
        <v>217</v>
      </c>
      <c r="H247" s="13"/>
      <c r="I247" s="13"/>
      <c r="J247" s="13"/>
      <c r="K247" s="20"/>
    </row>
    <row r="248" spans="2:11">
      <c r="B248" s="42">
        <v>41</v>
      </c>
      <c r="C248" s="258" t="s">
        <v>377</v>
      </c>
      <c r="D248" s="330" t="s">
        <v>427</v>
      </c>
      <c r="E248" s="324" t="s">
        <v>870</v>
      </c>
      <c r="F248" s="324"/>
      <c r="G248" s="324" t="s">
        <v>317</v>
      </c>
      <c r="H248" s="13"/>
      <c r="I248" s="13"/>
      <c r="J248" s="13"/>
      <c r="K248" s="20"/>
    </row>
    <row r="249" spans="2:11">
      <c r="B249" s="42">
        <v>42</v>
      </c>
      <c r="C249" s="258" t="s">
        <v>378</v>
      </c>
      <c r="D249" s="330" t="s">
        <v>320</v>
      </c>
      <c r="E249" s="324" t="s">
        <v>870</v>
      </c>
      <c r="F249" s="324"/>
      <c r="G249" s="320" t="s">
        <v>1036</v>
      </c>
      <c r="H249" s="13"/>
      <c r="I249" s="13"/>
      <c r="J249" s="13"/>
      <c r="K249" s="20"/>
    </row>
    <row r="250" spans="2:11">
      <c r="B250" s="197">
        <v>393</v>
      </c>
      <c r="C250" s="198" t="s">
        <v>312</v>
      </c>
      <c r="D250" s="292" t="s">
        <v>453</v>
      </c>
      <c r="E250" s="199"/>
      <c r="F250" s="199"/>
      <c r="G250" s="199"/>
      <c r="H250" s="199"/>
      <c r="I250" s="199"/>
      <c r="J250" s="199"/>
      <c r="K250" s="200"/>
    </row>
    <row r="251" spans="2:11">
      <c r="B251" s="197">
        <v>383</v>
      </c>
      <c r="C251" s="198" t="s">
        <v>302</v>
      </c>
      <c r="D251" s="292" t="s">
        <v>452</v>
      </c>
      <c r="E251" s="199"/>
      <c r="F251" s="199"/>
      <c r="G251" s="199"/>
      <c r="H251" s="199"/>
      <c r="I251" s="199"/>
      <c r="J251" s="199"/>
      <c r="K251" s="200"/>
    </row>
    <row r="252" spans="2:11">
      <c r="B252" s="197">
        <v>337</v>
      </c>
      <c r="C252" s="198" t="s">
        <v>256</v>
      </c>
      <c r="D252" s="292" t="s">
        <v>487</v>
      </c>
      <c r="E252" s="199"/>
      <c r="F252" s="199"/>
      <c r="G252" s="199"/>
      <c r="H252" s="199"/>
      <c r="I252" s="199"/>
      <c r="J252" s="199"/>
      <c r="K252" s="200"/>
    </row>
    <row r="253" spans="2:11">
      <c r="B253" s="197">
        <v>327</v>
      </c>
      <c r="C253" s="198" t="s">
        <v>246</v>
      </c>
      <c r="D253" s="292" t="s">
        <v>486</v>
      </c>
      <c r="E253" s="199"/>
      <c r="F253" s="199"/>
      <c r="G253" s="199"/>
      <c r="H253" s="199"/>
      <c r="I253" s="199"/>
      <c r="J253" s="199"/>
      <c r="K253" s="200"/>
    </row>
    <row r="254" spans="2:11">
      <c r="B254" s="197">
        <v>346</v>
      </c>
      <c r="C254" s="198" t="s">
        <v>265</v>
      </c>
      <c r="D254" s="292" t="s">
        <v>478</v>
      </c>
      <c r="E254" s="199"/>
      <c r="F254" s="199"/>
      <c r="G254" s="199"/>
      <c r="H254" s="199"/>
      <c r="I254" s="199"/>
      <c r="J254" s="199"/>
      <c r="K254" s="200"/>
    </row>
    <row r="255" spans="2:11">
      <c r="B255" s="197">
        <v>336</v>
      </c>
      <c r="C255" s="198" t="s">
        <v>255</v>
      </c>
      <c r="D255" s="292" t="s">
        <v>477</v>
      </c>
      <c r="E255" s="199"/>
      <c r="F255" s="199"/>
      <c r="G255" s="199"/>
      <c r="H255" s="199"/>
      <c r="I255" s="199"/>
      <c r="J255" s="199"/>
      <c r="K255" s="200"/>
    </row>
    <row r="256" spans="2:11">
      <c r="B256" s="197">
        <v>347</v>
      </c>
      <c r="C256" s="198" t="s">
        <v>266</v>
      </c>
      <c r="D256" s="292" t="s">
        <v>488</v>
      </c>
      <c r="E256" s="199"/>
      <c r="F256" s="199"/>
      <c r="G256" s="199"/>
      <c r="H256" s="199"/>
      <c r="I256" s="199"/>
      <c r="J256" s="199"/>
      <c r="K256" s="200"/>
    </row>
    <row r="257" spans="2:11">
      <c r="B257" s="197">
        <v>357</v>
      </c>
      <c r="C257" s="198" t="s">
        <v>276</v>
      </c>
      <c r="D257" s="292" t="s">
        <v>488</v>
      </c>
      <c r="E257" s="199"/>
      <c r="F257" s="199"/>
      <c r="G257" s="199"/>
      <c r="H257" s="199"/>
      <c r="I257" s="199"/>
      <c r="J257" s="199"/>
      <c r="K257" s="200"/>
    </row>
    <row r="258" spans="2:11">
      <c r="B258" s="197">
        <v>338</v>
      </c>
      <c r="C258" s="198" t="s">
        <v>257</v>
      </c>
      <c r="D258" s="292" t="s">
        <v>488</v>
      </c>
      <c r="E258" s="199"/>
      <c r="F258" s="199"/>
      <c r="G258" s="199"/>
      <c r="H258" s="199"/>
      <c r="I258" s="199"/>
      <c r="J258" s="199"/>
      <c r="K258" s="200"/>
    </row>
    <row r="259" spans="2:11">
      <c r="B259" s="197">
        <v>348</v>
      </c>
      <c r="C259" s="198" t="s">
        <v>267</v>
      </c>
      <c r="D259" s="292" t="s">
        <v>488</v>
      </c>
      <c r="E259" s="199"/>
      <c r="F259" s="199"/>
      <c r="G259" s="199"/>
      <c r="H259" s="199"/>
      <c r="I259" s="199"/>
      <c r="J259" s="199"/>
      <c r="K259" s="200"/>
    </row>
    <row r="260" spans="2:11">
      <c r="B260" s="197">
        <v>358</v>
      </c>
      <c r="C260" s="198" t="s">
        <v>277</v>
      </c>
      <c r="D260" s="292" t="s">
        <v>488</v>
      </c>
      <c r="E260" s="199"/>
      <c r="F260" s="199"/>
      <c r="G260" s="199"/>
      <c r="H260" s="199"/>
      <c r="I260" s="199"/>
      <c r="J260" s="199"/>
      <c r="K260" s="200"/>
    </row>
    <row r="261" spans="2:11">
      <c r="B261" s="197">
        <v>339</v>
      </c>
      <c r="C261" s="198" t="s">
        <v>258</v>
      </c>
      <c r="D261" s="292" t="s">
        <v>488</v>
      </c>
      <c r="E261" s="199"/>
      <c r="F261" s="199"/>
      <c r="G261" s="199"/>
      <c r="H261" s="199"/>
      <c r="I261" s="199"/>
      <c r="J261" s="199"/>
      <c r="K261" s="200"/>
    </row>
    <row r="262" spans="2:11">
      <c r="B262" s="197">
        <v>349</v>
      </c>
      <c r="C262" s="198" t="s">
        <v>268</v>
      </c>
      <c r="D262" s="292" t="s">
        <v>488</v>
      </c>
      <c r="E262" s="199"/>
      <c r="F262" s="199"/>
      <c r="G262" s="199"/>
      <c r="H262" s="199"/>
      <c r="I262" s="199"/>
      <c r="J262" s="199"/>
      <c r="K262" s="200"/>
    </row>
    <row r="263" spans="2:11">
      <c r="B263" s="197">
        <v>359</v>
      </c>
      <c r="C263" s="198" t="s">
        <v>278</v>
      </c>
      <c r="D263" s="292" t="s">
        <v>488</v>
      </c>
      <c r="E263" s="199"/>
      <c r="F263" s="199"/>
      <c r="G263" s="199"/>
      <c r="H263" s="199"/>
      <c r="I263" s="199"/>
      <c r="J263" s="199"/>
      <c r="K263" s="200"/>
    </row>
    <row r="264" spans="2:11">
      <c r="B264" s="197">
        <v>340</v>
      </c>
      <c r="C264" s="198" t="s">
        <v>259</v>
      </c>
      <c r="D264" s="292" t="s">
        <v>488</v>
      </c>
      <c r="E264" s="199"/>
      <c r="F264" s="199"/>
      <c r="G264" s="199"/>
      <c r="H264" s="199"/>
      <c r="I264" s="199"/>
      <c r="J264" s="199"/>
      <c r="K264" s="200"/>
    </row>
    <row r="265" spans="2:11">
      <c r="B265" s="197">
        <v>350</v>
      </c>
      <c r="C265" s="198" t="s">
        <v>269</v>
      </c>
      <c r="D265" s="292" t="s">
        <v>488</v>
      </c>
      <c r="E265" s="199"/>
      <c r="F265" s="199"/>
      <c r="G265" s="199"/>
      <c r="H265" s="199"/>
      <c r="I265" s="199"/>
      <c r="J265" s="199"/>
      <c r="K265" s="200"/>
    </row>
    <row r="266" spans="2:11">
      <c r="B266" s="197">
        <v>360</v>
      </c>
      <c r="C266" s="198" t="s">
        <v>279</v>
      </c>
      <c r="D266" s="292" t="s">
        <v>488</v>
      </c>
      <c r="E266" s="199"/>
      <c r="F266" s="199"/>
      <c r="G266" s="199"/>
      <c r="H266" s="199"/>
      <c r="I266" s="199"/>
      <c r="J266" s="199"/>
      <c r="K266" s="200"/>
    </row>
    <row r="267" spans="2:11">
      <c r="B267" s="197">
        <v>356</v>
      </c>
      <c r="C267" s="198" t="s">
        <v>275</v>
      </c>
      <c r="D267" s="292" t="s">
        <v>479</v>
      </c>
      <c r="E267" s="199"/>
      <c r="F267" s="199"/>
      <c r="G267" s="199"/>
      <c r="H267" s="199"/>
      <c r="I267" s="199"/>
      <c r="J267" s="199"/>
      <c r="K267" s="200"/>
    </row>
    <row r="268" spans="2:11">
      <c r="B268" s="197">
        <v>385</v>
      </c>
      <c r="C268" s="198" t="s">
        <v>304</v>
      </c>
      <c r="D268" s="292" t="s">
        <v>469</v>
      </c>
      <c r="E268" s="199"/>
      <c r="F268" s="199"/>
      <c r="G268" s="199"/>
      <c r="H268" s="199"/>
      <c r="I268" s="199"/>
      <c r="J268" s="199"/>
      <c r="K268" s="200"/>
    </row>
    <row r="269" spans="2:11">
      <c r="B269" s="197">
        <v>395</v>
      </c>
      <c r="C269" s="198" t="s">
        <v>314</v>
      </c>
      <c r="D269" s="292" t="s">
        <v>470</v>
      </c>
      <c r="E269" s="199"/>
      <c r="F269" s="199"/>
      <c r="G269" s="199"/>
      <c r="H269" s="199"/>
      <c r="I269" s="199"/>
      <c r="J269" s="199"/>
      <c r="K269" s="200"/>
    </row>
    <row r="270" spans="2:11">
      <c r="B270" s="197">
        <v>341</v>
      </c>
      <c r="C270" s="198" t="s">
        <v>260</v>
      </c>
      <c r="D270" s="292" t="s">
        <v>336</v>
      </c>
      <c r="E270" s="199"/>
      <c r="F270" s="199"/>
      <c r="G270" s="199"/>
      <c r="H270" s="199"/>
      <c r="I270" s="199"/>
      <c r="J270" s="199"/>
      <c r="K270" s="200"/>
    </row>
    <row r="271" spans="2:11">
      <c r="B271" s="197">
        <v>351</v>
      </c>
      <c r="C271" s="198" t="s">
        <v>270</v>
      </c>
      <c r="D271" s="292" t="s">
        <v>336</v>
      </c>
      <c r="E271" s="199"/>
      <c r="F271" s="199"/>
      <c r="G271" s="199"/>
      <c r="H271" s="199"/>
      <c r="I271" s="199"/>
      <c r="J271" s="199"/>
      <c r="K271" s="200"/>
    </row>
    <row r="272" spans="2:11">
      <c r="B272" s="197">
        <v>342</v>
      </c>
      <c r="C272" s="198" t="s">
        <v>261</v>
      </c>
      <c r="D272" s="292" t="s">
        <v>336</v>
      </c>
      <c r="E272" s="199"/>
      <c r="F272" s="199"/>
      <c r="G272" s="199"/>
      <c r="H272" s="199"/>
      <c r="I272" s="199"/>
      <c r="J272" s="199"/>
      <c r="K272" s="200"/>
    </row>
    <row r="273" spans="2:11">
      <c r="B273" s="197">
        <v>352</v>
      </c>
      <c r="C273" s="198" t="s">
        <v>271</v>
      </c>
      <c r="D273" s="292" t="s">
        <v>336</v>
      </c>
      <c r="E273" s="199"/>
      <c r="F273" s="199"/>
      <c r="G273" s="199"/>
      <c r="H273" s="199"/>
      <c r="I273" s="199"/>
      <c r="J273" s="199"/>
      <c r="K273" s="200"/>
    </row>
    <row r="274" spans="2:11">
      <c r="B274" s="197">
        <v>333</v>
      </c>
      <c r="C274" s="198" t="s">
        <v>252</v>
      </c>
      <c r="D274" s="292" t="s">
        <v>336</v>
      </c>
      <c r="E274" s="199"/>
      <c r="F274" s="199"/>
      <c r="G274" s="199"/>
      <c r="H274" s="199"/>
      <c r="I274" s="199"/>
      <c r="J274" s="199"/>
      <c r="K274" s="200"/>
    </row>
    <row r="275" spans="2:11">
      <c r="B275" s="197">
        <v>343</v>
      </c>
      <c r="C275" s="198" t="s">
        <v>262</v>
      </c>
      <c r="D275" s="292" t="s">
        <v>336</v>
      </c>
      <c r="E275" s="199"/>
      <c r="F275" s="199"/>
      <c r="G275" s="199"/>
      <c r="H275" s="199"/>
      <c r="I275" s="199"/>
      <c r="J275" s="199"/>
      <c r="K275" s="200"/>
    </row>
    <row r="276" spans="2:11">
      <c r="B276" s="197">
        <v>334</v>
      </c>
      <c r="C276" s="198" t="s">
        <v>253</v>
      </c>
      <c r="D276" s="292" t="s">
        <v>336</v>
      </c>
      <c r="E276" s="199"/>
      <c r="F276" s="199"/>
      <c r="G276" s="199"/>
      <c r="H276" s="199"/>
      <c r="I276" s="199"/>
      <c r="J276" s="199"/>
      <c r="K276" s="200"/>
    </row>
    <row r="277" spans="2:11">
      <c r="B277" s="197">
        <v>344</v>
      </c>
      <c r="C277" s="198" t="s">
        <v>263</v>
      </c>
      <c r="D277" s="292" t="s">
        <v>336</v>
      </c>
      <c r="E277" s="199"/>
      <c r="F277" s="199"/>
      <c r="G277" s="199"/>
      <c r="H277" s="199"/>
      <c r="I277" s="199"/>
      <c r="J277" s="199"/>
      <c r="K277" s="200"/>
    </row>
    <row r="278" spans="2:11">
      <c r="B278" s="197">
        <v>345</v>
      </c>
      <c r="C278" s="198" t="s">
        <v>264</v>
      </c>
      <c r="D278" s="292" t="s">
        <v>336</v>
      </c>
      <c r="E278" s="199"/>
      <c r="F278" s="199"/>
      <c r="G278" s="199"/>
      <c r="H278" s="199"/>
      <c r="I278" s="199"/>
      <c r="J278" s="199"/>
      <c r="K278" s="200"/>
    </row>
    <row r="279" spans="2:11">
      <c r="B279" s="197">
        <v>355</v>
      </c>
      <c r="C279" s="198" t="s">
        <v>274</v>
      </c>
      <c r="D279" s="292" t="s">
        <v>336</v>
      </c>
      <c r="E279" s="199"/>
      <c r="F279" s="199"/>
      <c r="G279" s="199"/>
      <c r="H279" s="199"/>
      <c r="I279" s="199"/>
      <c r="J279" s="199"/>
      <c r="K279" s="200"/>
    </row>
    <row r="280" spans="2:11">
      <c r="B280" s="197">
        <v>396</v>
      </c>
      <c r="C280" s="198" t="s">
        <v>315</v>
      </c>
      <c r="D280" s="292" t="s">
        <v>481</v>
      </c>
      <c r="E280" s="199"/>
      <c r="F280" s="199"/>
      <c r="G280" s="199"/>
      <c r="H280" s="199"/>
      <c r="I280" s="199"/>
      <c r="J280" s="199"/>
      <c r="K280" s="200"/>
    </row>
    <row r="281" spans="2:11">
      <c r="B281" s="197">
        <v>386</v>
      </c>
      <c r="C281" s="198" t="s">
        <v>305</v>
      </c>
      <c r="D281" s="292" t="s">
        <v>480</v>
      </c>
      <c r="E281" s="199"/>
      <c r="F281" s="199"/>
      <c r="G281" s="199"/>
      <c r="H281" s="199"/>
      <c r="I281" s="199"/>
      <c r="J281" s="199"/>
      <c r="K281" s="200"/>
    </row>
    <row r="282" spans="2:11">
      <c r="B282" s="197">
        <v>387</v>
      </c>
      <c r="C282" s="198" t="s">
        <v>306</v>
      </c>
      <c r="D282" s="292" t="s">
        <v>489</v>
      </c>
      <c r="E282" s="199"/>
      <c r="F282" s="199"/>
      <c r="G282" s="199"/>
      <c r="H282" s="199"/>
      <c r="I282" s="199"/>
      <c r="J282" s="199"/>
      <c r="K282" s="200"/>
    </row>
    <row r="283" spans="2:11">
      <c r="B283" s="197">
        <v>388</v>
      </c>
      <c r="C283" s="198" t="s">
        <v>307</v>
      </c>
      <c r="D283" s="292" t="s">
        <v>495</v>
      </c>
      <c r="E283" s="199"/>
      <c r="F283" s="199"/>
      <c r="G283" s="199"/>
      <c r="H283" s="199"/>
      <c r="I283" s="199"/>
      <c r="J283" s="199"/>
      <c r="K283" s="200"/>
    </row>
    <row r="284" spans="2:11">
      <c r="B284" s="197">
        <v>392</v>
      </c>
      <c r="C284" s="198" t="s">
        <v>311</v>
      </c>
      <c r="D284" s="292" t="s">
        <v>440</v>
      </c>
      <c r="E284" s="199"/>
      <c r="F284" s="199"/>
      <c r="G284" s="199"/>
      <c r="H284" s="199"/>
      <c r="I284" s="199"/>
      <c r="J284" s="199"/>
      <c r="K284" s="200"/>
    </row>
    <row r="285" spans="2:11">
      <c r="B285" s="197">
        <v>382</v>
      </c>
      <c r="C285" s="198" t="s">
        <v>301</v>
      </c>
      <c r="D285" s="292" t="s">
        <v>441</v>
      </c>
      <c r="E285" s="199"/>
      <c r="F285" s="199"/>
      <c r="G285" s="199"/>
      <c r="H285" s="199"/>
      <c r="I285" s="199"/>
      <c r="J285" s="199"/>
      <c r="K285" s="200"/>
    </row>
    <row r="286" spans="2:11">
      <c r="B286" s="42">
        <v>194</v>
      </c>
      <c r="C286" s="21" t="s">
        <v>113</v>
      </c>
      <c r="D286" s="22" t="s">
        <v>587</v>
      </c>
      <c r="E286" s="323" t="s">
        <v>870</v>
      </c>
      <c r="F286" s="5"/>
      <c r="G286" s="389" t="s">
        <v>281</v>
      </c>
      <c r="H286" s="383" t="s">
        <v>928</v>
      </c>
      <c r="I286" s="5"/>
      <c r="J286" s="5"/>
      <c r="K286" s="14"/>
    </row>
    <row r="287" spans="2:11">
      <c r="B287" s="42">
        <v>193</v>
      </c>
      <c r="C287" s="21" t="s">
        <v>112</v>
      </c>
      <c r="D287" s="22" t="s">
        <v>564</v>
      </c>
      <c r="E287" s="323" t="s">
        <v>870</v>
      </c>
      <c r="F287" s="5"/>
      <c r="G287" s="389" t="s">
        <v>291</v>
      </c>
      <c r="H287" s="312" t="s">
        <v>928</v>
      </c>
      <c r="I287" s="5"/>
      <c r="J287" s="5"/>
      <c r="K287" s="14"/>
    </row>
    <row r="288" spans="2:11">
      <c r="B288" s="42">
        <v>184</v>
      </c>
      <c r="C288" s="21" t="s">
        <v>103</v>
      </c>
      <c r="D288" s="22" t="s">
        <v>586</v>
      </c>
      <c r="E288" s="323" t="s">
        <v>870</v>
      </c>
      <c r="F288" s="5"/>
      <c r="G288" s="389" t="s">
        <v>300</v>
      </c>
      <c r="H288" s="312" t="s">
        <v>928</v>
      </c>
      <c r="I288" s="5"/>
      <c r="J288" s="5"/>
      <c r="K288" s="14"/>
    </row>
    <row r="289" spans="2:11">
      <c r="B289" s="42">
        <v>183</v>
      </c>
      <c r="C289" s="21" t="s">
        <v>102</v>
      </c>
      <c r="D289" s="22" t="s">
        <v>563</v>
      </c>
      <c r="E289" s="323" t="s">
        <v>870</v>
      </c>
      <c r="F289" s="5"/>
      <c r="G289" s="389" t="s">
        <v>310</v>
      </c>
      <c r="H289" s="312" t="s">
        <v>928</v>
      </c>
      <c r="I289" s="5"/>
      <c r="J289" s="5"/>
      <c r="K289" s="14"/>
    </row>
    <row r="290" spans="2:11">
      <c r="B290" s="42">
        <v>182</v>
      </c>
      <c r="C290" s="21" t="s">
        <v>101</v>
      </c>
      <c r="D290" s="22" t="s">
        <v>542</v>
      </c>
      <c r="E290" s="323" t="s">
        <v>870</v>
      </c>
      <c r="F290" s="5"/>
      <c r="G290" s="389" t="s">
        <v>260</v>
      </c>
      <c r="H290" s="312" t="s">
        <v>928</v>
      </c>
      <c r="I290" s="5"/>
      <c r="J290" s="5"/>
      <c r="K290" s="14"/>
    </row>
    <row r="291" spans="2:11">
      <c r="B291" s="42">
        <v>192</v>
      </c>
      <c r="C291" s="21" t="s">
        <v>111</v>
      </c>
      <c r="D291" s="22" t="s">
        <v>543</v>
      </c>
      <c r="E291" s="323" t="s">
        <v>870</v>
      </c>
      <c r="F291" s="5"/>
      <c r="G291" s="389" t="s">
        <v>270</v>
      </c>
      <c r="H291" s="312" t="s">
        <v>928</v>
      </c>
      <c r="I291" s="5"/>
      <c r="J291" s="5"/>
      <c r="K291" s="14"/>
    </row>
    <row r="292" spans="2:11">
      <c r="B292" s="42">
        <v>214</v>
      </c>
      <c r="C292" s="21" t="s">
        <v>133</v>
      </c>
      <c r="D292" s="22" t="s">
        <v>589</v>
      </c>
      <c r="E292" s="323" t="s">
        <v>870</v>
      </c>
      <c r="F292" s="5"/>
      <c r="G292" s="389" t="s">
        <v>302</v>
      </c>
      <c r="H292" s="312" t="s">
        <v>928</v>
      </c>
      <c r="I292" s="5"/>
      <c r="J292" s="5"/>
      <c r="K292" s="14"/>
    </row>
    <row r="293" spans="2:11">
      <c r="B293" s="42">
        <v>213</v>
      </c>
      <c r="C293" s="21" t="s">
        <v>132</v>
      </c>
      <c r="D293" s="22" t="s">
        <v>566</v>
      </c>
      <c r="E293" s="323" t="s">
        <v>870</v>
      </c>
      <c r="F293" s="5"/>
      <c r="G293" s="389" t="s">
        <v>312</v>
      </c>
      <c r="H293" s="312" t="s">
        <v>928</v>
      </c>
      <c r="I293" s="5"/>
      <c r="J293" s="5"/>
      <c r="K293" s="14"/>
    </row>
    <row r="294" spans="2:11">
      <c r="B294" s="42">
        <v>204</v>
      </c>
      <c r="C294" s="21" t="s">
        <v>123</v>
      </c>
      <c r="D294" s="22" t="s">
        <v>588</v>
      </c>
      <c r="E294" s="323" t="s">
        <v>870</v>
      </c>
      <c r="F294" s="5"/>
      <c r="G294" s="389" t="s">
        <v>262</v>
      </c>
      <c r="H294" s="312" t="s">
        <v>928</v>
      </c>
      <c r="I294" s="5"/>
      <c r="J294" s="5"/>
      <c r="K294" s="14"/>
    </row>
    <row r="295" spans="2:11">
      <c r="B295" s="42">
        <v>203</v>
      </c>
      <c r="C295" s="21" t="s">
        <v>122</v>
      </c>
      <c r="D295" s="22" t="s">
        <v>565</v>
      </c>
      <c r="E295" s="323" t="s">
        <v>870</v>
      </c>
      <c r="F295" s="5"/>
      <c r="G295" s="389" t="s">
        <v>272</v>
      </c>
      <c r="H295" s="312" t="s">
        <v>928</v>
      </c>
      <c r="I295" s="5"/>
      <c r="J295" s="5"/>
      <c r="K295" s="14"/>
    </row>
    <row r="296" spans="2:11">
      <c r="B296" s="42">
        <v>176</v>
      </c>
      <c r="C296" s="21" t="s">
        <v>95</v>
      </c>
      <c r="D296" s="22" t="s">
        <v>617</v>
      </c>
      <c r="E296" s="323" t="s">
        <v>870</v>
      </c>
      <c r="F296" s="5"/>
      <c r="G296" s="389" t="s">
        <v>1010</v>
      </c>
      <c r="H296" s="312" t="s">
        <v>928</v>
      </c>
      <c r="I296" s="5"/>
      <c r="J296" s="5"/>
      <c r="K296" s="14"/>
    </row>
    <row r="297" spans="2:11">
      <c r="B297" s="42">
        <v>175</v>
      </c>
      <c r="C297" s="21" t="s">
        <v>94</v>
      </c>
      <c r="D297" s="22" t="s">
        <v>604</v>
      </c>
      <c r="E297" s="323" t="s">
        <v>870</v>
      </c>
      <c r="F297" s="5"/>
      <c r="G297" s="389" t="s">
        <v>1011</v>
      </c>
      <c r="H297" s="312" t="s">
        <v>928</v>
      </c>
      <c r="I297" s="5"/>
      <c r="J297" s="5"/>
      <c r="K297" s="14"/>
    </row>
    <row r="298" spans="2:11">
      <c r="B298" s="42">
        <v>114</v>
      </c>
      <c r="C298" s="21" t="s">
        <v>33</v>
      </c>
      <c r="D298" s="22" t="s">
        <v>585</v>
      </c>
      <c r="E298" s="323" t="s">
        <v>870</v>
      </c>
      <c r="F298" s="5"/>
      <c r="G298" s="389" t="s">
        <v>264</v>
      </c>
      <c r="H298" s="312" t="s">
        <v>928</v>
      </c>
      <c r="I298" s="5"/>
      <c r="J298" s="5"/>
      <c r="K298" s="14"/>
    </row>
    <row r="299" spans="2:11">
      <c r="B299" s="42">
        <v>115</v>
      </c>
      <c r="C299" s="21" t="s">
        <v>34</v>
      </c>
      <c r="D299" s="22" t="s">
        <v>603</v>
      </c>
      <c r="E299" s="323" t="s">
        <v>870</v>
      </c>
      <c r="F299" s="5"/>
      <c r="G299" s="389" t="s">
        <v>274</v>
      </c>
      <c r="H299" s="312" t="s">
        <v>928</v>
      </c>
      <c r="I299" s="5"/>
      <c r="J299" s="5"/>
      <c r="K299" s="14"/>
    </row>
    <row r="300" spans="2:11">
      <c r="B300" s="42">
        <v>122</v>
      </c>
      <c r="C300" s="21" t="s">
        <v>41</v>
      </c>
      <c r="D300" s="22" t="s">
        <v>540</v>
      </c>
      <c r="E300" s="323" t="s">
        <v>870</v>
      </c>
      <c r="F300" s="5"/>
      <c r="G300" s="389" t="s">
        <v>1012</v>
      </c>
      <c r="H300" s="312" t="s">
        <v>928</v>
      </c>
      <c r="I300" s="5"/>
      <c r="J300" s="5"/>
      <c r="K300" s="14"/>
    </row>
    <row r="301" spans="2:11">
      <c r="B301" s="42">
        <v>123</v>
      </c>
      <c r="C301" s="21" t="s">
        <v>42</v>
      </c>
      <c r="D301" s="22" t="s">
        <v>561</v>
      </c>
      <c r="E301" s="323" t="s">
        <v>870</v>
      </c>
      <c r="F301" s="5"/>
      <c r="G301" s="389" t="s">
        <v>1013</v>
      </c>
      <c r="H301" s="312" t="s">
        <v>928</v>
      </c>
      <c r="I301" s="5"/>
      <c r="J301" s="5"/>
      <c r="K301" s="14"/>
    </row>
    <row r="302" spans="2:11">
      <c r="B302" s="42">
        <v>112</v>
      </c>
      <c r="C302" s="21" t="s">
        <v>31</v>
      </c>
      <c r="D302" s="22" t="s">
        <v>539</v>
      </c>
      <c r="E302" s="323" t="s">
        <v>870</v>
      </c>
      <c r="F302" s="5"/>
      <c r="G302" s="389" t="s">
        <v>283</v>
      </c>
      <c r="H302" s="312" t="s">
        <v>928</v>
      </c>
      <c r="I302" s="5"/>
      <c r="J302" s="5"/>
      <c r="K302" s="14"/>
    </row>
    <row r="303" spans="2:11">
      <c r="B303" s="42">
        <v>113</v>
      </c>
      <c r="C303" s="21" t="s">
        <v>32</v>
      </c>
      <c r="D303" s="22" t="s">
        <v>560</v>
      </c>
      <c r="E303" s="323" t="s">
        <v>870</v>
      </c>
      <c r="F303" s="5"/>
      <c r="G303" s="389" t="s">
        <v>293</v>
      </c>
      <c r="H303" s="312" t="s">
        <v>928</v>
      </c>
      <c r="I303" s="5"/>
      <c r="J303" s="5"/>
      <c r="K303" s="14"/>
    </row>
    <row r="304" spans="2:11">
      <c r="B304" s="42">
        <v>141</v>
      </c>
      <c r="C304" s="21" t="s">
        <v>60</v>
      </c>
      <c r="D304" s="22" t="s">
        <v>526</v>
      </c>
      <c r="E304" s="323" t="s">
        <v>870</v>
      </c>
      <c r="F304" s="5"/>
      <c r="G304" s="389" t="s">
        <v>1014</v>
      </c>
      <c r="H304" s="312" t="s">
        <v>928</v>
      </c>
      <c r="I304" s="5"/>
      <c r="J304" s="5"/>
      <c r="K304" s="14"/>
    </row>
    <row r="305" spans="2:11">
      <c r="B305" s="42">
        <v>131</v>
      </c>
      <c r="C305" s="21" t="s">
        <v>50</v>
      </c>
      <c r="D305" s="22" t="s">
        <v>525</v>
      </c>
      <c r="E305" s="323" t="s">
        <v>870</v>
      </c>
      <c r="F305" s="5"/>
      <c r="G305" s="389" t="s">
        <v>1015</v>
      </c>
      <c r="H305" s="312" t="s">
        <v>928</v>
      </c>
      <c r="I305" s="5"/>
      <c r="J305" s="5"/>
      <c r="K305" s="14"/>
    </row>
    <row r="306" spans="2:11">
      <c r="B306" s="42">
        <v>121</v>
      </c>
      <c r="C306" s="21" t="s">
        <v>40</v>
      </c>
      <c r="D306" s="22" t="s">
        <v>524</v>
      </c>
      <c r="E306" s="323" t="s">
        <v>870</v>
      </c>
      <c r="F306" s="5"/>
      <c r="G306" s="389" t="s">
        <v>285</v>
      </c>
      <c r="H306" s="312" t="s">
        <v>928</v>
      </c>
      <c r="I306" s="5"/>
      <c r="J306" s="5"/>
      <c r="K306" s="14"/>
    </row>
    <row r="307" spans="2:11">
      <c r="B307" s="42">
        <v>111</v>
      </c>
      <c r="C307" s="21" t="s">
        <v>30</v>
      </c>
      <c r="D307" s="22" t="s">
        <v>523</v>
      </c>
      <c r="E307" s="323" t="s">
        <v>870</v>
      </c>
      <c r="F307" s="5"/>
      <c r="G307" s="389" t="s">
        <v>295</v>
      </c>
      <c r="H307" s="312" t="s">
        <v>928</v>
      </c>
      <c r="I307" s="5"/>
      <c r="J307" s="5"/>
      <c r="K307" s="14"/>
    </row>
    <row r="308" spans="2:11">
      <c r="B308" s="42">
        <v>132</v>
      </c>
      <c r="C308" s="21" t="s">
        <v>51</v>
      </c>
      <c r="D308" s="22" t="s">
        <v>541</v>
      </c>
      <c r="E308" s="323" t="s">
        <v>870</v>
      </c>
      <c r="F308" s="5"/>
      <c r="G308" s="389" t="s">
        <v>304</v>
      </c>
      <c r="H308" s="312" t="s">
        <v>928</v>
      </c>
      <c r="I308" s="5"/>
      <c r="J308" s="5"/>
      <c r="K308" s="14"/>
    </row>
    <row r="309" spans="2:11">
      <c r="B309" s="42">
        <v>133</v>
      </c>
      <c r="C309" s="21" t="s">
        <v>52</v>
      </c>
      <c r="D309" s="22" t="s">
        <v>562</v>
      </c>
      <c r="E309" s="323" t="s">
        <v>870</v>
      </c>
      <c r="F309" s="5"/>
      <c r="G309" s="389" t="s">
        <v>314</v>
      </c>
      <c r="H309" s="312" t="s">
        <v>928</v>
      </c>
      <c r="I309" s="5"/>
      <c r="J309" s="5"/>
      <c r="K309" s="14"/>
    </row>
    <row r="310" spans="2:11">
      <c r="B310" s="42">
        <v>124</v>
      </c>
      <c r="C310" s="21" t="s">
        <v>43</v>
      </c>
      <c r="D310" s="22" t="s">
        <v>465</v>
      </c>
      <c r="E310" s="323" t="s">
        <v>870</v>
      </c>
      <c r="F310" s="5"/>
      <c r="G310" s="387" t="s">
        <v>976</v>
      </c>
      <c r="H310" s="5"/>
      <c r="I310" s="5"/>
      <c r="J310" s="5"/>
      <c r="K310" s="14"/>
    </row>
    <row r="311" spans="2:11">
      <c r="B311" s="42">
        <v>125</v>
      </c>
      <c r="C311" s="21" t="s">
        <v>44</v>
      </c>
      <c r="D311" s="22" t="s">
        <v>456</v>
      </c>
      <c r="E311" s="323" t="s">
        <v>870</v>
      </c>
      <c r="F311" s="5"/>
      <c r="G311" s="387" t="s">
        <v>977</v>
      </c>
      <c r="H311" s="5"/>
      <c r="I311" s="5"/>
      <c r="J311" s="5"/>
      <c r="K311" s="14"/>
    </row>
    <row r="312" spans="2:11">
      <c r="B312" s="42">
        <v>162</v>
      </c>
      <c r="C312" s="21" t="s">
        <v>81</v>
      </c>
      <c r="D312" s="22" t="s">
        <v>433</v>
      </c>
      <c r="E312" s="279"/>
      <c r="F312" s="5"/>
      <c r="G312" s="5"/>
      <c r="H312" s="5"/>
      <c r="I312" s="5"/>
      <c r="J312" s="5"/>
      <c r="K312" s="14"/>
    </row>
    <row r="313" spans="2:11">
      <c r="B313" s="42">
        <v>161</v>
      </c>
      <c r="C313" s="21" t="s">
        <v>80</v>
      </c>
      <c r="D313" s="22" t="s">
        <v>327</v>
      </c>
      <c r="E313" s="323" t="s">
        <v>870</v>
      </c>
      <c r="F313" s="323"/>
      <c r="G313" s="387" t="s">
        <v>127</v>
      </c>
      <c r="H313" s="5"/>
      <c r="I313" s="5"/>
      <c r="J313" s="5"/>
      <c r="K313" s="14"/>
    </row>
    <row r="314" spans="2:11">
      <c r="B314" s="42">
        <v>164</v>
      </c>
      <c r="C314" s="21" t="s">
        <v>83</v>
      </c>
      <c r="D314" s="22" t="s">
        <v>458</v>
      </c>
      <c r="E314" s="279"/>
      <c r="F314" s="5"/>
      <c r="G314" s="5"/>
      <c r="H314" s="5"/>
      <c r="I314" s="5"/>
      <c r="J314" s="5"/>
      <c r="K314" s="14"/>
    </row>
    <row r="315" spans="2:11">
      <c r="B315" s="42">
        <v>163</v>
      </c>
      <c r="C315" s="21" t="s">
        <v>82</v>
      </c>
      <c r="D315" s="22" t="s">
        <v>448</v>
      </c>
      <c r="E315" s="323" t="s">
        <v>870</v>
      </c>
      <c r="F315" s="323"/>
      <c r="G315" s="387" t="s">
        <v>137</v>
      </c>
      <c r="H315" s="5"/>
      <c r="I315" s="5"/>
      <c r="J315" s="5"/>
      <c r="K315" s="14"/>
    </row>
    <row r="316" spans="2:11">
      <c r="B316" s="42">
        <v>181</v>
      </c>
      <c r="C316" s="21" t="s">
        <v>100</v>
      </c>
      <c r="D316" s="22" t="s">
        <v>432</v>
      </c>
      <c r="E316" s="5"/>
      <c r="F316" s="5"/>
      <c r="G316" s="5"/>
      <c r="H316" s="5"/>
      <c r="I316" s="5"/>
      <c r="J316" s="5"/>
      <c r="K316" s="14"/>
    </row>
    <row r="317" spans="2:11">
      <c r="B317" s="42">
        <v>191</v>
      </c>
      <c r="C317" s="21" t="s">
        <v>110</v>
      </c>
      <c r="D317" s="22" t="s">
        <v>432</v>
      </c>
      <c r="E317" s="5"/>
      <c r="F317" s="5"/>
      <c r="G317" s="5"/>
      <c r="H317" s="5"/>
      <c r="I317" s="5"/>
      <c r="J317" s="5"/>
      <c r="K317" s="14"/>
    </row>
    <row r="318" spans="2:11">
      <c r="B318" s="42">
        <v>201</v>
      </c>
      <c r="C318" s="21" t="s">
        <v>120</v>
      </c>
      <c r="D318" s="22" t="s">
        <v>432</v>
      </c>
      <c r="E318" s="5"/>
      <c r="F318" s="5"/>
      <c r="G318" s="5"/>
      <c r="H318" s="5"/>
      <c r="I318" s="5"/>
      <c r="J318" s="5"/>
      <c r="K318" s="14"/>
    </row>
    <row r="319" spans="2:11">
      <c r="B319" s="42">
        <v>211</v>
      </c>
      <c r="C319" s="21" t="s">
        <v>130</v>
      </c>
      <c r="D319" s="22" t="s">
        <v>432</v>
      </c>
      <c r="E319" s="5"/>
      <c r="F319" s="5"/>
      <c r="G319" s="5"/>
      <c r="H319" s="5"/>
      <c r="I319" s="5"/>
      <c r="J319" s="5"/>
      <c r="K319" s="14"/>
    </row>
    <row r="320" spans="2:11">
      <c r="B320" s="42">
        <v>185</v>
      </c>
      <c r="C320" s="21" t="s">
        <v>104</v>
      </c>
      <c r="D320" s="22" t="s">
        <v>432</v>
      </c>
      <c r="E320" s="5"/>
      <c r="F320" s="5"/>
      <c r="G320" s="5"/>
      <c r="H320" s="5"/>
      <c r="I320" s="5"/>
      <c r="J320" s="5"/>
      <c r="K320" s="14"/>
    </row>
    <row r="321" spans="2:11">
      <c r="B321" s="42">
        <v>195</v>
      </c>
      <c r="C321" s="21" t="s">
        <v>114</v>
      </c>
      <c r="D321" s="22" t="s">
        <v>432</v>
      </c>
      <c r="E321" s="5"/>
      <c r="F321" s="5"/>
      <c r="G321" s="5"/>
      <c r="H321" s="5"/>
      <c r="I321" s="5"/>
      <c r="J321" s="5"/>
      <c r="K321" s="14"/>
    </row>
    <row r="322" spans="2:11">
      <c r="B322" s="42">
        <v>205</v>
      </c>
      <c r="C322" s="21" t="s">
        <v>124</v>
      </c>
      <c r="D322" s="22" t="s">
        <v>432</v>
      </c>
      <c r="E322" s="5"/>
      <c r="F322" s="5"/>
      <c r="G322" s="5"/>
      <c r="H322" s="5"/>
      <c r="I322" s="5"/>
      <c r="J322" s="5"/>
      <c r="K322" s="14"/>
    </row>
    <row r="323" spans="2:11">
      <c r="B323" s="42">
        <v>215</v>
      </c>
      <c r="C323" s="21" t="s">
        <v>134</v>
      </c>
      <c r="D323" s="22" t="s">
        <v>432</v>
      </c>
      <c r="E323" s="5"/>
      <c r="F323" s="5"/>
      <c r="G323" s="5"/>
      <c r="H323" s="5"/>
      <c r="I323" s="5"/>
      <c r="J323" s="5"/>
      <c r="K323" s="14"/>
    </row>
    <row r="324" spans="2:11">
      <c r="B324" s="42">
        <v>186</v>
      </c>
      <c r="C324" s="21" t="s">
        <v>105</v>
      </c>
      <c r="D324" s="22" t="s">
        <v>432</v>
      </c>
      <c r="E324" s="5"/>
      <c r="F324" s="5"/>
      <c r="G324" s="5"/>
      <c r="H324" s="5"/>
      <c r="I324" s="5"/>
      <c r="J324" s="5"/>
      <c r="K324" s="14"/>
    </row>
    <row r="325" spans="2:11">
      <c r="B325" s="42">
        <v>196</v>
      </c>
      <c r="C325" s="21" t="s">
        <v>115</v>
      </c>
      <c r="D325" s="22" t="s">
        <v>432</v>
      </c>
      <c r="E325" s="5"/>
      <c r="F325" s="5"/>
      <c r="G325" s="5"/>
      <c r="H325" s="5"/>
      <c r="I325" s="5"/>
      <c r="J325" s="5"/>
      <c r="K325" s="14"/>
    </row>
    <row r="326" spans="2:11">
      <c r="B326" s="42">
        <v>151</v>
      </c>
      <c r="C326" s="21" t="s">
        <v>70</v>
      </c>
      <c r="D326" s="22" t="s">
        <v>326</v>
      </c>
      <c r="E326" s="5"/>
      <c r="F326" s="5"/>
      <c r="G326" s="5"/>
      <c r="H326" s="5"/>
      <c r="I326" s="5"/>
      <c r="J326" s="5"/>
      <c r="K326" s="14"/>
    </row>
    <row r="327" spans="2:11">
      <c r="B327" s="42">
        <v>172</v>
      </c>
      <c r="C327" s="21" t="s">
        <v>91</v>
      </c>
      <c r="D327" s="22" t="s">
        <v>434</v>
      </c>
      <c r="E327" s="5"/>
      <c r="F327" s="5"/>
      <c r="G327" s="5"/>
      <c r="H327" s="5"/>
      <c r="I327" s="5"/>
      <c r="J327" s="5"/>
      <c r="K327" s="14"/>
    </row>
    <row r="328" spans="2:11">
      <c r="B328" s="42">
        <v>171</v>
      </c>
      <c r="C328" s="21" t="s">
        <v>90</v>
      </c>
      <c r="D328" s="22" t="s">
        <v>328</v>
      </c>
      <c r="E328" s="5"/>
      <c r="F328" s="5"/>
      <c r="G328" s="5"/>
      <c r="H328" s="5"/>
      <c r="I328" s="5"/>
      <c r="J328" s="5"/>
      <c r="K328" s="14"/>
    </row>
    <row r="329" spans="2:11">
      <c r="B329" s="42">
        <v>142</v>
      </c>
      <c r="C329" s="21" t="s">
        <v>61</v>
      </c>
      <c r="D329" s="22" t="s">
        <v>329</v>
      </c>
      <c r="E329" s="5"/>
      <c r="F329" s="5"/>
      <c r="G329" s="5"/>
      <c r="H329" s="5"/>
      <c r="I329" s="5"/>
      <c r="J329" s="5"/>
      <c r="K329" s="14"/>
    </row>
    <row r="330" spans="2:11">
      <c r="B330" s="42">
        <v>152</v>
      </c>
      <c r="C330" s="21" t="s">
        <v>71</v>
      </c>
      <c r="D330" s="22" t="s">
        <v>329</v>
      </c>
      <c r="E330" s="5"/>
      <c r="F330" s="5"/>
      <c r="G330" s="5"/>
      <c r="H330" s="5"/>
      <c r="I330" s="5"/>
      <c r="J330" s="5"/>
      <c r="K330" s="14"/>
    </row>
    <row r="331" spans="2:11">
      <c r="B331" s="42">
        <v>143</v>
      </c>
      <c r="C331" s="21" t="s">
        <v>62</v>
      </c>
      <c r="D331" s="22" t="s">
        <v>329</v>
      </c>
      <c r="E331" s="5"/>
      <c r="F331" s="5"/>
      <c r="G331" s="5"/>
      <c r="H331" s="5"/>
      <c r="I331" s="5"/>
      <c r="J331" s="5"/>
      <c r="K331" s="14"/>
    </row>
    <row r="332" spans="2:11">
      <c r="B332" s="42">
        <v>153</v>
      </c>
      <c r="C332" s="21" t="s">
        <v>72</v>
      </c>
      <c r="D332" s="22" t="s">
        <v>329</v>
      </c>
      <c r="E332" s="5"/>
      <c r="F332" s="5"/>
      <c r="G332" s="5"/>
      <c r="H332" s="5"/>
      <c r="I332" s="5"/>
      <c r="J332" s="5"/>
      <c r="K332" s="14"/>
    </row>
    <row r="333" spans="2:11">
      <c r="B333" s="42">
        <v>144</v>
      </c>
      <c r="C333" s="21" t="s">
        <v>63</v>
      </c>
      <c r="D333" s="22" t="s">
        <v>329</v>
      </c>
      <c r="E333" s="5"/>
      <c r="F333" s="5"/>
      <c r="G333" s="5"/>
      <c r="H333" s="5"/>
      <c r="I333" s="5"/>
      <c r="J333" s="5"/>
      <c r="K333" s="14"/>
    </row>
    <row r="334" spans="2:11">
      <c r="B334" s="42">
        <v>154</v>
      </c>
      <c r="C334" s="21" t="s">
        <v>73</v>
      </c>
      <c r="D334" s="22" t="s">
        <v>329</v>
      </c>
      <c r="E334" s="5"/>
      <c r="F334" s="5"/>
      <c r="G334" s="5"/>
      <c r="H334" s="5"/>
      <c r="I334" s="5"/>
      <c r="J334" s="5"/>
      <c r="K334" s="14"/>
    </row>
    <row r="335" spans="2:11">
      <c r="B335" s="42">
        <v>145</v>
      </c>
      <c r="C335" s="21" t="s">
        <v>64</v>
      </c>
      <c r="D335" s="22" t="s">
        <v>329</v>
      </c>
      <c r="E335" s="5"/>
      <c r="F335" s="5"/>
      <c r="G335" s="5"/>
      <c r="H335" s="5"/>
      <c r="I335" s="5"/>
      <c r="J335" s="5"/>
      <c r="K335" s="14"/>
    </row>
    <row r="336" spans="2:11">
      <c r="B336" s="42">
        <v>155</v>
      </c>
      <c r="C336" s="21" t="s">
        <v>74</v>
      </c>
      <c r="D336" s="22" t="s">
        <v>329</v>
      </c>
      <c r="E336" s="5"/>
      <c r="F336" s="5"/>
      <c r="G336" s="5"/>
      <c r="H336" s="5"/>
      <c r="I336" s="5"/>
      <c r="J336" s="5"/>
      <c r="K336" s="14"/>
    </row>
    <row r="337" spans="2:11">
      <c r="B337" s="42">
        <v>165</v>
      </c>
      <c r="C337" s="21" t="s">
        <v>84</v>
      </c>
      <c r="D337" s="22" t="s">
        <v>329</v>
      </c>
      <c r="E337" s="5"/>
      <c r="F337" s="5"/>
      <c r="G337" s="5"/>
      <c r="H337" s="5"/>
      <c r="I337" s="5"/>
      <c r="J337" s="5"/>
      <c r="K337" s="14"/>
    </row>
    <row r="338" spans="2:11">
      <c r="B338" s="42">
        <v>146</v>
      </c>
      <c r="C338" s="21" t="s">
        <v>65</v>
      </c>
      <c r="D338" s="22" t="s">
        <v>329</v>
      </c>
      <c r="E338" s="5"/>
      <c r="F338" s="5"/>
      <c r="G338" s="5"/>
      <c r="H338" s="5"/>
      <c r="I338" s="5"/>
      <c r="J338" s="5"/>
      <c r="K338" s="14"/>
    </row>
    <row r="339" spans="2:11">
      <c r="B339" s="42">
        <v>156</v>
      </c>
      <c r="C339" s="21" t="s">
        <v>75</v>
      </c>
      <c r="D339" s="22" t="s">
        <v>329</v>
      </c>
      <c r="E339" s="5"/>
      <c r="F339" s="5"/>
      <c r="G339" s="5"/>
      <c r="H339" s="5"/>
      <c r="I339" s="5"/>
      <c r="J339" s="5"/>
      <c r="K339" s="14"/>
    </row>
    <row r="340" spans="2:11">
      <c r="B340" s="42">
        <v>166</v>
      </c>
      <c r="C340" s="21" t="s">
        <v>85</v>
      </c>
      <c r="D340" s="22" t="s">
        <v>329</v>
      </c>
      <c r="E340" s="5"/>
      <c r="F340" s="5"/>
      <c r="G340" s="5"/>
      <c r="H340" s="5"/>
      <c r="I340" s="5"/>
      <c r="J340" s="5"/>
      <c r="K340" s="14"/>
    </row>
    <row r="341" spans="2:11">
      <c r="B341" s="42">
        <v>212</v>
      </c>
      <c r="C341" s="21" t="s">
        <v>131</v>
      </c>
      <c r="D341" s="22" t="s">
        <v>436</v>
      </c>
      <c r="E341" s="5"/>
      <c r="F341" s="5"/>
      <c r="G341" s="5"/>
      <c r="H341" s="5"/>
      <c r="I341" s="5"/>
      <c r="J341" s="5"/>
      <c r="K341" s="14"/>
    </row>
    <row r="342" spans="2:11">
      <c r="B342" s="42">
        <v>202</v>
      </c>
      <c r="C342" s="21" t="s">
        <v>121</v>
      </c>
      <c r="D342" s="327" t="s">
        <v>435</v>
      </c>
      <c r="E342" s="323" t="s">
        <v>870</v>
      </c>
      <c r="F342" s="323"/>
      <c r="G342" s="387" t="s">
        <v>67</v>
      </c>
      <c r="H342" s="5"/>
      <c r="I342" s="5"/>
      <c r="J342" s="5"/>
      <c r="K342" s="14"/>
    </row>
    <row r="343" spans="2:11">
      <c r="B343" s="42">
        <v>174</v>
      </c>
      <c r="C343" s="21" t="s">
        <v>93</v>
      </c>
      <c r="D343" s="327" t="s">
        <v>459</v>
      </c>
      <c r="E343" s="323" t="s">
        <v>870</v>
      </c>
      <c r="F343" s="5"/>
      <c r="G343" s="323" t="s">
        <v>1031</v>
      </c>
      <c r="H343" s="5"/>
      <c r="I343" s="5"/>
      <c r="J343" s="5"/>
      <c r="K343" s="14"/>
    </row>
    <row r="344" spans="2:11">
      <c r="B344" s="42">
        <v>173</v>
      </c>
      <c r="C344" s="21" t="s">
        <v>92</v>
      </c>
      <c r="D344" s="327" t="s">
        <v>449</v>
      </c>
      <c r="E344" s="323" t="s">
        <v>870</v>
      </c>
      <c r="F344" s="5"/>
      <c r="G344" s="323" t="s">
        <v>1032</v>
      </c>
      <c r="H344" s="5"/>
      <c r="I344" s="5"/>
      <c r="J344" s="5"/>
      <c r="K344" s="14"/>
    </row>
    <row r="345" spans="2:11">
      <c r="B345" s="42">
        <v>135</v>
      </c>
      <c r="C345" s="21" t="s">
        <v>54</v>
      </c>
      <c r="D345" s="327" t="s">
        <v>457</v>
      </c>
      <c r="E345" s="323" t="s">
        <v>870</v>
      </c>
      <c r="F345" s="323"/>
      <c r="G345" s="323" t="s">
        <v>317</v>
      </c>
      <c r="H345" s="5"/>
      <c r="I345" s="5"/>
      <c r="J345" s="5"/>
      <c r="K345" s="14"/>
    </row>
    <row r="346" spans="2:11">
      <c r="B346" s="42">
        <v>134</v>
      </c>
      <c r="C346" s="21" t="s">
        <v>53</v>
      </c>
      <c r="D346" s="327" t="s">
        <v>466</v>
      </c>
      <c r="E346" s="323" t="s">
        <v>870</v>
      </c>
      <c r="F346" s="323"/>
      <c r="G346" s="387" t="s">
        <v>975</v>
      </c>
      <c r="H346" s="5"/>
      <c r="I346" s="5"/>
      <c r="J346" s="5"/>
      <c r="K346" s="14"/>
    </row>
    <row r="347" spans="2:11">
      <c r="B347" s="42">
        <v>332</v>
      </c>
      <c r="C347" s="21" t="s">
        <v>251</v>
      </c>
      <c r="D347" s="22" t="s">
        <v>549</v>
      </c>
      <c r="E347" s="323" t="s">
        <v>870</v>
      </c>
      <c r="F347" s="5"/>
      <c r="G347" s="389" t="s">
        <v>201</v>
      </c>
      <c r="H347" s="340" t="s">
        <v>929</v>
      </c>
      <c r="I347" s="5"/>
      <c r="J347" s="5"/>
      <c r="K347" s="14"/>
    </row>
    <row r="348" spans="2:11">
      <c r="B348" s="42">
        <v>331</v>
      </c>
      <c r="C348" s="21" t="s">
        <v>250</v>
      </c>
      <c r="D348" s="22" t="s">
        <v>529</v>
      </c>
      <c r="E348" s="323" t="s">
        <v>870</v>
      </c>
      <c r="F348" s="5"/>
      <c r="G348" s="389" t="s">
        <v>211</v>
      </c>
      <c r="H348" s="316" t="s">
        <v>929</v>
      </c>
      <c r="I348" s="5"/>
      <c r="J348" s="5"/>
      <c r="K348" s="14"/>
    </row>
    <row r="349" spans="2:11">
      <c r="B349" s="42">
        <v>322</v>
      </c>
      <c r="C349" s="21" t="s">
        <v>241</v>
      </c>
      <c r="D349" s="22" t="s">
        <v>548</v>
      </c>
      <c r="E349" s="323" t="s">
        <v>870</v>
      </c>
      <c r="F349" s="5"/>
      <c r="G349" s="389" t="s">
        <v>220</v>
      </c>
      <c r="H349" s="316" t="s">
        <v>929</v>
      </c>
      <c r="I349" s="5"/>
      <c r="J349" s="5"/>
      <c r="K349" s="14"/>
    </row>
    <row r="350" spans="2:11">
      <c r="B350" s="42">
        <v>321</v>
      </c>
      <c r="C350" s="21" t="s">
        <v>240</v>
      </c>
      <c r="D350" s="22" t="s">
        <v>528</v>
      </c>
      <c r="E350" s="323" t="s">
        <v>870</v>
      </c>
      <c r="F350" s="5"/>
      <c r="G350" s="389" t="s">
        <v>230</v>
      </c>
      <c r="H350" s="316" t="s">
        <v>929</v>
      </c>
      <c r="I350" s="5"/>
      <c r="J350" s="5"/>
      <c r="K350" s="14"/>
    </row>
    <row r="351" spans="2:11">
      <c r="B351" s="42">
        <v>312</v>
      </c>
      <c r="C351" s="21" t="s">
        <v>231</v>
      </c>
      <c r="D351" s="22" t="s">
        <v>547</v>
      </c>
      <c r="E351" s="323" t="s">
        <v>870</v>
      </c>
      <c r="F351" s="5"/>
      <c r="G351" s="389" t="s">
        <v>180</v>
      </c>
      <c r="H351" s="316" t="s">
        <v>929</v>
      </c>
      <c r="I351" s="5"/>
      <c r="J351" s="5"/>
      <c r="K351" s="14"/>
    </row>
    <row r="352" spans="2:11">
      <c r="B352" s="42">
        <v>311</v>
      </c>
      <c r="C352" s="21" t="s">
        <v>230</v>
      </c>
      <c r="D352" s="22" t="s">
        <v>527</v>
      </c>
      <c r="E352" s="323" t="s">
        <v>870</v>
      </c>
      <c r="F352" s="5"/>
      <c r="G352" s="389" t="s">
        <v>190</v>
      </c>
      <c r="H352" s="316" t="s">
        <v>929</v>
      </c>
      <c r="I352" s="5"/>
      <c r="J352" s="5"/>
      <c r="K352" s="14"/>
    </row>
    <row r="353" spans="2:11">
      <c r="B353" s="42">
        <v>313</v>
      </c>
      <c r="C353" s="21" t="s">
        <v>232</v>
      </c>
      <c r="D353" s="22" t="s">
        <v>572</v>
      </c>
      <c r="E353" s="323" t="s">
        <v>870</v>
      </c>
      <c r="F353" s="5"/>
      <c r="G353" s="389" t="s">
        <v>222</v>
      </c>
      <c r="H353" s="316" t="s">
        <v>929</v>
      </c>
      <c r="I353" s="5"/>
      <c r="J353" s="5"/>
      <c r="K353" s="14"/>
    </row>
    <row r="354" spans="2:11">
      <c r="B354" s="42">
        <v>323</v>
      </c>
      <c r="C354" s="21" t="s">
        <v>242</v>
      </c>
      <c r="D354" s="22" t="s">
        <v>573</v>
      </c>
      <c r="E354" s="323" t="s">
        <v>870</v>
      </c>
      <c r="F354" s="5"/>
      <c r="G354" s="389" t="s">
        <v>232</v>
      </c>
      <c r="H354" s="316" t="s">
        <v>929</v>
      </c>
      <c r="I354" s="5"/>
      <c r="J354" s="5"/>
      <c r="K354" s="14"/>
    </row>
    <row r="355" spans="2:11">
      <c r="B355" s="42">
        <v>303</v>
      </c>
      <c r="C355" s="21" t="s">
        <v>222</v>
      </c>
      <c r="D355" s="22" t="s">
        <v>571</v>
      </c>
      <c r="E355" s="323" t="s">
        <v>870</v>
      </c>
      <c r="F355" s="5"/>
      <c r="G355" s="389" t="s">
        <v>182</v>
      </c>
      <c r="H355" s="316" t="s">
        <v>929</v>
      </c>
      <c r="I355" s="5"/>
      <c r="J355" s="5"/>
      <c r="K355" s="14"/>
    </row>
    <row r="356" spans="2:11">
      <c r="B356" s="42">
        <v>293</v>
      </c>
      <c r="C356" s="21" t="s">
        <v>212</v>
      </c>
      <c r="D356" s="22" t="s">
        <v>570</v>
      </c>
      <c r="E356" s="323" t="s">
        <v>870</v>
      </c>
      <c r="F356" s="5"/>
      <c r="G356" s="389" t="s">
        <v>192</v>
      </c>
      <c r="H356" s="316" t="s">
        <v>929</v>
      </c>
      <c r="I356" s="5"/>
      <c r="J356" s="5"/>
      <c r="K356" s="14"/>
    </row>
    <row r="357" spans="2:11">
      <c r="B357" s="42">
        <v>324</v>
      </c>
      <c r="C357" s="21" t="s">
        <v>243</v>
      </c>
      <c r="D357" s="22" t="s">
        <v>594</v>
      </c>
      <c r="E357" s="323" t="s">
        <v>870</v>
      </c>
      <c r="F357" s="5"/>
      <c r="G357" s="389" t="s">
        <v>241</v>
      </c>
      <c r="H357" s="316" t="s">
        <v>929</v>
      </c>
      <c r="I357" s="5"/>
      <c r="J357" s="5"/>
      <c r="K357" s="14"/>
    </row>
    <row r="358" spans="2:11">
      <c r="B358" s="42">
        <v>314</v>
      </c>
      <c r="C358" s="21" t="s">
        <v>233</v>
      </c>
      <c r="D358" s="22" t="s">
        <v>593</v>
      </c>
      <c r="E358" s="323" t="s">
        <v>870</v>
      </c>
      <c r="F358" s="5"/>
      <c r="G358" s="389" t="s">
        <v>251</v>
      </c>
      <c r="H358" s="316" t="s">
        <v>929</v>
      </c>
      <c r="I358" s="5"/>
      <c r="J358" s="5"/>
      <c r="K358" s="14"/>
    </row>
    <row r="359" spans="2:11">
      <c r="B359" s="42">
        <v>244</v>
      </c>
      <c r="C359" s="21" t="s">
        <v>163</v>
      </c>
      <c r="D359" s="22" t="s">
        <v>592</v>
      </c>
      <c r="E359" s="323" t="s">
        <v>870</v>
      </c>
      <c r="F359" s="5"/>
      <c r="G359" s="389" t="s">
        <v>184</v>
      </c>
      <c r="H359" s="316" t="s">
        <v>929</v>
      </c>
      <c r="I359" s="5"/>
      <c r="J359" s="5"/>
      <c r="K359" s="14"/>
    </row>
    <row r="360" spans="2:11">
      <c r="B360" s="42">
        <v>245</v>
      </c>
      <c r="C360" s="21" t="s">
        <v>164</v>
      </c>
      <c r="D360" s="22" t="s">
        <v>607</v>
      </c>
      <c r="E360" s="323" t="s">
        <v>870</v>
      </c>
      <c r="F360" s="5"/>
      <c r="G360" s="389" t="s">
        <v>194</v>
      </c>
      <c r="H360" s="316" t="s">
        <v>929</v>
      </c>
      <c r="I360" s="5"/>
      <c r="J360" s="5"/>
      <c r="K360" s="14"/>
    </row>
    <row r="361" spans="2:11">
      <c r="B361" s="42">
        <v>234</v>
      </c>
      <c r="C361" s="21" t="s">
        <v>153</v>
      </c>
      <c r="D361" s="22" t="s">
        <v>591</v>
      </c>
      <c r="E361" s="323" t="s">
        <v>870</v>
      </c>
      <c r="F361" s="5"/>
      <c r="G361" s="389" t="s">
        <v>243</v>
      </c>
      <c r="H361" s="316" t="s">
        <v>929</v>
      </c>
      <c r="I361" s="5"/>
      <c r="J361" s="5"/>
      <c r="K361" s="14"/>
    </row>
    <row r="362" spans="2:11">
      <c r="B362" s="42">
        <v>235</v>
      </c>
      <c r="C362" s="21" t="s">
        <v>154</v>
      </c>
      <c r="D362" s="22" t="s">
        <v>606</v>
      </c>
      <c r="E362" s="323" t="s">
        <v>870</v>
      </c>
      <c r="F362" s="5"/>
      <c r="G362" s="389" t="s">
        <v>253</v>
      </c>
      <c r="H362" s="316" t="s">
        <v>929</v>
      </c>
      <c r="I362" s="5"/>
      <c r="J362" s="5"/>
      <c r="K362" s="14"/>
    </row>
    <row r="363" spans="2:11">
      <c r="B363" s="42">
        <v>224</v>
      </c>
      <c r="C363" s="21" t="s">
        <v>143</v>
      </c>
      <c r="D363" s="22" t="s">
        <v>590</v>
      </c>
      <c r="E363" s="323" t="s">
        <v>870</v>
      </c>
      <c r="F363" s="5"/>
      <c r="G363" s="389" t="s">
        <v>203</v>
      </c>
      <c r="H363" s="316" t="s">
        <v>929</v>
      </c>
      <c r="I363" s="5"/>
      <c r="J363" s="5"/>
      <c r="K363" s="14"/>
    </row>
    <row r="364" spans="2:11">
      <c r="B364" s="42">
        <v>225</v>
      </c>
      <c r="C364" s="21" t="s">
        <v>144</v>
      </c>
      <c r="D364" s="22" t="s">
        <v>605</v>
      </c>
      <c r="E364" s="323" t="s">
        <v>870</v>
      </c>
      <c r="F364" s="5"/>
      <c r="G364" s="389" t="s">
        <v>213</v>
      </c>
      <c r="H364" s="316" t="s">
        <v>929</v>
      </c>
      <c r="I364" s="5"/>
      <c r="J364" s="5"/>
      <c r="K364" s="14"/>
    </row>
    <row r="365" spans="2:11">
      <c r="B365" s="42">
        <v>252</v>
      </c>
      <c r="C365" s="21" t="s">
        <v>171</v>
      </c>
      <c r="D365" s="22" t="s">
        <v>546</v>
      </c>
      <c r="E365" s="323" t="s">
        <v>870</v>
      </c>
      <c r="F365" s="5"/>
      <c r="G365" s="389" t="s">
        <v>245</v>
      </c>
      <c r="H365" s="316" t="s">
        <v>929</v>
      </c>
      <c r="I365" s="5"/>
      <c r="J365" s="5"/>
      <c r="K365" s="14"/>
    </row>
    <row r="366" spans="2:11">
      <c r="B366" s="42">
        <v>253</v>
      </c>
      <c r="C366" s="21" t="s">
        <v>172</v>
      </c>
      <c r="D366" s="22" t="s">
        <v>569</v>
      </c>
      <c r="E366" s="323" t="s">
        <v>870</v>
      </c>
      <c r="F366" s="5"/>
      <c r="G366" s="389" t="s">
        <v>255</v>
      </c>
      <c r="H366" s="316" t="s">
        <v>929</v>
      </c>
      <c r="I366" s="5"/>
      <c r="J366" s="5"/>
      <c r="K366" s="14"/>
    </row>
    <row r="367" spans="2:11">
      <c r="B367" s="42">
        <v>242</v>
      </c>
      <c r="C367" s="21" t="s">
        <v>161</v>
      </c>
      <c r="D367" s="22" t="s">
        <v>545</v>
      </c>
      <c r="E367" s="323" t="s">
        <v>870</v>
      </c>
      <c r="F367" s="5"/>
      <c r="G367" s="389" t="s">
        <v>205</v>
      </c>
      <c r="H367" s="316" t="s">
        <v>929</v>
      </c>
      <c r="I367" s="5"/>
      <c r="J367" s="5"/>
      <c r="K367" s="14"/>
    </row>
    <row r="368" spans="2:11">
      <c r="B368" s="42">
        <v>243</v>
      </c>
      <c r="C368" s="21" t="s">
        <v>162</v>
      </c>
      <c r="D368" s="22" t="s">
        <v>568</v>
      </c>
      <c r="E368" s="323" t="s">
        <v>870</v>
      </c>
      <c r="F368" s="5"/>
      <c r="G368" s="389" t="s">
        <v>215</v>
      </c>
      <c r="H368" s="316" t="s">
        <v>929</v>
      </c>
      <c r="I368" s="5"/>
      <c r="J368" s="5"/>
      <c r="K368" s="14"/>
    </row>
    <row r="369" spans="2:11">
      <c r="B369" s="42">
        <v>222</v>
      </c>
      <c r="C369" s="21" t="s">
        <v>141</v>
      </c>
      <c r="D369" s="22" t="s">
        <v>544</v>
      </c>
      <c r="E369" s="323" t="s">
        <v>870</v>
      </c>
      <c r="F369" s="5"/>
      <c r="G369" s="389" t="s">
        <v>224</v>
      </c>
      <c r="H369" s="316" t="s">
        <v>929</v>
      </c>
      <c r="I369" s="5"/>
      <c r="J369" s="5"/>
      <c r="K369" s="14"/>
    </row>
    <row r="370" spans="2:11">
      <c r="B370" s="42">
        <v>223</v>
      </c>
      <c r="C370" s="21" t="s">
        <v>142</v>
      </c>
      <c r="D370" s="22" t="s">
        <v>567</v>
      </c>
      <c r="E370" s="323" t="s">
        <v>870</v>
      </c>
      <c r="F370" s="5"/>
      <c r="G370" s="389" t="s">
        <v>234</v>
      </c>
      <c r="H370" s="316" t="s">
        <v>929</v>
      </c>
      <c r="I370" s="5"/>
      <c r="J370" s="5"/>
      <c r="K370" s="14"/>
    </row>
    <row r="371" spans="2:11">
      <c r="B371" s="42">
        <v>254</v>
      </c>
      <c r="C371" s="21" t="s">
        <v>173</v>
      </c>
      <c r="D371" s="22" t="s">
        <v>460</v>
      </c>
      <c r="E371" s="323" t="s">
        <v>870</v>
      </c>
      <c r="F371" s="5"/>
      <c r="G371" s="387" t="s">
        <v>978</v>
      </c>
      <c r="H371" s="5"/>
      <c r="I371" s="5"/>
      <c r="J371" s="5"/>
      <c r="K371" s="14"/>
    </row>
    <row r="372" spans="2:11">
      <c r="B372" s="42">
        <v>255</v>
      </c>
      <c r="C372" s="21" t="s">
        <v>174</v>
      </c>
      <c r="D372" s="22" t="s">
        <v>467</v>
      </c>
      <c r="E372" s="323" t="s">
        <v>870</v>
      </c>
      <c r="F372" s="5"/>
      <c r="G372" s="387" t="s">
        <v>979</v>
      </c>
      <c r="H372" s="5"/>
      <c r="I372" s="5"/>
      <c r="J372" s="5"/>
      <c r="K372" s="14"/>
    </row>
    <row r="373" spans="2:11">
      <c r="B373" s="42">
        <v>275</v>
      </c>
      <c r="C373" s="21" t="s">
        <v>194</v>
      </c>
      <c r="D373" s="22" t="s">
        <v>468</v>
      </c>
      <c r="E373" s="5"/>
      <c r="F373" s="5"/>
      <c r="G373" s="5"/>
      <c r="H373" s="5"/>
      <c r="I373" s="5"/>
      <c r="J373" s="5"/>
      <c r="K373" s="14"/>
    </row>
    <row r="374" spans="2:11">
      <c r="B374" s="42">
        <v>274</v>
      </c>
      <c r="C374" s="21" t="s">
        <v>193</v>
      </c>
      <c r="D374" s="22" t="s">
        <v>461</v>
      </c>
      <c r="E374" s="323" t="s">
        <v>870</v>
      </c>
      <c r="F374" s="323"/>
      <c r="G374" s="387" t="s">
        <v>87</v>
      </c>
      <c r="H374" s="5"/>
      <c r="I374" s="5"/>
      <c r="J374" s="5"/>
      <c r="K374" s="14"/>
    </row>
    <row r="375" spans="2:11">
      <c r="B375" s="42">
        <v>272</v>
      </c>
      <c r="C375" s="21" t="s">
        <v>191</v>
      </c>
      <c r="D375" s="22" t="s">
        <v>438</v>
      </c>
      <c r="E375" s="5"/>
      <c r="F375" s="5"/>
      <c r="G375" s="5"/>
      <c r="H375" s="5"/>
      <c r="I375" s="5"/>
      <c r="J375" s="5"/>
      <c r="K375" s="14"/>
    </row>
    <row r="376" spans="2:11">
      <c r="B376" s="42">
        <v>273</v>
      </c>
      <c r="C376" s="21" t="s">
        <v>192</v>
      </c>
      <c r="D376" s="22" t="s">
        <v>451</v>
      </c>
      <c r="E376" s="323" t="s">
        <v>870</v>
      </c>
      <c r="F376" s="323"/>
      <c r="G376" s="387" t="s">
        <v>97</v>
      </c>
      <c r="H376" s="5"/>
      <c r="I376" s="5"/>
      <c r="J376" s="5"/>
      <c r="K376" s="14"/>
    </row>
    <row r="377" spans="2:11">
      <c r="B377" s="42">
        <v>291</v>
      </c>
      <c r="C377" s="21" t="s">
        <v>210</v>
      </c>
      <c r="D377" s="22" t="s">
        <v>330</v>
      </c>
      <c r="E377" s="5"/>
      <c r="F377" s="5"/>
      <c r="G377" s="5"/>
      <c r="H377" s="5"/>
      <c r="I377" s="5"/>
      <c r="J377" s="5"/>
      <c r="K377" s="14"/>
    </row>
    <row r="378" spans="2:11">
      <c r="B378" s="42">
        <v>292</v>
      </c>
      <c r="C378" s="21" t="s">
        <v>211</v>
      </c>
      <c r="D378" s="22" t="s">
        <v>330</v>
      </c>
      <c r="E378" s="5"/>
      <c r="F378" s="5"/>
      <c r="G378" s="5"/>
      <c r="H378" s="5"/>
      <c r="I378" s="5"/>
      <c r="J378" s="5"/>
      <c r="K378" s="14"/>
    </row>
    <row r="379" spans="2:11">
      <c r="B379" s="42">
        <v>295</v>
      </c>
      <c r="C379" s="21" t="s">
        <v>214</v>
      </c>
      <c r="D379" s="22" t="s">
        <v>330</v>
      </c>
      <c r="E379" s="5"/>
      <c r="F379" s="5"/>
      <c r="G379" s="5"/>
      <c r="H379" s="5"/>
      <c r="I379" s="5"/>
      <c r="J379" s="5"/>
      <c r="K379" s="14"/>
    </row>
    <row r="380" spans="2:11">
      <c r="B380" s="42">
        <v>305</v>
      </c>
      <c r="C380" s="21" t="s">
        <v>224</v>
      </c>
      <c r="D380" s="22" t="s">
        <v>330</v>
      </c>
      <c r="E380" s="5"/>
      <c r="F380" s="5"/>
      <c r="G380" s="5"/>
      <c r="H380" s="5"/>
      <c r="I380" s="5"/>
      <c r="J380" s="5"/>
      <c r="K380" s="14"/>
    </row>
    <row r="381" spans="2:11">
      <c r="B381" s="42">
        <v>315</v>
      </c>
      <c r="C381" s="21" t="s">
        <v>234</v>
      </c>
      <c r="D381" s="22" t="s">
        <v>330</v>
      </c>
      <c r="E381" s="5"/>
      <c r="F381" s="5"/>
      <c r="G381" s="5"/>
      <c r="H381" s="5"/>
      <c r="I381" s="5"/>
      <c r="J381" s="5"/>
      <c r="K381" s="14"/>
    </row>
    <row r="382" spans="2:11">
      <c r="B382" s="42">
        <v>325</v>
      </c>
      <c r="C382" s="21" t="s">
        <v>244</v>
      </c>
      <c r="D382" s="22" t="s">
        <v>330</v>
      </c>
      <c r="E382" s="5"/>
      <c r="F382" s="5"/>
      <c r="G382" s="5"/>
      <c r="H382" s="5"/>
      <c r="I382" s="5"/>
      <c r="J382" s="5"/>
      <c r="K382" s="14"/>
    </row>
    <row r="383" spans="2:11">
      <c r="B383" s="42">
        <v>261</v>
      </c>
      <c r="C383" s="21" t="s">
        <v>180</v>
      </c>
      <c r="D383" s="22" t="s">
        <v>331</v>
      </c>
      <c r="E383" s="5"/>
      <c r="F383" s="5"/>
      <c r="G383" s="5"/>
      <c r="H383" s="5"/>
      <c r="I383" s="5"/>
      <c r="J383" s="5"/>
      <c r="K383" s="14"/>
    </row>
    <row r="384" spans="2:11">
      <c r="B384" s="42">
        <v>281</v>
      </c>
      <c r="C384" s="21" t="s">
        <v>200</v>
      </c>
      <c r="D384" s="22" t="s">
        <v>333</v>
      </c>
      <c r="E384" s="5"/>
      <c r="F384" s="5"/>
      <c r="G384" s="5"/>
      <c r="H384" s="5"/>
      <c r="I384" s="5"/>
      <c r="J384" s="5"/>
      <c r="K384" s="14"/>
    </row>
    <row r="385" spans="2:11">
      <c r="B385" s="42">
        <v>271</v>
      </c>
      <c r="C385" s="21" t="s">
        <v>190</v>
      </c>
      <c r="D385" s="22" t="s">
        <v>332</v>
      </c>
      <c r="E385" s="5"/>
      <c r="F385" s="5"/>
      <c r="G385" s="5"/>
      <c r="H385" s="5"/>
      <c r="I385" s="5"/>
      <c r="J385" s="5"/>
      <c r="K385" s="14"/>
    </row>
    <row r="386" spans="2:11">
      <c r="B386" s="42">
        <v>221</v>
      </c>
      <c r="C386" s="21" t="s">
        <v>140</v>
      </c>
      <c r="D386" s="22" t="s">
        <v>334</v>
      </c>
      <c r="E386" s="5"/>
      <c r="F386" s="5"/>
      <c r="G386" s="5"/>
      <c r="H386" s="5"/>
      <c r="I386" s="5"/>
      <c r="J386" s="5"/>
      <c r="K386" s="14"/>
    </row>
    <row r="387" spans="2:11">
      <c r="B387" s="42">
        <v>231</v>
      </c>
      <c r="C387" s="21" t="s">
        <v>150</v>
      </c>
      <c r="D387" s="22" t="s">
        <v>334</v>
      </c>
      <c r="E387" s="5"/>
      <c r="F387" s="5"/>
      <c r="G387" s="5"/>
      <c r="H387" s="5"/>
      <c r="I387" s="5"/>
      <c r="J387" s="5"/>
      <c r="K387" s="14"/>
    </row>
    <row r="388" spans="2:11">
      <c r="B388" s="42">
        <v>241</v>
      </c>
      <c r="C388" s="21" t="s">
        <v>160</v>
      </c>
      <c r="D388" s="22" t="s">
        <v>334</v>
      </c>
      <c r="E388" s="5"/>
      <c r="F388" s="5"/>
      <c r="G388" s="5"/>
      <c r="H388" s="5"/>
      <c r="I388" s="5"/>
      <c r="J388" s="5"/>
      <c r="K388" s="14"/>
    </row>
    <row r="389" spans="2:11">
      <c r="B389" s="42">
        <v>251</v>
      </c>
      <c r="C389" s="21" t="s">
        <v>170</v>
      </c>
      <c r="D389" s="22" t="s">
        <v>334</v>
      </c>
      <c r="E389" s="5"/>
      <c r="F389" s="5"/>
      <c r="G389" s="5"/>
      <c r="H389" s="5"/>
      <c r="I389" s="5"/>
      <c r="J389" s="5"/>
      <c r="K389" s="14"/>
    </row>
    <row r="390" spans="2:11">
      <c r="B390" s="42">
        <v>262</v>
      </c>
      <c r="C390" s="21" t="s">
        <v>181</v>
      </c>
      <c r="D390" s="22" t="s">
        <v>334</v>
      </c>
      <c r="E390" s="5"/>
      <c r="F390" s="5"/>
      <c r="G390" s="5"/>
      <c r="H390" s="5"/>
      <c r="I390" s="5"/>
      <c r="J390" s="5"/>
      <c r="K390" s="14"/>
    </row>
    <row r="391" spans="2:11">
      <c r="B391" s="42">
        <v>263</v>
      </c>
      <c r="C391" s="21" t="s">
        <v>182</v>
      </c>
      <c r="D391" s="22" t="s">
        <v>334</v>
      </c>
      <c r="E391" s="5"/>
      <c r="F391" s="5"/>
      <c r="G391" s="5"/>
      <c r="H391" s="5"/>
      <c r="I391" s="5"/>
      <c r="J391" s="5"/>
      <c r="K391" s="14"/>
    </row>
    <row r="392" spans="2:11">
      <c r="B392" s="42">
        <v>264</v>
      </c>
      <c r="C392" s="21" t="s">
        <v>183</v>
      </c>
      <c r="D392" s="22" t="s">
        <v>334</v>
      </c>
      <c r="E392" s="5"/>
      <c r="F392" s="5"/>
      <c r="G392" s="5"/>
      <c r="H392" s="5"/>
      <c r="I392" s="5"/>
      <c r="J392" s="5"/>
      <c r="K392" s="14"/>
    </row>
    <row r="393" spans="2:11">
      <c r="B393" s="42">
        <v>265</v>
      </c>
      <c r="C393" s="21" t="s">
        <v>184</v>
      </c>
      <c r="D393" s="22" t="s">
        <v>334</v>
      </c>
      <c r="E393" s="5"/>
      <c r="F393" s="5"/>
      <c r="G393" s="5"/>
      <c r="H393" s="5"/>
      <c r="I393" s="5"/>
      <c r="J393" s="5"/>
      <c r="K393" s="14"/>
    </row>
    <row r="394" spans="2:11">
      <c r="B394" s="42">
        <v>302</v>
      </c>
      <c r="C394" s="21" t="s">
        <v>221</v>
      </c>
      <c r="D394" s="22" t="s">
        <v>439</v>
      </c>
      <c r="E394" s="5"/>
      <c r="F394" s="5"/>
      <c r="G394" s="5"/>
      <c r="H394" s="5"/>
      <c r="I394" s="5"/>
      <c r="J394" s="5"/>
      <c r="K394" s="14"/>
    </row>
    <row r="395" spans="2:11">
      <c r="B395" s="42">
        <v>301</v>
      </c>
      <c r="C395" s="21" t="s">
        <v>220</v>
      </c>
      <c r="D395" s="327" t="s">
        <v>335</v>
      </c>
      <c r="E395" s="323" t="s">
        <v>870</v>
      </c>
      <c r="F395" s="323"/>
      <c r="G395" s="387" t="s">
        <v>27</v>
      </c>
      <c r="H395" s="5"/>
      <c r="I395" s="5"/>
      <c r="J395" s="5"/>
      <c r="K395" s="14"/>
    </row>
    <row r="396" spans="2:11">
      <c r="B396" s="42">
        <v>304</v>
      </c>
      <c r="C396" s="21" t="s">
        <v>223</v>
      </c>
      <c r="D396" s="327" t="s">
        <v>463</v>
      </c>
      <c r="E396" s="323" t="s">
        <v>870</v>
      </c>
      <c r="F396" s="5"/>
      <c r="G396" s="323" t="s">
        <v>1037</v>
      </c>
      <c r="H396" s="5"/>
      <c r="I396" s="5"/>
      <c r="J396" s="5"/>
      <c r="K396" s="14"/>
    </row>
    <row r="397" spans="2:11">
      <c r="B397" s="42">
        <v>294</v>
      </c>
      <c r="C397" s="21" t="s">
        <v>213</v>
      </c>
      <c r="D397" s="327" t="s">
        <v>462</v>
      </c>
      <c r="E397" s="323" t="s">
        <v>870</v>
      </c>
      <c r="F397" s="5"/>
      <c r="G397" s="323" t="s">
        <v>1038</v>
      </c>
      <c r="H397" s="5"/>
      <c r="I397" s="5"/>
      <c r="J397" s="5"/>
      <c r="K397" s="14"/>
    </row>
    <row r="398" spans="2:11">
      <c r="B398" s="42">
        <v>232</v>
      </c>
      <c r="C398" s="21" t="s">
        <v>151</v>
      </c>
      <c r="D398" s="327" t="s">
        <v>450</v>
      </c>
      <c r="E398" s="323" t="s">
        <v>870</v>
      </c>
      <c r="F398" s="324"/>
      <c r="G398" s="324" t="s">
        <v>317</v>
      </c>
      <c r="H398" s="5"/>
      <c r="I398" s="5"/>
      <c r="J398" s="5"/>
      <c r="K398" s="14"/>
    </row>
    <row r="399" spans="2:11">
      <c r="B399" s="42">
        <v>233</v>
      </c>
      <c r="C399" s="21" t="s">
        <v>152</v>
      </c>
      <c r="D399" s="327" t="s">
        <v>437</v>
      </c>
      <c r="E399" s="323" t="s">
        <v>870</v>
      </c>
      <c r="F399" s="323"/>
      <c r="G399" s="387" t="s">
        <v>974</v>
      </c>
      <c r="H399" s="5"/>
      <c r="I399" s="5"/>
      <c r="J399" s="5"/>
      <c r="K399" s="14"/>
    </row>
    <row r="400" spans="2:11">
      <c r="B400" s="213">
        <v>282</v>
      </c>
      <c r="C400" s="214" t="s">
        <v>201</v>
      </c>
      <c r="D400" s="267" t="s">
        <v>454</v>
      </c>
      <c r="E400" s="199"/>
      <c r="F400" s="216"/>
      <c r="G400" s="216"/>
      <c r="H400" s="199"/>
      <c r="I400" s="216"/>
      <c r="J400" s="199"/>
      <c r="K400" s="200"/>
    </row>
    <row r="401" spans="2:11">
      <c r="B401" s="213">
        <v>283</v>
      </c>
      <c r="C401" s="214" t="s">
        <v>202</v>
      </c>
      <c r="D401" s="267" t="s">
        <v>454</v>
      </c>
      <c r="E401" s="199"/>
      <c r="F401" s="216"/>
      <c r="G401" s="216"/>
      <c r="H401" s="199"/>
      <c r="I401" s="216"/>
      <c r="J401" s="199"/>
      <c r="K401" s="200"/>
    </row>
    <row r="402" spans="2:11">
      <c r="B402" s="213">
        <v>284</v>
      </c>
      <c r="C402" s="214" t="s">
        <v>203</v>
      </c>
      <c r="D402" s="267" t="s">
        <v>454</v>
      </c>
      <c r="E402" s="199"/>
      <c r="F402" s="216"/>
      <c r="G402" s="216"/>
      <c r="H402" s="199"/>
      <c r="I402" s="216"/>
      <c r="J402" s="199"/>
      <c r="K402" s="200"/>
    </row>
    <row r="403" spans="2:11">
      <c r="B403" s="213">
        <v>285</v>
      </c>
      <c r="C403" s="214" t="s">
        <v>204</v>
      </c>
      <c r="D403" s="267" t="s">
        <v>454</v>
      </c>
      <c r="E403" s="199"/>
      <c r="F403" s="216"/>
      <c r="G403" s="216"/>
      <c r="H403" s="199"/>
      <c r="I403" s="216"/>
      <c r="J403" s="199"/>
      <c r="K403" s="200"/>
    </row>
    <row r="404" spans="2:11">
      <c r="B404" s="213">
        <v>335</v>
      </c>
      <c r="C404" s="214" t="s">
        <v>254</v>
      </c>
      <c r="D404" s="267" t="s">
        <v>454</v>
      </c>
      <c r="E404" s="199"/>
      <c r="F404" s="216"/>
      <c r="G404" s="216"/>
      <c r="H404" s="199"/>
      <c r="I404" s="216"/>
      <c r="J404" s="199"/>
      <c r="K404" s="200"/>
    </row>
    <row r="405" spans="2:11" ht="16.5" thickBot="1">
      <c r="B405" s="298">
        <v>99</v>
      </c>
      <c r="C405" s="299" t="s">
        <v>11</v>
      </c>
      <c r="D405" s="300" t="s">
        <v>454</v>
      </c>
      <c r="E405" s="290"/>
      <c r="F405" s="301"/>
      <c r="G405" s="301"/>
      <c r="H405" s="301"/>
      <c r="I405" s="301"/>
      <c r="J405" s="290"/>
      <c r="K405" s="291"/>
    </row>
  </sheetData>
  <sortState ref="B6:K405">
    <sortCondition ref="D6:D405"/>
  </sortState>
  <mergeCells count="11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</mergeCells>
  <conditionalFormatting sqref="J6:K405">
    <cfRule type="expression" dxfId="993" priority="188">
      <formula>MOD(ROW(),2)=0</formula>
    </cfRule>
  </conditionalFormatting>
  <conditionalFormatting sqref="F246:F247 F342 F117:F118 B6:D405 F396:G398 F399 F346:F372 F286:F311 F221:F222 F343:G345 F213:F218 F219:G220 F205:F210 F211:G212 F197:F202 F203:G204 F189:F194 F195:G196 F395 F377:G394 F316:G341 F244 F248:G248 F227:G243 F152 F405:I405 F249 F250:G285 F156 F157:G188 F376 F374 F375:G375 F373:G373 F315 F313 F314:G314 F312:G312 F226 F224 F225:G225 F223:G223 F126 F127:G151 F124 F125:G125 F155:G155 F121:F122 F123:G123 F120:G120 F6:G65 F400:G404 I6:I404 F74:G75 F66:F73 F84:G116 F76:F83">
    <cfRule type="expression" dxfId="992" priority="187">
      <formula>MOD(ROW(),2)=0</formula>
    </cfRule>
  </conditionalFormatting>
  <conditionalFormatting sqref="G117:G118">
    <cfRule type="expression" dxfId="991" priority="175">
      <formula>MOD(ROW(),2)=0</formula>
    </cfRule>
  </conditionalFormatting>
  <conditionalFormatting sqref="F153:F154">
    <cfRule type="expression" dxfId="990" priority="172">
      <formula>MOD(ROW(),2)=0</formula>
    </cfRule>
  </conditionalFormatting>
  <conditionalFormatting sqref="G121:G122">
    <cfRule type="expression" dxfId="989" priority="171">
      <formula>MOD(ROW(),2)=0</formula>
    </cfRule>
  </conditionalFormatting>
  <conditionalFormatting sqref="G310:G311">
    <cfRule type="expression" dxfId="988" priority="169">
      <formula>MOD(ROW(),2)=0</formula>
    </cfRule>
  </conditionalFormatting>
  <conditionalFormatting sqref="G371:G372">
    <cfRule type="expression" dxfId="987" priority="168">
      <formula>MOD(ROW(),2)=0</formula>
    </cfRule>
  </conditionalFormatting>
  <conditionalFormatting sqref="G313">
    <cfRule type="expression" dxfId="986" priority="161">
      <formula>MOD(ROW(),2)=0</formula>
    </cfRule>
  </conditionalFormatting>
  <conditionalFormatting sqref="G315">
    <cfRule type="expression" dxfId="985" priority="160">
      <formula>MOD(ROW(),2)=0</formula>
    </cfRule>
  </conditionalFormatting>
  <conditionalFormatting sqref="G374">
    <cfRule type="expression" dxfId="984" priority="159">
      <formula>MOD(ROW(),2)=0</formula>
    </cfRule>
  </conditionalFormatting>
  <conditionalFormatting sqref="G376">
    <cfRule type="expression" dxfId="983" priority="158">
      <formula>MOD(ROW(),2)=0</formula>
    </cfRule>
  </conditionalFormatting>
  <conditionalFormatting sqref="F119:G119">
    <cfRule type="expression" dxfId="982" priority="153">
      <formula>MOD(ROW(),2)=0</formula>
    </cfRule>
  </conditionalFormatting>
  <conditionalFormatting sqref="G244">
    <cfRule type="expression" dxfId="981" priority="151">
      <formula>MOD(ROW(),2)=0</formula>
    </cfRule>
  </conditionalFormatting>
  <conditionalFormatting sqref="F245">
    <cfRule type="expression" dxfId="980" priority="150">
      <formula>MOD(ROW(),2)=0</formula>
    </cfRule>
  </conditionalFormatting>
  <conditionalFormatting sqref="G346">
    <cfRule type="expression" dxfId="979" priority="98">
      <formula>MOD(ROW(),2)=0</formula>
    </cfRule>
  </conditionalFormatting>
  <conditionalFormatting sqref="G399">
    <cfRule type="expression" dxfId="978" priority="97">
      <formula>MOD(ROW(),2)=0</formula>
    </cfRule>
  </conditionalFormatting>
  <conditionalFormatting sqref="G342">
    <cfRule type="expression" dxfId="977" priority="102">
      <formula>MOD(ROW(),2)=0</formula>
    </cfRule>
  </conditionalFormatting>
  <conditionalFormatting sqref="G395">
    <cfRule type="expression" dxfId="976" priority="101">
      <formula>MOD(ROW(),2)=0</formula>
    </cfRule>
  </conditionalFormatting>
  <conditionalFormatting sqref="E90 E88 E6:E85 E92:E116 E120:E152 E398:E405 E343:E395 E155:E244 E248:E341">
    <cfRule type="expression" dxfId="975" priority="94">
      <formula>MOD(ROW(),2)=0</formula>
    </cfRule>
  </conditionalFormatting>
  <conditionalFormatting sqref="E153:E154">
    <cfRule type="expression" dxfId="974" priority="89">
      <formula>MOD(ROW(),2)=0</formula>
    </cfRule>
  </conditionalFormatting>
  <conditionalFormatting sqref="H64:H65 H44:H45 H24:H25 H84:H285 H310:H404">
    <cfRule type="expression" dxfId="973" priority="83">
      <formula>MOD(ROW(),2)=0</formula>
    </cfRule>
  </conditionalFormatting>
  <conditionalFormatting sqref="H6:H23">
    <cfRule type="expression" dxfId="972" priority="79">
      <formula>MOD(ROW(),2)=0</formula>
    </cfRule>
  </conditionalFormatting>
  <conditionalFormatting sqref="H286:H309">
    <cfRule type="expression" dxfId="971" priority="76">
      <formula>MOD(ROW(),2)=0</formula>
    </cfRule>
  </conditionalFormatting>
  <conditionalFormatting sqref="H26:H43">
    <cfRule type="expression" dxfId="970" priority="75">
      <formula>MOD(ROW(),2)=0</formula>
    </cfRule>
  </conditionalFormatting>
  <conditionalFormatting sqref="H46">
    <cfRule type="expression" dxfId="969" priority="74">
      <formula>MOD(ROW(),2)=0</formula>
    </cfRule>
  </conditionalFormatting>
  <conditionalFormatting sqref="H47:H63">
    <cfRule type="expression" dxfId="968" priority="73">
      <formula>MOD(ROW(),2)=0</formula>
    </cfRule>
  </conditionalFormatting>
  <conditionalFormatting sqref="H66:H83">
    <cfRule type="expression" dxfId="967" priority="72">
      <formula>MOD(ROW(),2)=0</formula>
    </cfRule>
  </conditionalFormatting>
  <conditionalFormatting sqref="G72:G73">
    <cfRule type="expression" dxfId="966" priority="70">
      <formula>MOD(ROW(),2)=0</formula>
    </cfRule>
  </conditionalFormatting>
  <conditionalFormatting sqref="G70:G71">
    <cfRule type="expression" dxfId="965" priority="69">
      <formula>MOD(ROW(),2)=0</formula>
    </cfRule>
  </conditionalFormatting>
  <conditionalFormatting sqref="G68:G69">
    <cfRule type="expression" dxfId="964" priority="68">
      <formula>MOD(ROW(),2)=0</formula>
    </cfRule>
  </conditionalFormatting>
  <conditionalFormatting sqref="G66:G67">
    <cfRule type="expression" dxfId="963" priority="67">
      <formula>MOD(ROW(),2)=0</formula>
    </cfRule>
  </conditionalFormatting>
  <conditionalFormatting sqref="G82:G83">
    <cfRule type="expression" dxfId="962" priority="66">
      <formula>MOD(ROW(),2)=0</formula>
    </cfRule>
  </conditionalFormatting>
  <conditionalFormatting sqref="G80:G81">
    <cfRule type="expression" dxfId="961" priority="65">
      <formula>MOD(ROW(),2)=0</formula>
    </cfRule>
  </conditionalFormatting>
  <conditionalFormatting sqref="G78:G79">
    <cfRule type="expression" dxfId="960" priority="64">
      <formula>MOD(ROW(),2)=0</formula>
    </cfRule>
  </conditionalFormatting>
  <conditionalFormatting sqref="G76:G77">
    <cfRule type="expression" dxfId="959" priority="63">
      <formula>MOD(ROW(),2)=0</formula>
    </cfRule>
  </conditionalFormatting>
  <conditionalFormatting sqref="G193:G194">
    <cfRule type="expression" dxfId="958" priority="62">
      <formula>MOD(ROW(),2)=0</formula>
    </cfRule>
  </conditionalFormatting>
  <conditionalFormatting sqref="G191:G192">
    <cfRule type="expression" dxfId="957" priority="61">
      <formula>MOD(ROW(),2)=0</formula>
    </cfRule>
  </conditionalFormatting>
  <conditionalFormatting sqref="G189:G190">
    <cfRule type="expression" dxfId="956" priority="60">
      <formula>MOD(ROW(),2)=0</formula>
    </cfRule>
  </conditionalFormatting>
  <conditionalFormatting sqref="G201:G202">
    <cfRule type="expression" dxfId="955" priority="59">
      <formula>MOD(ROW(),2)=0</formula>
    </cfRule>
  </conditionalFormatting>
  <conditionalFormatting sqref="G199:G200">
    <cfRule type="expression" dxfId="954" priority="58">
      <formula>MOD(ROW(),2)=0</formula>
    </cfRule>
  </conditionalFormatting>
  <conditionalFormatting sqref="G197:G198">
    <cfRule type="expression" dxfId="953" priority="57">
      <formula>MOD(ROW(),2)=0</formula>
    </cfRule>
  </conditionalFormatting>
  <conditionalFormatting sqref="G209:G210">
    <cfRule type="expression" dxfId="952" priority="56">
      <formula>MOD(ROW(),2)=0</formula>
    </cfRule>
  </conditionalFormatting>
  <conditionalFormatting sqref="G207:G208">
    <cfRule type="expression" dxfId="951" priority="55">
      <formula>MOD(ROW(),2)=0</formula>
    </cfRule>
  </conditionalFormatting>
  <conditionalFormatting sqref="G205:G206">
    <cfRule type="expression" dxfId="950" priority="54">
      <formula>MOD(ROW(),2)=0</formula>
    </cfRule>
  </conditionalFormatting>
  <conditionalFormatting sqref="G217:G218">
    <cfRule type="expression" dxfId="949" priority="53">
      <formula>MOD(ROW(),2)=0</formula>
    </cfRule>
  </conditionalFormatting>
  <conditionalFormatting sqref="G215:G216">
    <cfRule type="expression" dxfId="948" priority="52">
      <formula>MOD(ROW(),2)=0</formula>
    </cfRule>
  </conditionalFormatting>
  <conditionalFormatting sqref="G213:G214">
    <cfRule type="expression" dxfId="947" priority="51">
      <formula>MOD(ROW(),2)=0</formula>
    </cfRule>
  </conditionalFormatting>
  <conditionalFormatting sqref="G290:G291">
    <cfRule type="expression" dxfId="946" priority="50">
      <formula>MOD(ROW(),2)=0</formula>
    </cfRule>
  </conditionalFormatting>
  <conditionalFormatting sqref="G288:G289">
    <cfRule type="expression" dxfId="945" priority="49">
      <formula>MOD(ROW(),2)=0</formula>
    </cfRule>
  </conditionalFormatting>
  <conditionalFormatting sqref="G286:G287">
    <cfRule type="expression" dxfId="944" priority="48">
      <formula>MOD(ROW(),2)=0</formula>
    </cfRule>
  </conditionalFormatting>
  <conditionalFormatting sqref="G296:G297">
    <cfRule type="expression" dxfId="943" priority="47">
      <formula>MOD(ROW(),2)=0</formula>
    </cfRule>
  </conditionalFormatting>
  <conditionalFormatting sqref="G294:G295">
    <cfRule type="expression" dxfId="942" priority="46">
      <formula>MOD(ROW(),2)=0</formula>
    </cfRule>
  </conditionalFormatting>
  <conditionalFormatting sqref="G292:G293">
    <cfRule type="expression" dxfId="941" priority="45">
      <formula>MOD(ROW(),2)=0</formula>
    </cfRule>
  </conditionalFormatting>
  <conditionalFormatting sqref="G302:G303">
    <cfRule type="expression" dxfId="940" priority="44">
      <formula>MOD(ROW(),2)=0</formula>
    </cfRule>
  </conditionalFormatting>
  <conditionalFormatting sqref="G300:G301">
    <cfRule type="expression" dxfId="939" priority="43">
      <formula>MOD(ROW(),2)=0</formula>
    </cfRule>
  </conditionalFormatting>
  <conditionalFormatting sqref="G298:G299">
    <cfRule type="expression" dxfId="938" priority="42">
      <formula>MOD(ROW(),2)=0</formula>
    </cfRule>
  </conditionalFormatting>
  <conditionalFormatting sqref="G308:G309">
    <cfRule type="expression" dxfId="937" priority="41">
      <formula>MOD(ROW(),2)=0</formula>
    </cfRule>
  </conditionalFormatting>
  <conditionalFormatting sqref="G306:G307">
    <cfRule type="expression" dxfId="936" priority="40">
      <formula>MOD(ROW(),2)=0</formula>
    </cfRule>
  </conditionalFormatting>
  <conditionalFormatting sqref="G304:G305">
    <cfRule type="expression" dxfId="935" priority="39">
      <formula>MOD(ROW(),2)=0</formula>
    </cfRule>
  </conditionalFormatting>
  <conditionalFormatting sqref="G351:G352">
    <cfRule type="expression" dxfId="934" priority="38">
      <formula>MOD(ROW(),2)=0</formula>
    </cfRule>
  </conditionalFormatting>
  <conditionalFormatting sqref="G349:G350">
    <cfRule type="expression" dxfId="933" priority="37">
      <formula>MOD(ROW(),2)=0</formula>
    </cfRule>
  </conditionalFormatting>
  <conditionalFormatting sqref="G347:G348">
    <cfRule type="expression" dxfId="932" priority="36">
      <formula>MOD(ROW(),2)=0</formula>
    </cfRule>
  </conditionalFormatting>
  <conditionalFormatting sqref="G357:G358">
    <cfRule type="expression" dxfId="931" priority="35">
      <formula>MOD(ROW(),2)=0</formula>
    </cfRule>
  </conditionalFormatting>
  <conditionalFormatting sqref="G355:G356">
    <cfRule type="expression" dxfId="930" priority="34">
      <formula>MOD(ROW(),2)=0</formula>
    </cfRule>
  </conditionalFormatting>
  <conditionalFormatting sqref="G353:G354">
    <cfRule type="expression" dxfId="929" priority="33">
      <formula>MOD(ROW(),2)=0</formula>
    </cfRule>
  </conditionalFormatting>
  <conditionalFormatting sqref="G363:G364">
    <cfRule type="expression" dxfId="928" priority="32">
      <formula>MOD(ROW(),2)=0</formula>
    </cfRule>
  </conditionalFormatting>
  <conditionalFormatting sqref="G361:G362">
    <cfRule type="expression" dxfId="927" priority="31">
      <formula>MOD(ROW(),2)=0</formula>
    </cfRule>
  </conditionalFormatting>
  <conditionalFormatting sqref="G359:G360">
    <cfRule type="expression" dxfId="926" priority="30">
      <formula>MOD(ROW(),2)=0</formula>
    </cfRule>
  </conditionalFormatting>
  <conditionalFormatting sqref="G369:G370">
    <cfRule type="expression" dxfId="925" priority="29">
      <formula>MOD(ROW(),2)=0</formula>
    </cfRule>
  </conditionalFormatting>
  <conditionalFormatting sqref="G367:G368">
    <cfRule type="expression" dxfId="924" priority="28">
      <formula>MOD(ROW(),2)=0</formula>
    </cfRule>
  </conditionalFormatting>
  <conditionalFormatting sqref="G365:G366">
    <cfRule type="expression" dxfId="923" priority="27">
      <formula>MOD(ROW(),2)=0</formula>
    </cfRule>
  </conditionalFormatting>
  <conditionalFormatting sqref="G153:G154">
    <cfRule type="expression" dxfId="922" priority="26">
      <formula>MOD(ROW(),2)=0</formula>
    </cfRule>
  </conditionalFormatting>
  <conditionalFormatting sqref="G156">
    <cfRule type="expression" dxfId="921" priority="25">
      <formula>MOD(ROW(),2)=0</formula>
    </cfRule>
  </conditionalFormatting>
  <conditionalFormatting sqref="G152">
    <cfRule type="expression" dxfId="920" priority="24">
      <formula>MOD(ROW(),2)=0</formula>
    </cfRule>
  </conditionalFormatting>
  <conditionalFormatting sqref="G124">
    <cfRule type="expression" dxfId="919" priority="23">
      <formula>MOD(ROW(),2)=0</formula>
    </cfRule>
  </conditionalFormatting>
  <conditionalFormatting sqref="G126">
    <cfRule type="expression" dxfId="918" priority="22">
      <formula>MOD(ROW(),2)=0</formula>
    </cfRule>
  </conditionalFormatting>
  <conditionalFormatting sqref="E86">
    <cfRule type="expression" dxfId="917" priority="20">
      <formula>MOD(ROW(),2)=0</formula>
    </cfRule>
  </conditionalFormatting>
  <conditionalFormatting sqref="E87">
    <cfRule type="expression" dxfId="916" priority="19">
      <formula>MOD(ROW(),2)=0</formula>
    </cfRule>
  </conditionalFormatting>
  <conditionalFormatting sqref="E89">
    <cfRule type="expression" dxfId="915" priority="18">
      <formula>MOD(ROW(),2)=0</formula>
    </cfRule>
  </conditionalFormatting>
  <conditionalFormatting sqref="E91">
    <cfRule type="expression" dxfId="914" priority="17">
      <formula>MOD(ROW(),2)=0</formula>
    </cfRule>
  </conditionalFormatting>
  <conditionalFormatting sqref="E117">
    <cfRule type="expression" dxfId="913" priority="15">
      <formula>MOD(ROW(),2)=0</formula>
    </cfRule>
  </conditionalFormatting>
  <conditionalFormatting sqref="E118">
    <cfRule type="expression" dxfId="912" priority="14">
      <formula>MOD(ROW(),2)=0</formula>
    </cfRule>
  </conditionalFormatting>
  <conditionalFormatting sqref="E119">
    <cfRule type="expression" dxfId="911" priority="13">
      <formula>MOD(ROW(),2)=0</formula>
    </cfRule>
  </conditionalFormatting>
  <conditionalFormatting sqref="G246:G247">
    <cfRule type="expression" dxfId="910" priority="12">
      <formula>MOD(ROW(),2)=0</formula>
    </cfRule>
  </conditionalFormatting>
  <conditionalFormatting sqref="G249">
    <cfRule type="expression" dxfId="909" priority="11">
      <formula>MOD(ROW(),2)=0</formula>
    </cfRule>
  </conditionalFormatting>
  <conditionalFormatting sqref="G245">
    <cfRule type="expression" dxfId="908" priority="10">
      <formula>MOD(ROW(),2)=0</formula>
    </cfRule>
  </conditionalFormatting>
  <conditionalFormatting sqref="G224">
    <cfRule type="expression" dxfId="907" priority="9">
      <formula>MOD(ROW(),2)=0</formula>
    </cfRule>
  </conditionalFormatting>
  <conditionalFormatting sqref="G226">
    <cfRule type="expression" dxfId="906" priority="8">
      <formula>MOD(ROW(),2)=0</formula>
    </cfRule>
  </conditionalFormatting>
  <conditionalFormatting sqref="G221:G222">
    <cfRule type="expression" dxfId="905" priority="7">
      <formula>MOD(ROW(),2)=0</formula>
    </cfRule>
  </conditionalFormatting>
  <conditionalFormatting sqref="E342">
    <cfRule type="expression" dxfId="904" priority="6">
      <formula>MOD(ROW(),2)=0</formula>
    </cfRule>
  </conditionalFormatting>
  <conditionalFormatting sqref="E396">
    <cfRule type="expression" dxfId="903" priority="5">
      <formula>MOD(ROW(),2)=0</formula>
    </cfRule>
  </conditionalFormatting>
  <conditionalFormatting sqref="E397">
    <cfRule type="expression" dxfId="902" priority="4">
      <formula>MOD(ROW(),2)=0</formula>
    </cfRule>
  </conditionalFormatting>
  <conditionalFormatting sqref="E245">
    <cfRule type="expression" dxfId="901" priority="3">
      <formula>MOD(ROW(),2)=0</formula>
    </cfRule>
  </conditionalFormatting>
  <conditionalFormatting sqref="E247">
    <cfRule type="expression" dxfId="900" priority="2">
      <formula>MOD(ROW(),2)=0</formula>
    </cfRule>
  </conditionalFormatting>
  <conditionalFormatting sqref="E246">
    <cfRule type="expression" dxfId="899" priority="1">
      <formula>MOD(ROW(),2)=0</formula>
    </cfRule>
  </conditionalFormatting>
  <hyperlinks>
    <hyperlink ref="AL17" location="'0'!A1" tooltip="X stave 0, Front" display="'0'!A1"/>
    <hyperlink ref="AJ17" location="'1'!A1" tooltip="X stave 1, Back" display="'1'!A1"/>
    <hyperlink ref="AH17" location="'2'!A1" tooltip="Stereo stave 0, Back" display="'2'!A1"/>
    <hyperlink ref="AF17" location="'3'!A1" tooltip="Stereo stave 0, Front" display="'3'!A1"/>
    <hyperlink ref="AD17" location="'4'!A1" tooltip="X stave 1, Front" display="'4'!A1"/>
    <hyperlink ref="AB17" location="'5'!A1" tooltip="X stave 1, Back" display="'5'!A1"/>
    <hyperlink ref="Z17" location="'6'!A1" tooltip="Stereo stave 1, Back" display="'6'!A1"/>
    <hyperlink ref="X17" location="'7'!A1" tooltip="Stereo stave 1, Front" display="'7'!A1"/>
    <hyperlink ref="V17" location="'8'!A1" tooltip="X stave 2, Front" display="'8'!A1"/>
    <hyperlink ref="T17" location="'9'!A1" tooltip="X stave 2, Back" display="'9'!A1"/>
    <hyperlink ref="R17" location="'10'!A1" tooltip="Stereo stave 2, Back" display="'10'!A1"/>
    <hyperlink ref="P17" location="'11'!A1" tooltip="Stereo stave 2, Front" display="'11'!A1"/>
    <hyperlink ref="AL18" location="'0'!A1" tooltip="X stave 0, Front" display="'0'!A1"/>
    <hyperlink ref="AJ18" location="'1'!A1" tooltip="X stave 1, Back" display="'1'!A1"/>
    <hyperlink ref="AH18" location="'2'!A1" tooltip="Stereo stave 0, Back" display="'2'!A1"/>
    <hyperlink ref="AF18" location="'3'!A1" tooltip="Stereo stave 0, Front" display="'3'!A1"/>
    <hyperlink ref="AD18" location="'4'!A1" tooltip="X stave 1, Front" display="'4'!A1"/>
    <hyperlink ref="AB18" location="'5'!A1" tooltip="X stave 1, Back" display="'5'!A1"/>
    <hyperlink ref="Z18" location="'6'!A1" tooltip="Stereo stave 1, Back" display="'6'!A1"/>
    <hyperlink ref="X18" location="'7'!A1" tooltip="Stereo stave 1, Front" display="'7'!A1"/>
    <hyperlink ref="V18" location="'8'!A1" tooltip="X stave 2, Front" display="'8'!A1"/>
    <hyperlink ref="T18" location="'9'!A1" tooltip="X stave 2, Back" display="'9'!A1"/>
    <hyperlink ref="R18" location="'10'!A1" tooltip="Stereo stave 2, Back" display="'10'!A1"/>
    <hyperlink ref="P18" location="'11'!A1" tooltip="Stereo stave 2, Front" display="'11'!A1"/>
  </hyperlinks>
  <pageMargins left="0.75" right="0.75" top="1" bottom="1" header="0.5" footer="0.5"/>
  <pageSetup orientation="portrait" horizontalDpi="4294967292" verticalDpi="4294967292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AV405"/>
  <sheetViews>
    <sheetView zoomScale="85" zoomScaleNormal="85" workbookViewId="0">
      <selection activeCell="AF18" sqref="AF18"/>
    </sheetView>
  </sheetViews>
  <sheetFormatPr defaultColWidth="11" defaultRowHeight="15.75"/>
  <cols>
    <col min="1" max="1" width="2.875" style="3" customWidth="1"/>
    <col min="2" max="2" width="6.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75" style="1" customWidth="1"/>
    <col min="7" max="7" width="7.875" style="1" bestFit="1" customWidth="1"/>
    <col min="8" max="10" width="7.875" style="1" customWidth="1"/>
    <col min="11" max="11" width="7.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5" thickBot="1"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/>
    </row>
    <row r="2" spans="2:44" s="4" customFormat="1" ht="16.5" customHeight="1">
      <c r="D2" s="43" t="s">
        <v>855</v>
      </c>
      <c r="E2" s="551" t="s">
        <v>955</v>
      </c>
      <c r="F2" s="551"/>
      <c r="G2" s="564" t="s">
        <v>831</v>
      </c>
      <c r="H2" s="552"/>
      <c r="I2" s="552"/>
      <c r="J2" s="40"/>
      <c r="L2" s="177"/>
      <c r="M2" s="178"/>
      <c r="N2" s="180"/>
      <c r="O2" s="179"/>
      <c r="P2" s="180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80"/>
      <c r="AM2" s="180"/>
      <c r="AN2" s="180"/>
      <c r="AO2" s="181"/>
      <c r="AP2" s="177"/>
      <c r="AQ2" s="182"/>
      <c r="AR2"/>
    </row>
    <row r="3" spans="2:44" s="1" customFormat="1">
      <c r="D3"/>
      <c r="E3" s="40"/>
      <c r="F3" s="40"/>
      <c r="G3" s="269"/>
      <c r="H3" s="40"/>
      <c r="I3" s="40"/>
      <c r="J3" s="40"/>
      <c r="L3" s="177"/>
      <c r="M3" s="183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5"/>
      <c r="AP3" s="177"/>
      <c r="AQ3" s="186"/>
      <c r="AR3"/>
    </row>
    <row r="4" spans="2:44" s="6" customFormat="1" ht="16.5" thickBot="1">
      <c r="B4" s="553" t="s">
        <v>722</v>
      </c>
      <c r="C4" s="554"/>
      <c r="D4" s="554"/>
      <c r="E4" s="554"/>
      <c r="F4" s="554"/>
      <c r="G4" s="565"/>
      <c r="H4" s="554"/>
      <c r="I4" s="554"/>
      <c r="J4" s="554"/>
      <c r="K4" s="555"/>
      <c r="L4" s="177"/>
      <c r="M4" s="187"/>
      <c r="N4" s="184"/>
      <c r="O4" s="184"/>
      <c r="P4" s="184"/>
      <c r="Q4" s="184"/>
      <c r="R4" s="16" t="s">
        <v>13</v>
      </c>
      <c r="S4" s="16"/>
      <c r="T4" s="16" t="s">
        <v>14</v>
      </c>
      <c r="U4" s="16"/>
      <c r="V4" s="16" t="s">
        <v>13</v>
      </c>
      <c r="W4" s="16"/>
      <c r="X4" s="16" t="s">
        <v>14</v>
      </c>
      <c r="Y4" s="16"/>
      <c r="Z4" s="16" t="s">
        <v>13</v>
      </c>
      <c r="AA4" s="16"/>
      <c r="AB4" s="16" t="s">
        <v>14</v>
      </c>
      <c r="AC4" s="16"/>
      <c r="AD4" s="16" t="s">
        <v>13</v>
      </c>
      <c r="AE4" s="16"/>
      <c r="AF4" s="16" t="s">
        <v>14</v>
      </c>
      <c r="AG4" s="16"/>
      <c r="AH4" s="16" t="s">
        <v>13</v>
      </c>
      <c r="AI4" s="16"/>
      <c r="AJ4" s="16" t="s">
        <v>14</v>
      </c>
      <c r="AK4" s="16"/>
      <c r="AL4" s="16" t="s">
        <v>13</v>
      </c>
      <c r="AM4" s="16"/>
      <c r="AN4" s="16" t="s">
        <v>14</v>
      </c>
      <c r="AO4" s="185"/>
      <c r="AP4" s="177"/>
      <c r="AQ4" s="182" t="s">
        <v>710</v>
      </c>
      <c r="AR4"/>
    </row>
    <row r="5" spans="2:44" s="12" customFormat="1" ht="32.25" thickBot="1">
      <c r="B5" s="41" t="s">
        <v>19</v>
      </c>
      <c r="C5" s="7" t="s">
        <v>442</v>
      </c>
      <c r="D5" s="8" t="s">
        <v>2</v>
      </c>
      <c r="E5" s="8" t="s">
        <v>1</v>
      </c>
      <c r="F5" s="9"/>
      <c r="G5" s="9" t="s">
        <v>953</v>
      </c>
      <c r="H5" s="10" t="s">
        <v>3</v>
      </c>
      <c r="I5" s="10"/>
      <c r="J5" s="10"/>
      <c r="K5" s="11"/>
      <c r="L5" s="177"/>
      <c r="M5" s="187"/>
      <c r="N5" s="184"/>
      <c r="O5" s="184"/>
      <c r="P5" s="184"/>
      <c r="Q5" s="188"/>
      <c r="R5" s="175">
        <v>5</v>
      </c>
      <c r="S5" s="175"/>
      <c r="T5" s="175">
        <v>5</v>
      </c>
      <c r="U5" s="175"/>
      <c r="V5" s="175">
        <v>4</v>
      </c>
      <c r="W5" s="175"/>
      <c r="X5" s="175">
        <v>4</v>
      </c>
      <c r="Y5" s="175"/>
      <c r="Z5" s="175">
        <v>3</v>
      </c>
      <c r="AA5" s="175"/>
      <c r="AB5" s="175">
        <v>3</v>
      </c>
      <c r="AC5" s="175"/>
      <c r="AD5" s="175">
        <v>2</v>
      </c>
      <c r="AE5" s="175"/>
      <c r="AF5" s="175">
        <v>2</v>
      </c>
      <c r="AG5" s="175"/>
      <c r="AH5" s="175">
        <v>1</v>
      </c>
      <c r="AI5" s="175"/>
      <c r="AJ5" s="175">
        <v>1</v>
      </c>
      <c r="AK5" s="175"/>
      <c r="AL5" s="175">
        <v>0</v>
      </c>
      <c r="AM5" s="175"/>
      <c r="AN5" s="175">
        <v>0</v>
      </c>
      <c r="AO5" s="185"/>
      <c r="AP5" s="177"/>
      <c r="AQ5" s="254" t="s">
        <v>711</v>
      </c>
      <c r="AR5"/>
    </row>
    <row r="6" spans="2:44">
      <c r="B6" s="42">
        <v>199</v>
      </c>
      <c r="C6" s="293" t="s">
        <v>118</v>
      </c>
      <c r="D6" s="294" t="s">
        <v>677</v>
      </c>
      <c r="E6" s="322" t="s">
        <v>871</v>
      </c>
      <c r="F6" s="322"/>
      <c r="G6" s="389" t="s">
        <v>985</v>
      </c>
      <c r="H6" s="383" t="s">
        <v>938</v>
      </c>
      <c r="I6" s="296"/>
      <c r="J6" s="296"/>
      <c r="K6" s="297"/>
      <c r="L6" s="177"/>
      <c r="M6" s="187"/>
      <c r="N6" s="184"/>
      <c r="O6" s="184"/>
      <c r="P6" s="184"/>
      <c r="Q6" s="184"/>
      <c r="R6" s="189"/>
      <c r="S6" s="184"/>
      <c r="T6" s="189"/>
      <c r="U6" s="184"/>
      <c r="V6" s="189"/>
      <c r="W6" s="184"/>
      <c r="X6" s="265"/>
      <c r="Y6" s="184"/>
      <c r="Z6" s="189"/>
      <c r="AA6" s="184"/>
      <c r="AB6" s="265"/>
      <c r="AC6" s="184"/>
      <c r="AD6" s="189"/>
      <c r="AE6" s="184"/>
      <c r="AF6" s="189"/>
      <c r="AG6" s="184"/>
      <c r="AH6" s="189"/>
      <c r="AI6" s="184"/>
      <c r="AJ6" s="189"/>
      <c r="AK6" s="184"/>
      <c r="AL6" s="189"/>
      <c r="AM6" s="184"/>
      <c r="AN6" s="189"/>
      <c r="AO6" s="185"/>
      <c r="AP6" s="177"/>
      <c r="AQ6" s="186"/>
      <c r="AR6"/>
    </row>
    <row r="7" spans="2:44" ht="16.5" thickBot="1">
      <c r="B7" s="42">
        <v>200</v>
      </c>
      <c r="C7" s="21" t="s">
        <v>119</v>
      </c>
      <c r="D7" s="22" t="s">
        <v>699</v>
      </c>
      <c r="E7" s="323" t="s">
        <v>871</v>
      </c>
      <c r="F7" s="323"/>
      <c r="G7" s="389" t="s">
        <v>986</v>
      </c>
      <c r="H7" s="312" t="s">
        <v>938</v>
      </c>
      <c r="I7" s="5"/>
      <c r="J7" s="5"/>
      <c r="K7" s="14"/>
      <c r="L7" s="177"/>
      <c r="M7" s="187"/>
      <c r="N7" s="184"/>
      <c r="O7" s="184"/>
      <c r="P7" s="184"/>
      <c r="Q7" s="184"/>
      <c r="R7" s="191"/>
      <c r="S7" s="184"/>
      <c r="T7" s="191"/>
      <c r="U7" s="184"/>
      <c r="V7" s="191"/>
      <c r="W7" s="184"/>
      <c r="X7" s="266"/>
      <c r="Y7" s="184"/>
      <c r="Z7" s="191"/>
      <c r="AA7" s="184"/>
      <c r="AB7" s="266"/>
      <c r="AC7" s="184"/>
      <c r="AD7" s="191"/>
      <c r="AE7" s="184"/>
      <c r="AF7" s="191"/>
      <c r="AG7" s="184"/>
      <c r="AH7" s="191"/>
      <c r="AI7" s="184"/>
      <c r="AJ7" s="191"/>
      <c r="AK7" s="184"/>
      <c r="AL7" s="191"/>
      <c r="AM7" s="184"/>
      <c r="AN7" s="191"/>
      <c r="AO7" s="185"/>
      <c r="AP7" s="177"/>
      <c r="AQ7" s="186"/>
      <c r="AR7"/>
    </row>
    <row r="8" spans="2:44" ht="16.5" thickBot="1">
      <c r="B8" s="42">
        <v>207</v>
      </c>
      <c r="C8" s="21" t="s">
        <v>126</v>
      </c>
      <c r="D8" s="22" t="s">
        <v>632</v>
      </c>
      <c r="E8" s="323" t="s">
        <v>871</v>
      </c>
      <c r="F8" s="323"/>
      <c r="G8" s="389" t="s">
        <v>983</v>
      </c>
      <c r="H8" s="312" t="s">
        <v>938</v>
      </c>
      <c r="I8" s="5"/>
      <c r="J8" s="5"/>
      <c r="K8" s="14"/>
      <c r="L8" s="177"/>
      <c r="M8" s="187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5"/>
      <c r="AP8" s="177"/>
      <c r="AQ8" s="186"/>
      <c r="AR8"/>
    </row>
    <row r="9" spans="2:44">
      <c r="B9" s="42">
        <v>208</v>
      </c>
      <c r="C9" s="21" t="s">
        <v>127</v>
      </c>
      <c r="D9" s="22" t="s">
        <v>655</v>
      </c>
      <c r="E9" s="323" t="s">
        <v>871</v>
      </c>
      <c r="F9" s="323"/>
      <c r="G9" s="389" t="s">
        <v>984</v>
      </c>
      <c r="H9" s="312" t="s">
        <v>938</v>
      </c>
      <c r="I9" s="5"/>
      <c r="J9" s="5"/>
      <c r="K9" s="14"/>
      <c r="L9" s="177"/>
      <c r="M9" s="187"/>
      <c r="N9" s="184"/>
      <c r="O9" s="184"/>
      <c r="P9" s="184"/>
      <c r="Q9" s="184"/>
      <c r="R9" s="189"/>
      <c r="S9" s="184"/>
      <c r="T9" s="189"/>
      <c r="U9" s="184"/>
      <c r="V9" s="189"/>
      <c r="W9" s="184"/>
      <c r="X9" s="265"/>
      <c r="Y9" s="184"/>
      <c r="Z9" s="189"/>
      <c r="AA9" s="184"/>
      <c r="AB9" s="265"/>
      <c r="AC9" s="184"/>
      <c r="AD9" s="189"/>
      <c r="AE9" s="184"/>
      <c r="AF9" s="189"/>
      <c r="AG9" s="184"/>
      <c r="AH9" s="189"/>
      <c r="AI9" s="184"/>
      <c r="AJ9" s="189"/>
      <c r="AK9" s="184"/>
      <c r="AL9" s="189"/>
      <c r="AM9" s="184"/>
      <c r="AN9" s="189"/>
      <c r="AO9" s="185"/>
      <c r="AP9" s="177"/>
      <c r="AQ9" s="186"/>
      <c r="AR9"/>
    </row>
    <row r="10" spans="2:44" ht="16.5" thickBot="1">
      <c r="B10" s="42">
        <v>228</v>
      </c>
      <c r="C10" s="21" t="s">
        <v>147</v>
      </c>
      <c r="D10" s="22" t="s">
        <v>657</v>
      </c>
      <c r="E10" s="323" t="s">
        <v>871</v>
      </c>
      <c r="F10" s="323"/>
      <c r="G10" s="389" t="s">
        <v>981</v>
      </c>
      <c r="H10" s="312" t="s">
        <v>938</v>
      </c>
      <c r="I10" s="5"/>
      <c r="J10" s="5"/>
      <c r="K10" s="14"/>
      <c r="L10" s="177"/>
      <c r="M10" s="187"/>
      <c r="N10" s="184"/>
      <c r="O10" s="184"/>
      <c r="P10" s="184"/>
      <c r="Q10" s="184"/>
      <c r="R10" s="191"/>
      <c r="S10" s="184"/>
      <c r="T10" s="191"/>
      <c r="U10" s="184"/>
      <c r="V10" s="191"/>
      <c r="W10" s="184"/>
      <c r="X10" s="266"/>
      <c r="Y10" s="184"/>
      <c r="Z10" s="191"/>
      <c r="AA10" s="184"/>
      <c r="AB10" s="266"/>
      <c r="AC10" s="184"/>
      <c r="AD10" s="191"/>
      <c r="AE10" s="184"/>
      <c r="AF10" s="191"/>
      <c r="AG10" s="184"/>
      <c r="AH10" s="191"/>
      <c r="AI10" s="184"/>
      <c r="AJ10" s="191"/>
      <c r="AK10" s="184"/>
      <c r="AL10" s="191"/>
      <c r="AM10" s="184"/>
      <c r="AN10" s="191"/>
      <c r="AO10" s="192"/>
      <c r="AP10" s="177"/>
      <c r="AQ10" s="186"/>
      <c r="AR10"/>
    </row>
    <row r="11" spans="2:44">
      <c r="B11" s="42">
        <v>227</v>
      </c>
      <c r="C11" s="21" t="s">
        <v>146</v>
      </c>
      <c r="D11" s="22" t="s">
        <v>634</v>
      </c>
      <c r="E11" s="323" t="s">
        <v>871</v>
      </c>
      <c r="F11" s="323"/>
      <c r="G11" s="389" t="s">
        <v>982</v>
      </c>
      <c r="H11" s="312" t="s">
        <v>938</v>
      </c>
      <c r="I11" s="5"/>
      <c r="J11" s="5"/>
      <c r="K11" s="14"/>
      <c r="L11" s="177"/>
      <c r="M11" s="187"/>
      <c r="N11" s="184"/>
      <c r="O11" s="184"/>
      <c r="P11" s="184"/>
      <c r="Q11" s="184"/>
      <c r="R11" s="556">
        <v>11</v>
      </c>
      <c r="S11" s="556"/>
      <c r="T11" s="556">
        <v>10</v>
      </c>
      <c r="U11" s="556"/>
      <c r="V11" s="184">
        <v>9</v>
      </c>
      <c r="W11" s="184"/>
      <c r="X11" s="184">
        <v>8</v>
      </c>
      <c r="Y11" s="184"/>
      <c r="Z11" s="184">
        <v>7</v>
      </c>
      <c r="AA11" s="184"/>
      <c r="AB11" s="184">
        <v>6</v>
      </c>
      <c r="AC11" s="184"/>
      <c r="AD11" s="184">
        <v>5</v>
      </c>
      <c r="AE11" s="184"/>
      <c r="AF11" s="184">
        <v>4</v>
      </c>
      <c r="AG11" s="184"/>
      <c r="AH11" s="249">
        <v>3</v>
      </c>
      <c r="AI11" s="249"/>
      <c r="AJ11" s="249">
        <v>2</v>
      </c>
      <c r="AK11" s="250"/>
      <c r="AL11" s="251">
        <v>1</v>
      </c>
      <c r="AM11" s="249"/>
      <c r="AN11" s="249">
        <v>0</v>
      </c>
      <c r="AO11" s="192"/>
      <c r="AP11" s="177"/>
      <c r="AQ11" s="186"/>
      <c r="AR11"/>
    </row>
    <row r="12" spans="2:44">
      <c r="B12" s="260">
        <v>189</v>
      </c>
      <c r="C12" s="261" t="s">
        <v>108</v>
      </c>
      <c r="D12" s="262" t="s">
        <v>676</v>
      </c>
      <c r="E12" s="325" t="s">
        <v>871</v>
      </c>
      <c r="F12" s="325"/>
      <c r="G12" s="386" t="s">
        <v>980</v>
      </c>
      <c r="H12" s="312" t="s">
        <v>938</v>
      </c>
      <c r="I12" s="212"/>
      <c r="J12" s="212"/>
      <c r="K12" s="263"/>
      <c r="L12" s="177"/>
      <c r="M12" s="187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92"/>
      <c r="AP12" s="193"/>
      <c r="AQ12" s="186"/>
      <c r="AR12"/>
    </row>
    <row r="13" spans="2:44">
      <c r="B13" s="260">
        <v>190</v>
      </c>
      <c r="C13" s="261" t="s">
        <v>109</v>
      </c>
      <c r="D13" s="262" t="s">
        <v>698</v>
      </c>
      <c r="E13" s="325" t="s">
        <v>871</v>
      </c>
      <c r="F13" s="325"/>
      <c r="G13" s="386" t="s">
        <v>4</v>
      </c>
      <c r="H13" s="312" t="s">
        <v>938</v>
      </c>
      <c r="I13" s="212"/>
      <c r="J13" s="212"/>
      <c r="K13" s="263"/>
      <c r="L13" s="177"/>
      <c r="M13" s="187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92"/>
      <c r="AP13" s="193"/>
      <c r="AQ13" s="186"/>
      <c r="AR13"/>
    </row>
    <row r="14" spans="2:44">
      <c r="B14" s="260">
        <v>179</v>
      </c>
      <c r="C14" s="261" t="s">
        <v>98</v>
      </c>
      <c r="D14" s="262" t="s">
        <v>675</v>
      </c>
      <c r="E14" s="325" t="s">
        <v>871</v>
      </c>
      <c r="F14" s="325"/>
      <c r="G14" s="325" t="s">
        <v>1020</v>
      </c>
      <c r="H14" s="312" t="s">
        <v>938</v>
      </c>
      <c r="I14" s="212"/>
      <c r="J14" s="212"/>
      <c r="K14" s="263"/>
      <c r="L14" s="177"/>
      <c r="M14" s="187"/>
      <c r="N14" s="184"/>
      <c r="O14" s="184"/>
      <c r="P14" s="16" t="s">
        <v>13</v>
      </c>
      <c r="Q14" s="16"/>
      <c r="R14" s="16" t="s">
        <v>13</v>
      </c>
      <c r="S14" s="16"/>
      <c r="T14" s="16" t="s">
        <v>14</v>
      </c>
      <c r="U14" s="16"/>
      <c r="V14" s="16" t="s">
        <v>14</v>
      </c>
      <c r="W14" s="16"/>
      <c r="X14" s="16" t="s">
        <v>13</v>
      </c>
      <c r="Y14" s="16"/>
      <c r="Z14" s="16" t="s">
        <v>13</v>
      </c>
      <c r="AA14" s="16"/>
      <c r="AB14" s="16" t="s">
        <v>14</v>
      </c>
      <c r="AC14" s="16"/>
      <c r="AD14" s="16" t="s">
        <v>14</v>
      </c>
      <c r="AE14" s="16"/>
      <c r="AF14" s="16" t="s">
        <v>13</v>
      </c>
      <c r="AG14" s="16"/>
      <c r="AH14" s="16" t="s">
        <v>13</v>
      </c>
      <c r="AI14" s="16"/>
      <c r="AJ14" s="16" t="s">
        <v>14</v>
      </c>
      <c r="AK14" s="16"/>
      <c r="AL14" s="16" t="s">
        <v>14</v>
      </c>
      <c r="AM14" s="184"/>
      <c r="AN14" s="184"/>
      <c r="AO14" s="192"/>
      <c r="AP14" s="193"/>
      <c r="AQ14" s="182" t="s">
        <v>710</v>
      </c>
      <c r="AR14"/>
    </row>
    <row r="15" spans="2:44">
      <c r="B15" s="260">
        <v>180</v>
      </c>
      <c r="C15" s="261" t="s">
        <v>99</v>
      </c>
      <c r="D15" s="262" t="s">
        <v>697</v>
      </c>
      <c r="E15" s="325" t="s">
        <v>871</v>
      </c>
      <c r="F15" s="325"/>
      <c r="G15" s="325" t="s">
        <v>1021</v>
      </c>
      <c r="H15" s="312" t="s">
        <v>938</v>
      </c>
      <c r="I15" s="212"/>
      <c r="J15" s="212"/>
      <c r="K15" s="263"/>
      <c r="L15" s="177"/>
      <c r="M15" s="187"/>
      <c r="N15" s="184"/>
      <c r="O15" s="184"/>
      <c r="P15" s="16">
        <v>2</v>
      </c>
      <c r="Q15" s="16"/>
      <c r="R15" s="16">
        <v>2</v>
      </c>
      <c r="S15" s="16"/>
      <c r="T15" s="16">
        <v>2</v>
      </c>
      <c r="U15" s="16"/>
      <c r="V15" s="16">
        <v>2</v>
      </c>
      <c r="W15" s="16"/>
      <c r="X15" s="16">
        <v>1</v>
      </c>
      <c r="Y15" s="16"/>
      <c r="Z15" s="16">
        <v>1</v>
      </c>
      <c r="AA15" s="16"/>
      <c r="AB15" s="16">
        <v>1</v>
      </c>
      <c r="AC15" s="16"/>
      <c r="AD15" s="16">
        <v>1</v>
      </c>
      <c r="AE15" s="16"/>
      <c r="AF15" s="16">
        <v>0</v>
      </c>
      <c r="AG15" s="16"/>
      <c r="AH15" s="16">
        <v>0</v>
      </c>
      <c r="AI15" s="16"/>
      <c r="AJ15" s="16">
        <v>0</v>
      </c>
      <c r="AK15" s="16"/>
      <c r="AL15" s="16">
        <v>0</v>
      </c>
      <c r="AM15" s="184"/>
      <c r="AN15" s="184"/>
      <c r="AO15" s="192"/>
      <c r="AP15" s="193"/>
      <c r="AQ15" s="182" t="s">
        <v>713</v>
      </c>
      <c r="AR15"/>
    </row>
    <row r="16" spans="2:44" ht="16.5" thickBot="1">
      <c r="B16" s="42">
        <v>197</v>
      </c>
      <c r="C16" s="21" t="s">
        <v>116</v>
      </c>
      <c r="D16" s="22" t="s">
        <v>631</v>
      </c>
      <c r="E16" s="323" t="s">
        <v>871</v>
      </c>
      <c r="F16" s="323"/>
      <c r="G16" s="389" t="s">
        <v>993</v>
      </c>
      <c r="H16" s="312" t="s">
        <v>938</v>
      </c>
      <c r="I16" s="5"/>
      <c r="J16" s="5"/>
      <c r="K16" s="14"/>
      <c r="L16" s="177"/>
      <c r="M16" s="187"/>
      <c r="N16" s="184"/>
      <c r="O16" s="184"/>
      <c r="P16" s="16" t="s">
        <v>17</v>
      </c>
      <c r="Q16" s="16"/>
      <c r="R16" s="16" t="s">
        <v>13</v>
      </c>
      <c r="S16" s="16"/>
      <c r="T16" s="16" t="s">
        <v>13</v>
      </c>
      <c r="U16" s="16"/>
      <c r="V16" s="16" t="s">
        <v>17</v>
      </c>
      <c r="W16" s="16"/>
      <c r="X16" s="16" t="s">
        <v>17</v>
      </c>
      <c r="Y16" s="16"/>
      <c r="Z16" s="16" t="s">
        <v>13</v>
      </c>
      <c r="AA16" s="16"/>
      <c r="AB16" s="16" t="s">
        <v>13</v>
      </c>
      <c r="AC16" s="16"/>
      <c r="AD16" s="16" t="s">
        <v>17</v>
      </c>
      <c r="AE16" s="16"/>
      <c r="AF16" s="16" t="s">
        <v>17</v>
      </c>
      <c r="AG16" s="16"/>
      <c r="AH16" s="16" t="s">
        <v>13</v>
      </c>
      <c r="AI16" s="16"/>
      <c r="AJ16" s="16" t="s">
        <v>13</v>
      </c>
      <c r="AK16" s="16"/>
      <c r="AL16" s="16" t="s">
        <v>17</v>
      </c>
      <c r="AM16" s="184"/>
      <c r="AN16" s="184"/>
      <c r="AO16" s="192"/>
      <c r="AP16" s="193"/>
      <c r="AQ16" s="182" t="s">
        <v>954</v>
      </c>
      <c r="AR16"/>
    </row>
    <row r="17" spans="2:44">
      <c r="B17" s="42">
        <v>198</v>
      </c>
      <c r="C17" s="21" t="s">
        <v>117</v>
      </c>
      <c r="D17" s="22" t="s">
        <v>654</v>
      </c>
      <c r="E17" s="323" t="s">
        <v>871</v>
      </c>
      <c r="F17" s="323"/>
      <c r="G17" s="389" t="s">
        <v>8</v>
      </c>
      <c r="H17" s="312" t="s">
        <v>938</v>
      </c>
      <c r="I17" s="5"/>
      <c r="J17" s="5"/>
      <c r="K17" s="14"/>
      <c r="L17" s="177"/>
      <c r="M17" s="187"/>
      <c r="N17" s="184"/>
      <c r="O17" s="16"/>
      <c r="P17" s="244">
        <v>11</v>
      </c>
      <c r="Q17" s="35"/>
      <c r="R17" s="244">
        <v>10</v>
      </c>
      <c r="S17" s="35"/>
      <c r="T17" s="244">
        <v>9</v>
      </c>
      <c r="U17" s="35"/>
      <c r="V17" s="244">
        <v>8</v>
      </c>
      <c r="W17" s="35"/>
      <c r="X17" s="244">
        <v>7</v>
      </c>
      <c r="Y17" s="35"/>
      <c r="Z17" s="244">
        <v>6</v>
      </c>
      <c r="AA17" s="35"/>
      <c r="AB17" s="244">
        <v>5</v>
      </c>
      <c r="AC17" s="35"/>
      <c r="AD17" s="255">
        <v>4</v>
      </c>
      <c r="AE17" s="35"/>
      <c r="AF17" s="244">
        <v>3</v>
      </c>
      <c r="AG17" s="35"/>
      <c r="AH17" s="244">
        <v>2</v>
      </c>
      <c r="AI17" s="35"/>
      <c r="AJ17" s="244">
        <v>1</v>
      </c>
      <c r="AK17" s="35"/>
      <c r="AL17" s="244">
        <v>0</v>
      </c>
      <c r="AM17" s="184"/>
      <c r="AN17" s="184"/>
      <c r="AO17" s="192"/>
      <c r="AP17" s="193"/>
      <c r="AQ17" s="182" t="s">
        <v>964</v>
      </c>
      <c r="AR17"/>
    </row>
    <row r="18" spans="2:44" s="1" customFormat="1" ht="16.5" thickBot="1">
      <c r="B18" s="42">
        <v>210</v>
      </c>
      <c r="C18" s="21" t="s">
        <v>129</v>
      </c>
      <c r="D18" s="22" t="s">
        <v>700</v>
      </c>
      <c r="E18" s="323" t="s">
        <v>871</v>
      </c>
      <c r="F18" s="323"/>
      <c r="G18" s="389" t="s">
        <v>991</v>
      </c>
      <c r="H18" s="312" t="s">
        <v>938</v>
      </c>
      <c r="I18" s="5"/>
      <c r="J18" s="5"/>
      <c r="K18" s="14"/>
      <c r="L18" s="177"/>
      <c r="M18" s="187"/>
      <c r="N18" s="184"/>
      <c r="O18" s="16"/>
      <c r="P18" s="246">
        <v>11</v>
      </c>
      <c r="Q18" s="35"/>
      <c r="R18" s="246">
        <v>10</v>
      </c>
      <c r="S18" s="35"/>
      <c r="T18" s="246">
        <v>9</v>
      </c>
      <c r="U18" s="35"/>
      <c r="V18" s="246">
        <v>8</v>
      </c>
      <c r="W18" s="35"/>
      <c r="X18" s="246">
        <v>7</v>
      </c>
      <c r="Y18" s="35"/>
      <c r="Z18" s="246">
        <v>6</v>
      </c>
      <c r="AA18" s="35"/>
      <c r="AB18" s="246">
        <v>5</v>
      </c>
      <c r="AC18" s="35"/>
      <c r="AD18" s="256">
        <v>4</v>
      </c>
      <c r="AE18" s="35"/>
      <c r="AF18" s="246">
        <v>3</v>
      </c>
      <c r="AG18" s="35"/>
      <c r="AH18" s="246">
        <v>2</v>
      </c>
      <c r="AI18" s="35"/>
      <c r="AJ18" s="246">
        <v>1</v>
      </c>
      <c r="AK18" s="35"/>
      <c r="AL18" s="246">
        <v>0</v>
      </c>
      <c r="AM18" s="184"/>
      <c r="AN18" s="184"/>
      <c r="AO18" s="192"/>
      <c r="AP18" s="193"/>
      <c r="AQ18" s="186"/>
      <c r="AR18"/>
    </row>
    <row r="19" spans="2:44" s="1" customFormat="1" ht="16.5" thickBot="1">
      <c r="B19" s="42">
        <v>209</v>
      </c>
      <c r="C19" s="21" t="s">
        <v>128</v>
      </c>
      <c r="D19" s="22" t="s">
        <v>678</v>
      </c>
      <c r="E19" s="323" t="s">
        <v>871</v>
      </c>
      <c r="F19" s="323"/>
      <c r="G19" s="389" t="s">
        <v>992</v>
      </c>
      <c r="H19" s="312" t="s">
        <v>938</v>
      </c>
      <c r="I19" s="5"/>
      <c r="J19" s="5"/>
      <c r="K19" s="14"/>
      <c r="L19" s="177"/>
      <c r="M19" s="194"/>
      <c r="N19" s="195"/>
      <c r="O19" s="195"/>
      <c r="P19" s="563">
        <v>11</v>
      </c>
      <c r="Q19" s="563"/>
      <c r="R19" s="563">
        <v>10</v>
      </c>
      <c r="S19" s="563"/>
      <c r="T19" s="195">
        <v>9</v>
      </c>
      <c r="U19" s="195"/>
      <c r="V19" s="195">
        <v>8</v>
      </c>
      <c r="W19" s="195"/>
      <c r="X19" s="195">
        <v>7</v>
      </c>
      <c r="Y19" s="195"/>
      <c r="Z19" s="195">
        <v>6</v>
      </c>
      <c r="AA19" s="195"/>
      <c r="AB19" s="195">
        <v>5</v>
      </c>
      <c r="AC19" s="195"/>
      <c r="AD19" s="195">
        <v>4</v>
      </c>
      <c r="AE19" s="195"/>
      <c r="AF19" s="195">
        <v>3</v>
      </c>
      <c r="AG19" s="195"/>
      <c r="AH19" s="195">
        <v>2</v>
      </c>
      <c r="AI19" s="195"/>
      <c r="AJ19" s="253">
        <v>1</v>
      </c>
      <c r="AK19" s="253"/>
      <c r="AL19" s="253">
        <v>0</v>
      </c>
      <c r="AM19" s="253"/>
      <c r="AN19" s="195"/>
      <c r="AO19" s="196"/>
      <c r="AP19" s="193"/>
      <c r="AQ19" s="186"/>
      <c r="AR19"/>
    </row>
    <row r="20" spans="2:44" s="1" customFormat="1">
      <c r="B20" s="42">
        <v>217</v>
      </c>
      <c r="C20" s="21" t="s">
        <v>136</v>
      </c>
      <c r="D20" s="22" t="s">
        <v>633</v>
      </c>
      <c r="E20" s="323" t="s">
        <v>871</v>
      </c>
      <c r="F20" s="323"/>
      <c r="G20" s="389" t="s">
        <v>989</v>
      </c>
      <c r="H20" s="312" t="s">
        <v>938</v>
      </c>
      <c r="I20" s="5"/>
      <c r="J20" s="5"/>
      <c r="K20" s="14"/>
      <c r="L20" s="558" t="s">
        <v>864</v>
      </c>
      <c r="M20" s="559"/>
      <c r="N20" s="559"/>
      <c r="O20" s="559"/>
      <c r="P20" s="559"/>
      <c r="Q20" s="559"/>
      <c r="R20" s="559"/>
      <c r="S20" s="559"/>
      <c r="T20" s="559"/>
      <c r="U20" s="559"/>
      <c r="V20" s="559"/>
      <c r="W20" s="559"/>
      <c r="X20" s="559"/>
      <c r="Y20" s="559"/>
      <c r="Z20" s="559"/>
      <c r="AA20" s="559"/>
      <c r="AB20" s="559"/>
      <c r="AC20" s="559"/>
      <c r="AD20" s="559"/>
      <c r="AE20" s="559"/>
      <c r="AF20" s="559"/>
      <c r="AG20" s="559"/>
      <c r="AH20" s="559"/>
      <c r="AI20" s="559"/>
      <c r="AJ20" s="559"/>
      <c r="AK20" s="559"/>
      <c r="AL20" s="559"/>
      <c r="AM20" s="559"/>
      <c r="AN20" s="559"/>
      <c r="AO20" s="559"/>
      <c r="AP20" s="559"/>
      <c r="AQ20" s="186"/>
      <c r="AR20"/>
    </row>
    <row r="21" spans="2:44" s="1" customFormat="1">
      <c r="B21" s="42">
        <v>218</v>
      </c>
      <c r="C21" s="21" t="s">
        <v>137</v>
      </c>
      <c r="D21" s="22" t="s">
        <v>656</v>
      </c>
      <c r="E21" s="323" t="s">
        <v>871</v>
      </c>
      <c r="F21" s="323"/>
      <c r="G21" s="389" t="s">
        <v>990</v>
      </c>
      <c r="H21" s="312" t="s">
        <v>938</v>
      </c>
      <c r="I21" s="5"/>
      <c r="J21" s="5"/>
      <c r="K21" s="14"/>
      <c r="L21" s="560" t="s">
        <v>721</v>
      </c>
      <c r="M21" s="561"/>
      <c r="N21" s="561"/>
      <c r="O21" s="561"/>
      <c r="P21" s="561"/>
      <c r="Q21" s="561"/>
      <c r="R21" s="561"/>
      <c r="S21" s="561"/>
      <c r="T21" s="561"/>
      <c r="U21" s="561"/>
      <c r="V21" s="561"/>
      <c r="W21" s="561"/>
      <c r="X21" s="561"/>
      <c r="Y21" s="561"/>
      <c r="Z21" s="561"/>
      <c r="AA21" s="561"/>
      <c r="AB21" s="561"/>
      <c r="AC21" s="561"/>
      <c r="AD21" s="561"/>
      <c r="AE21" s="561"/>
      <c r="AF21" s="561"/>
      <c r="AG21" s="561"/>
      <c r="AH21" s="561"/>
      <c r="AI21" s="561"/>
      <c r="AJ21" s="561"/>
      <c r="AK21" s="561"/>
      <c r="AL21" s="561"/>
      <c r="AM21" s="561"/>
      <c r="AN21" s="561"/>
      <c r="AO21" s="561"/>
      <c r="AP21" s="561"/>
      <c r="AQ21" s="193"/>
      <c r="AR21"/>
    </row>
    <row r="22" spans="2:44" s="1" customFormat="1">
      <c r="B22" s="260">
        <v>177</v>
      </c>
      <c r="C22" s="261" t="s">
        <v>96</v>
      </c>
      <c r="D22" s="262" t="s">
        <v>629</v>
      </c>
      <c r="E22" s="325" t="s">
        <v>871</v>
      </c>
      <c r="F22" s="325"/>
      <c r="G22" s="386" t="s">
        <v>987</v>
      </c>
      <c r="H22" s="312" t="s">
        <v>938</v>
      </c>
      <c r="I22" s="212"/>
      <c r="J22" s="212"/>
      <c r="K22" s="263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0">
        <v>187</v>
      </c>
      <c r="C23" s="261" t="s">
        <v>106</v>
      </c>
      <c r="D23" s="262" t="s">
        <v>630</v>
      </c>
      <c r="E23" s="325" t="s">
        <v>871</v>
      </c>
      <c r="F23" s="325"/>
      <c r="G23" s="386" t="s">
        <v>988</v>
      </c>
      <c r="H23" s="312" t="s">
        <v>938</v>
      </c>
      <c r="I23" s="212"/>
      <c r="J23" s="212"/>
      <c r="K23" s="263"/>
      <c r="L23"/>
      <c r="M23" s="562" t="s">
        <v>836</v>
      </c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2"/>
      <c r="AP23"/>
      <c r="AQ23"/>
      <c r="AR23"/>
    </row>
    <row r="24" spans="2:44" s="1" customFormat="1">
      <c r="B24" s="260">
        <v>178</v>
      </c>
      <c r="C24" s="261" t="s">
        <v>97</v>
      </c>
      <c r="D24" s="262" t="s">
        <v>652</v>
      </c>
      <c r="E24" s="325" t="s">
        <v>871</v>
      </c>
      <c r="F24" s="325"/>
      <c r="G24" s="386" t="s">
        <v>1022</v>
      </c>
      <c r="H24" s="312" t="s">
        <v>938</v>
      </c>
      <c r="I24" s="212"/>
      <c r="J24" s="212"/>
      <c r="K24" s="263"/>
      <c r="L24"/>
      <c r="M24" s="557" t="s">
        <v>883</v>
      </c>
      <c r="N24" s="557"/>
      <c r="O24" s="557"/>
      <c r="P24" s="557"/>
      <c r="Q24" s="557"/>
      <c r="R24" s="557"/>
      <c r="S24" s="557"/>
      <c r="T24" s="557"/>
      <c r="U24" s="557"/>
      <c r="V24" s="557"/>
      <c r="W24" s="557"/>
      <c r="X24" s="557"/>
      <c r="Y24" s="557"/>
      <c r="Z24" s="557"/>
      <c r="AA24" s="557"/>
      <c r="AB24" s="557"/>
      <c r="AC24" s="557"/>
      <c r="AD24" s="557"/>
      <c r="AE24" s="557"/>
      <c r="AF24" s="557"/>
      <c r="AG24" s="557"/>
      <c r="AH24" s="557"/>
      <c r="AI24" s="557"/>
      <c r="AJ24" s="557"/>
      <c r="AK24" s="557"/>
      <c r="AL24" s="557"/>
      <c r="AM24" s="557"/>
      <c r="AN24" s="557"/>
      <c r="AO24" s="557"/>
      <c r="AP24"/>
      <c r="AQ24"/>
      <c r="AR24"/>
    </row>
    <row r="25" spans="2:44" s="1" customFormat="1">
      <c r="B25" s="260">
        <v>188</v>
      </c>
      <c r="C25" s="261" t="s">
        <v>107</v>
      </c>
      <c r="D25" s="262" t="s">
        <v>653</v>
      </c>
      <c r="E25" s="325" t="s">
        <v>871</v>
      </c>
      <c r="F25" s="325"/>
      <c r="G25" s="386" t="s">
        <v>6</v>
      </c>
      <c r="H25" s="312" t="s">
        <v>938</v>
      </c>
      <c r="I25" s="212"/>
      <c r="J25" s="212"/>
      <c r="K25" s="263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42">
        <v>277</v>
      </c>
      <c r="C26" s="21" t="s">
        <v>196</v>
      </c>
      <c r="D26" s="22" t="s">
        <v>635</v>
      </c>
      <c r="E26" s="323" t="s">
        <v>871</v>
      </c>
      <c r="F26" s="323"/>
      <c r="G26" s="389" t="s">
        <v>1000</v>
      </c>
      <c r="H26" s="383" t="s">
        <v>933</v>
      </c>
      <c r="I26" s="5"/>
      <c r="J26" s="5"/>
      <c r="K26" s="14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42">
        <v>278</v>
      </c>
      <c r="C27" s="21" t="s">
        <v>197</v>
      </c>
      <c r="D27" s="22" t="s">
        <v>658</v>
      </c>
      <c r="E27" s="323" t="s">
        <v>871</v>
      </c>
      <c r="F27" s="323"/>
      <c r="G27" s="389" t="s">
        <v>1001</v>
      </c>
      <c r="H27" s="5" t="s">
        <v>933</v>
      </c>
      <c r="I27" s="5"/>
      <c r="J27" s="5"/>
      <c r="K27" s="14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42">
        <v>287</v>
      </c>
      <c r="C28" s="21" t="s">
        <v>206</v>
      </c>
      <c r="D28" s="22" t="s">
        <v>636</v>
      </c>
      <c r="E28" s="323" t="s">
        <v>871</v>
      </c>
      <c r="F28" s="323"/>
      <c r="G28" s="389" t="s">
        <v>998</v>
      </c>
      <c r="H28" s="5" t="s">
        <v>933</v>
      </c>
      <c r="I28" s="5"/>
      <c r="J28" s="5"/>
      <c r="K28" s="14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42">
        <v>288</v>
      </c>
      <c r="C29" s="21" t="s">
        <v>207</v>
      </c>
      <c r="D29" s="22" t="s">
        <v>659</v>
      </c>
      <c r="E29" s="323" t="s">
        <v>871</v>
      </c>
      <c r="F29" s="323"/>
      <c r="G29" s="389" t="s">
        <v>999</v>
      </c>
      <c r="H29" s="5" t="s">
        <v>933</v>
      </c>
      <c r="I29" s="5"/>
      <c r="J29" s="5"/>
      <c r="K29" s="14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42">
        <v>297</v>
      </c>
      <c r="C30" s="21" t="s">
        <v>216</v>
      </c>
      <c r="D30" s="22" t="s">
        <v>637</v>
      </c>
      <c r="E30" s="323" t="s">
        <v>871</v>
      </c>
      <c r="F30" s="323"/>
      <c r="G30" s="389" t="s">
        <v>996</v>
      </c>
      <c r="H30" s="5" t="s">
        <v>933</v>
      </c>
      <c r="I30" s="5"/>
      <c r="J30" s="5"/>
      <c r="K30" s="14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42">
        <v>298</v>
      </c>
      <c r="C31" s="21" t="s">
        <v>217</v>
      </c>
      <c r="D31" s="22" t="s">
        <v>660</v>
      </c>
      <c r="E31" s="323" t="s">
        <v>871</v>
      </c>
      <c r="F31" s="323"/>
      <c r="G31" s="389" t="s">
        <v>997</v>
      </c>
      <c r="H31" s="5" t="s">
        <v>933</v>
      </c>
      <c r="I31" s="5"/>
      <c r="J31" s="5"/>
      <c r="K31" s="14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0">
        <v>307</v>
      </c>
      <c r="C32" s="261" t="s">
        <v>226</v>
      </c>
      <c r="D32" s="262" t="s">
        <v>638</v>
      </c>
      <c r="E32" s="325" t="s">
        <v>871</v>
      </c>
      <c r="F32" s="325"/>
      <c r="G32" s="386" t="s">
        <v>994</v>
      </c>
      <c r="H32" s="5" t="s">
        <v>933</v>
      </c>
      <c r="I32" s="212"/>
      <c r="J32" s="212"/>
      <c r="K32" s="263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8" s="1" customFormat="1">
      <c r="B33" s="260">
        <v>308</v>
      </c>
      <c r="C33" s="261" t="s">
        <v>227</v>
      </c>
      <c r="D33" s="262" t="s">
        <v>661</v>
      </c>
      <c r="E33" s="325" t="s">
        <v>871</v>
      </c>
      <c r="F33" s="325"/>
      <c r="G33" s="386" t="s">
        <v>995</v>
      </c>
      <c r="H33" s="5" t="s">
        <v>933</v>
      </c>
      <c r="I33" s="212"/>
      <c r="J33" s="212"/>
      <c r="K33" s="26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8" s="1" customFormat="1">
      <c r="B34" s="260">
        <v>317</v>
      </c>
      <c r="C34" s="261" t="s">
        <v>236</v>
      </c>
      <c r="D34" s="262" t="s">
        <v>639</v>
      </c>
      <c r="E34" s="325" t="s">
        <v>871</v>
      </c>
      <c r="F34" s="325"/>
      <c r="G34" s="386" t="s">
        <v>1027</v>
      </c>
      <c r="H34" s="5" t="s">
        <v>933</v>
      </c>
      <c r="I34" s="212"/>
      <c r="J34" s="212"/>
      <c r="K34" s="263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8" s="1" customFormat="1">
      <c r="B35" s="260">
        <v>318</v>
      </c>
      <c r="C35" s="261" t="s">
        <v>237</v>
      </c>
      <c r="D35" s="262" t="s">
        <v>662</v>
      </c>
      <c r="E35" s="325" t="s">
        <v>871</v>
      </c>
      <c r="F35" s="325"/>
      <c r="G35" s="386" t="s">
        <v>1028</v>
      </c>
      <c r="H35" s="5" t="s">
        <v>933</v>
      </c>
      <c r="I35" s="212"/>
      <c r="J35" s="212"/>
      <c r="K35" s="263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8" s="1" customFormat="1">
      <c r="B36" s="42">
        <v>279</v>
      </c>
      <c r="C36" s="21" t="s">
        <v>198</v>
      </c>
      <c r="D36" s="22" t="s">
        <v>679</v>
      </c>
      <c r="E36" s="323" t="s">
        <v>871</v>
      </c>
      <c r="F36" s="323"/>
      <c r="G36" s="389" t="s">
        <v>1002</v>
      </c>
      <c r="H36" s="5" t="s">
        <v>933</v>
      </c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8" s="1" customFormat="1">
      <c r="B37" s="42">
        <v>280</v>
      </c>
      <c r="C37" s="21" t="s">
        <v>199</v>
      </c>
      <c r="D37" s="22" t="s">
        <v>701</v>
      </c>
      <c r="E37" s="323" t="s">
        <v>871</v>
      </c>
      <c r="F37" s="323"/>
      <c r="G37" s="389" t="s">
        <v>1003</v>
      </c>
      <c r="H37" s="5" t="s">
        <v>933</v>
      </c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8" s="1" customFormat="1">
      <c r="B38" s="42">
        <v>289</v>
      </c>
      <c r="C38" s="21" t="s">
        <v>208</v>
      </c>
      <c r="D38" s="22" t="s">
        <v>680</v>
      </c>
      <c r="E38" s="323" t="s">
        <v>871</v>
      </c>
      <c r="F38" s="323"/>
      <c r="G38" s="389" t="s">
        <v>1004</v>
      </c>
      <c r="H38" s="5" t="s">
        <v>933</v>
      </c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8" s="1" customFormat="1">
      <c r="B39" s="42">
        <v>290</v>
      </c>
      <c r="C39" s="21" t="s">
        <v>209</v>
      </c>
      <c r="D39" s="22" t="s">
        <v>702</v>
      </c>
      <c r="E39" s="323" t="s">
        <v>871</v>
      </c>
      <c r="F39" s="323"/>
      <c r="G39" s="389" t="s">
        <v>1005</v>
      </c>
      <c r="H39" s="5" t="s">
        <v>933</v>
      </c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8" s="1" customFormat="1">
      <c r="B40" s="42">
        <v>299</v>
      </c>
      <c r="C40" s="21" t="s">
        <v>218</v>
      </c>
      <c r="D40" s="22" t="s">
        <v>681</v>
      </c>
      <c r="E40" s="323" t="s">
        <v>871</v>
      </c>
      <c r="F40" s="323"/>
      <c r="G40" s="389" t="s">
        <v>1008</v>
      </c>
      <c r="H40" s="5" t="s">
        <v>933</v>
      </c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8" s="1" customFormat="1">
      <c r="B41" s="42">
        <v>300</v>
      </c>
      <c r="C41" s="21" t="s">
        <v>219</v>
      </c>
      <c r="D41" s="22" t="s">
        <v>703</v>
      </c>
      <c r="E41" s="323" t="s">
        <v>871</v>
      </c>
      <c r="F41" s="323"/>
      <c r="G41" s="389" t="s">
        <v>1009</v>
      </c>
      <c r="H41" s="5" t="s">
        <v>933</v>
      </c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8" s="1" customFormat="1">
      <c r="B42" s="260">
        <v>309</v>
      </c>
      <c r="C42" s="261" t="s">
        <v>228</v>
      </c>
      <c r="D42" s="262" t="s">
        <v>682</v>
      </c>
      <c r="E42" s="325" t="s">
        <v>871</v>
      </c>
      <c r="F42" s="325"/>
      <c r="G42" s="386" t="s">
        <v>1006</v>
      </c>
      <c r="H42" s="5" t="s">
        <v>933</v>
      </c>
      <c r="I42" s="212"/>
      <c r="J42" s="212"/>
      <c r="K42" s="263"/>
      <c r="L42" s="3"/>
    </row>
    <row r="43" spans="2:48" s="1" customFormat="1">
      <c r="B43" s="260">
        <v>310</v>
      </c>
      <c r="C43" s="261" t="s">
        <v>229</v>
      </c>
      <c r="D43" s="262" t="s">
        <v>704</v>
      </c>
      <c r="E43" s="325" t="s">
        <v>871</v>
      </c>
      <c r="F43" s="325"/>
      <c r="G43" s="386" t="s">
        <v>1007</v>
      </c>
      <c r="H43" s="5" t="s">
        <v>933</v>
      </c>
      <c r="I43" s="212"/>
      <c r="J43" s="212"/>
      <c r="K43" s="263"/>
      <c r="L43" s="3"/>
    </row>
    <row r="44" spans="2:48" s="1" customFormat="1">
      <c r="B44" s="260">
        <v>319</v>
      </c>
      <c r="C44" s="261" t="s">
        <v>238</v>
      </c>
      <c r="D44" s="262" t="s">
        <v>683</v>
      </c>
      <c r="E44" s="325" t="s">
        <v>871</v>
      </c>
      <c r="F44" s="325"/>
      <c r="G44" s="386" t="s">
        <v>1029</v>
      </c>
      <c r="H44" s="5" t="s">
        <v>933</v>
      </c>
      <c r="I44" s="212"/>
      <c r="J44" s="212"/>
      <c r="K44" s="263"/>
      <c r="L44" s="3"/>
    </row>
    <row r="45" spans="2:48" s="1" customFormat="1">
      <c r="B45" s="260">
        <v>320</v>
      </c>
      <c r="C45" s="261" t="s">
        <v>239</v>
      </c>
      <c r="D45" s="262" t="s">
        <v>705</v>
      </c>
      <c r="E45" s="325" t="s">
        <v>871</v>
      </c>
      <c r="F45" s="325"/>
      <c r="G45" s="386" t="s">
        <v>1030</v>
      </c>
      <c r="H45" s="5" t="s">
        <v>933</v>
      </c>
      <c r="I45" s="212"/>
      <c r="J45" s="212"/>
      <c r="K45" s="263"/>
      <c r="L45" s="3"/>
    </row>
    <row r="46" spans="2:48" s="1" customFormat="1">
      <c r="B46" s="260">
        <v>37</v>
      </c>
      <c r="C46" s="261" t="s">
        <v>373</v>
      </c>
      <c r="D46" s="262" t="s">
        <v>622</v>
      </c>
      <c r="E46" s="325" t="s">
        <v>871</v>
      </c>
      <c r="F46" s="345"/>
      <c r="G46" s="386" t="s">
        <v>123</v>
      </c>
      <c r="H46" s="340" t="s">
        <v>936</v>
      </c>
      <c r="I46" s="212"/>
      <c r="J46" s="212"/>
      <c r="K46" s="263"/>
      <c r="L46" s="3"/>
      <c r="AQ46"/>
      <c r="AR46"/>
      <c r="AS46"/>
      <c r="AT46"/>
      <c r="AU46"/>
      <c r="AV46"/>
    </row>
    <row r="47" spans="2:48" s="1" customFormat="1">
      <c r="B47" s="260">
        <v>27</v>
      </c>
      <c r="C47" s="261" t="s">
        <v>363</v>
      </c>
      <c r="D47" s="262" t="s">
        <v>623</v>
      </c>
      <c r="E47" s="325" t="s">
        <v>871</v>
      </c>
      <c r="F47" s="345"/>
      <c r="G47" s="386" t="s">
        <v>133</v>
      </c>
      <c r="H47" s="314" t="s">
        <v>936</v>
      </c>
      <c r="I47" s="212"/>
      <c r="J47" s="212"/>
      <c r="K47" s="263"/>
      <c r="L47" s="3"/>
      <c r="AQ47"/>
      <c r="AR47"/>
      <c r="AS47"/>
      <c r="AT47"/>
      <c r="AU47"/>
      <c r="AV47"/>
    </row>
    <row r="48" spans="2:48">
      <c r="B48" s="260">
        <v>18</v>
      </c>
      <c r="C48" s="261" t="s">
        <v>354</v>
      </c>
      <c r="D48" s="262" t="s">
        <v>643</v>
      </c>
      <c r="E48" s="325" t="s">
        <v>871</v>
      </c>
      <c r="F48" s="345"/>
      <c r="G48" s="386" t="s">
        <v>142</v>
      </c>
      <c r="H48" s="314" t="s">
        <v>936</v>
      </c>
      <c r="I48" s="212"/>
      <c r="J48" s="212"/>
      <c r="K48" s="263"/>
      <c r="AQ48"/>
      <c r="AR48"/>
      <c r="AS48"/>
      <c r="AT48"/>
      <c r="AU48"/>
      <c r="AV48"/>
    </row>
    <row r="49" spans="2:48">
      <c r="B49" s="260">
        <v>8</v>
      </c>
      <c r="C49" s="261" t="s">
        <v>344</v>
      </c>
      <c r="D49" s="262" t="s">
        <v>644</v>
      </c>
      <c r="E49" s="325" t="s">
        <v>871</v>
      </c>
      <c r="F49" s="345"/>
      <c r="G49" s="386" t="s">
        <v>152</v>
      </c>
      <c r="H49" s="314" t="s">
        <v>936</v>
      </c>
      <c r="I49" s="212"/>
      <c r="J49" s="212"/>
      <c r="K49" s="263"/>
      <c r="AQ49"/>
      <c r="AR49"/>
      <c r="AS49"/>
      <c r="AT49"/>
      <c r="AU49"/>
      <c r="AV49"/>
    </row>
    <row r="50" spans="2:48">
      <c r="B50" s="260">
        <v>10</v>
      </c>
      <c r="C50" s="261" t="s">
        <v>346</v>
      </c>
      <c r="D50" s="262" t="s">
        <v>666</v>
      </c>
      <c r="E50" s="325" t="s">
        <v>871</v>
      </c>
      <c r="F50" s="345"/>
      <c r="G50" s="386" t="s">
        <v>102</v>
      </c>
      <c r="H50" s="314" t="s">
        <v>936</v>
      </c>
      <c r="I50" s="212"/>
      <c r="J50" s="212"/>
      <c r="K50" s="263"/>
      <c r="AQ50"/>
      <c r="AR50"/>
      <c r="AS50"/>
      <c r="AT50"/>
      <c r="AU50"/>
      <c r="AV50"/>
    </row>
    <row r="51" spans="2:48">
      <c r="B51" s="260">
        <v>9</v>
      </c>
      <c r="C51" s="261" t="s">
        <v>345</v>
      </c>
      <c r="D51" s="262" t="s">
        <v>688</v>
      </c>
      <c r="E51" s="325" t="s">
        <v>871</v>
      </c>
      <c r="F51" s="345"/>
      <c r="G51" s="386" t="s">
        <v>112</v>
      </c>
      <c r="H51" s="314" t="s">
        <v>936</v>
      </c>
      <c r="I51" s="212"/>
      <c r="J51" s="212"/>
      <c r="K51" s="263"/>
      <c r="AQ51"/>
      <c r="AR51"/>
      <c r="AS51"/>
      <c r="AT51"/>
      <c r="AU51"/>
      <c r="AV51"/>
    </row>
    <row r="52" spans="2:48">
      <c r="B52" s="260">
        <v>7</v>
      </c>
      <c r="C52" s="261" t="s">
        <v>343</v>
      </c>
      <c r="D52" s="262" t="s">
        <v>621</v>
      </c>
      <c r="E52" s="325" t="s">
        <v>871</v>
      </c>
      <c r="F52" s="345"/>
      <c r="G52" s="386" t="s">
        <v>161</v>
      </c>
      <c r="H52" s="314" t="s">
        <v>936</v>
      </c>
      <c r="I52" s="212"/>
      <c r="J52" s="212"/>
      <c r="K52" s="263"/>
      <c r="AQ52"/>
      <c r="AR52"/>
      <c r="AS52"/>
      <c r="AT52"/>
      <c r="AU52"/>
      <c r="AV52"/>
    </row>
    <row r="53" spans="2:48">
      <c r="B53" s="260">
        <v>17</v>
      </c>
      <c r="C53" s="261" t="s">
        <v>353</v>
      </c>
      <c r="D53" s="262" t="s">
        <v>620</v>
      </c>
      <c r="E53" s="325" t="s">
        <v>871</v>
      </c>
      <c r="F53" s="345"/>
      <c r="G53" s="386" t="s">
        <v>171</v>
      </c>
      <c r="H53" s="314" t="s">
        <v>936</v>
      </c>
      <c r="I53" s="212"/>
      <c r="J53" s="212"/>
      <c r="K53" s="263"/>
      <c r="AQ53"/>
      <c r="AR53"/>
      <c r="AS53"/>
      <c r="AT53"/>
      <c r="AU53"/>
      <c r="AV53"/>
    </row>
    <row r="54" spans="2:48">
      <c r="B54" s="260">
        <v>6</v>
      </c>
      <c r="C54" s="261" t="s">
        <v>342</v>
      </c>
      <c r="D54" s="262" t="s">
        <v>611</v>
      </c>
      <c r="E54" s="325" t="s">
        <v>871</v>
      </c>
      <c r="F54" s="345"/>
      <c r="G54" s="386" t="s">
        <v>121</v>
      </c>
      <c r="H54" s="314" t="s">
        <v>936</v>
      </c>
      <c r="I54" s="212"/>
      <c r="J54" s="212"/>
      <c r="K54" s="263"/>
      <c r="AQ54"/>
      <c r="AR54"/>
      <c r="AS54"/>
      <c r="AT54"/>
      <c r="AU54"/>
      <c r="AV54"/>
    </row>
    <row r="55" spans="2:48">
      <c r="B55" s="260">
        <v>16</v>
      </c>
      <c r="C55" s="261" t="s">
        <v>352</v>
      </c>
      <c r="D55" s="262" t="s">
        <v>610</v>
      </c>
      <c r="E55" s="325" t="s">
        <v>871</v>
      </c>
      <c r="F55" s="345"/>
      <c r="G55" s="386" t="s">
        <v>131</v>
      </c>
      <c r="H55" s="314" t="s">
        <v>936</v>
      </c>
      <c r="I55" s="212"/>
      <c r="J55" s="212"/>
      <c r="K55" s="263"/>
      <c r="AQ55"/>
      <c r="AR55"/>
      <c r="AS55"/>
      <c r="AT55"/>
      <c r="AU55"/>
      <c r="AV55"/>
    </row>
    <row r="56" spans="2:48">
      <c r="B56" s="260">
        <v>60</v>
      </c>
      <c r="C56" s="261" t="s">
        <v>396</v>
      </c>
      <c r="D56" s="264" t="s">
        <v>669</v>
      </c>
      <c r="E56" s="325" t="s">
        <v>871</v>
      </c>
      <c r="F56" s="345"/>
      <c r="G56" s="386" t="s">
        <v>165</v>
      </c>
      <c r="H56" s="314" t="s">
        <v>936</v>
      </c>
      <c r="I56" s="212"/>
      <c r="J56" s="212"/>
      <c r="K56" s="263"/>
      <c r="AQ56"/>
      <c r="AR56"/>
      <c r="AS56"/>
      <c r="AT56"/>
      <c r="AU56"/>
      <c r="AV56"/>
    </row>
    <row r="57" spans="2:48">
      <c r="B57" s="260">
        <v>59</v>
      </c>
      <c r="C57" s="261" t="s">
        <v>395</v>
      </c>
      <c r="D57" s="264" t="s">
        <v>691</v>
      </c>
      <c r="E57" s="325" t="s">
        <v>871</v>
      </c>
      <c r="F57" s="345"/>
      <c r="G57" s="386" t="s">
        <v>175</v>
      </c>
      <c r="H57" s="314" t="s">
        <v>936</v>
      </c>
      <c r="I57" s="212"/>
      <c r="J57" s="212"/>
      <c r="K57" s="263"/>
      <c r="AQ57"/>
      <c r="AR57"/>
      <c r="AS57"/>
      <c r="AT57"/>
      <c r="AU57"/>
      <c r="AV57"/>
    </row>
    <row r="58" spans="2:48">
      <c r="B58" s="260">
        <v>28</v>
      </c>
      <c r="C58" s="261" t="s">
        <v>364</v>
      </c>
      <c r="D58" s="262" t="s">
        <v>646</v>
      </c>
      <c r="E58" s="325" t="s">
        <v>871</v>
      </c>
      <c r="F58" s="345"/>
      <c r="G58" s="386" t="s">
        <v>125</v>
      </c>
      <c r="H58" s="314" t="s">
        <v>936</v>
      </c>
      <c r="I58" s="212"/>
      <c r="J58" s="212"/>
      <c r="K58" s="263"/>
      <c r="AQ58"/>
      <c r="AR58"/>
      <c r="AS58"/>
      <c r="AT58"/>
      <c r="AU58"/>
      <c r="AV58"/>
    </row>
    <row r="59" spans="2:48">
      <c r="B59" s="260">
        <v>38</v>
      </c>
      <c r="C59" s="261" t="s">
        <v>374</v>
      </c>
      <c r="D59" s="262" t="s">
        <v>645</v>
      </c>
      <c r="E59" s="325" t="s">
        <v>871</v>
      </c>
      <c r="F59" s="345"/>
      <c r="G59" s="386" t="s">
        <v>135</v>
      </c>
      <c r="H59" s="314" t="s">
        <v>936</v>
      </c>
      <c r="I59" s="212"/>
      <c r="J59" s="212"/>
      <c r="K59" s="263"/>
      <c r="AQ59"/>
      <c r="AR59"/>
      <c r="AS59"/>
      <c r="AT59"/>
      <c r="AU59"/>
      <c r="AV59"/>
    </row>
    <row r="60" spans="2:48">
      <c r="B60" s="260">
        <v>49</v>
      </c>
      <c r="C60" s="261" t="s">
        <v>385</v>
      </c>
      <c r="D60" s="264" t="s">
        <v>690</v>
      </c>
      <c r="E60" s="325" t="s">
        <v>871</v>
      </c>
      <c r="F60" s="345"/>
      <c r="G60" s="386" t="s">
        <v>144</v>
      </c>
      <c r="H60" s="314" t="s">
        <v>936</v>
      </c>
      <c r="I60" s="212"/>
      <c r="J60" s="212"/>
      <c r="K60" s="263"/>
      <c r="AQ60"/>
      <c r="AR60"/>
      <c r="AS60"/>
      <c r="AT60"/>
      <c r="AU60"/>
      <c r="AV60"/>
    </row>
    <row r="61" spans="2:48">
      <c r="B61" s="260">
        <v>50</v>
      </c>
      <c r="C61" s="261" t="s">
        <v>386</v>
      </c>
      <c r="D61" s="264" t="s">
        <v>668</v>
      </c>
      <c r="E61" s="325" t="s">
        <v>871</v>
      </c>
      <c r="F61" s="345"/>
      <c r="G61" s="386" t="s">
        <v>154</v>
      </c>
      <c r="H61" s="314" t="s">
        <v>936</v>
      </c>
      <c r="I61" s="212"/>
      <c r="J61" s="212"/>
      <c r="K61" s="263"/>
      <c r="AQ61"/>
      <c r="AR61"/>
      <c r="AS61"/>
      <c r="AT61"/>
      <c r="AU61"/>
      <c r="AV61"/>
    </row>
    <row r="62" spans="2:48">
      <c r="B62" s="260">
        <v>19</v>
      </c>
      <c r="C62" s="261" t="s">
        <v>355</v>
      </c>
      <c r="D62" s="262" t="s">
        <v>689</v>
      </c>
      <c r="E62" s="325" t="s">
        <v>871</v>
      </c>
      <c r="F62" s="345"/>
      <c r="G62" s="386" t="s">
        <v>104</v>
      </c>
      <c r="H62" s="314" t="s">
        <v>936</v>
      </c>
      <c r="I62" s="212"/>
      <c r="J62" s="212"/>
      <c r="K62" s="263"/>
      <c r="AQ62"/>
      <c r="AR62"/>
      <c r="AS62"/>
      <c r="AT62"/>
      <c r="AU62"/>
      <c r="AV62"/>
    </row>
    <row r="63" spans="2:48">
      <c r="B63" s="260">
        <v>20</v>
      </c>
      <c r="C63" s="261" t="s">
        <v>356</v>
      </c>
      <c r="D63" s="262" t="s">
        <v>667</v>
      </c>
      <c r="E63" s="325" t="s">
        <v>871</v>
      </c>
      <c r="F63" s="345"/>
      <c r="G63" s="386" t="s">
        <v>114</v>
      </c>
      <c r="H63" s="314" t="s">
        <v>936</v>
      </c>
      <c r="I63" s="212"/>
      <c r="J63" s="212"/>
      <c r="K63" s="263"/>
      <c r="AQ63"/>
      <c r="AR63"/>
      <c r="AS63"/>
      <c r="AT63"/>
      <c r="AU63"/>
      <c r="AV63"/>
    </row>
    <row r="64" spans="2:48">
      <c r="B64" s="260">
        <v>26</v>
      </c>
      <c r="C64" s="261" t="s">
        <v>362</v>
      </c>
      <c r="D64" s="262" t="s">
        <v>613</v>
      </c>
      <c r="E64" s="325" t="s">
        <v>871</v>
      </c>
      <c r="F64" s="345"/>
      <c r="G64" s="386" t="s">
        <v>163</v>
      </c>
      <c r="H64" s="314" t="s">
        <v>936</v>
      </c>
      <c r="I64" s="212"/>
      <c r="J64" s="212"/>
      <c r="K64" s="263"/>
      <c r="AQ64"/>
      <c r="AR64"/>
      <c r="AS64"/>
      <c r="AT64"/>
      <c r="AU64"/>
      <c r="AV64"/>
    </row>
    <row r="65" spans="2:48">
      <c r="B65" s="260">
        <v>36</v>
      </c>
      <c r="C65" s="261" t="s">
        <v>372</v>
      </c>
      <c r="D65" s="262" t="s">
        <v>612</v>
      </c>
      <c r="E65" s="325" t="s">
        <v>871</v>
      </c>
      <c r="F65" s="345"/>
      <c r="G65" s="386" t="s">
        <v>173</v>
      </c>
      <c r="H65" s="314" t="s">
        <v>936</v>
      </c>
      <c r="I65" s="212"/>
      <c r="J65" s="212"/>
      <c r="K65" s="263"/>
      <c r="AQ65"/>
      <c r="AR65"/>
      <c r="AS65"/>
      <c r="AT65"/>
      <c r="AU65"/>
      <c r="AV65"/>
    </row>
    <row r="66" spans="2:48">
      <c r="B66" s="260">
        <v>118</v>
      </c>
      <c r="C66" s="261" t="s">
        <v>37</v>
      </c>
      <c r="D66" s="262" t="s">
        <v>624</v>
      </c>
      <c r="E66" s="325" t="s">
        <v>871</v>
      </c>
      <c r="F66" s="345"/>
      <c r="G66" s="386" t="s">
        <v>43</v>
      </c>
      <c r="H66" s="340" t="s">
        <v>937</v>
      </c>
      <c r="I66" s="212"/>
      <c r="J66" s="212"/>
      <c r="K66" s="263"/>
      <c r="AQ66"/>
      <c r="AR66"/>
      <c r="AS66"/>
      <c r="AT66"/>
      <c r="AU66"/>
      <c r="AV66"/>
    </row>
    <row r="67" spans="2:48">
      <c r="B67" s="260">
        <v>117</v>
      </c>
      <c r="C67" s="261" t="s">
        <v>36</v>
      </c>
      <c r="D67" s="262" t="s">
        <v>647</v>
      </c>
      <c r="E67" s="325" t="s">
        <v>871</v>
      </c>
      <c r="F67" s="345"/>
      <c r="G67" s="386" t="s">
        <v>53</v>
      </c>
      <c r="H67" s="314" t="s">
        <v>937</v>
      </c>
      <c r="I67" s="212"/>
      <c r="J67" s="212"/>
      <c r="K67" s="263"/>
      <c r="AQ67"/>
      <c r="AR67"/>
      <c r="AS67"/>
      <c r="AT67"/>
      <c r="AU67"/>
      <c r="AV67"/>
    </row>
    <row r="68" spans="2:48">
      <c r="B68" s="260">
        <v>148</v>
      </c>
      <c r="C68" s="261" t="s">
        <v>67</v>
      </c>
      <c r="D68" s="262" t="s">
        <v>626</v>
      </c>
      <c r="E68" s="325" t="s">
        <v>871</v>
      </c>
      <c r="F68" s="345"/>
      <c r="G68" s="386" t="s">
        <v>62</v>
      </c>
      <c r="H68" s="314" t="s">
        <v>937</v>
      </c>
      <c r="I68" s="212"/>
      <c r="J68" s="212"/>
      <c r="K68" s="263"/>
      <c r="AQ68"/>
      <c r="AR68"/>
      <c r="AS68"/>
      <c r="AT68"/>
      <c r="AU68"/>
      <c r="AV68"/>
    </row>
    <row r="69" spans="2:48">
      <c r="B69" s="260">
        <v>147</v>
      </c>
      <c r="C69" s="261" t="s">
        <v>66</v>
      </c>
      <c r="D69" s="262" t="s">
        <v>649</v>
      </c>
      <c r="E69" s="325" t="s">
        <v>871</v>
      </c>
      <c r="F69" s="345"/>
      <c r="G69" s="386" t="s">
        <v>72</v>
      </c>
      <c r="H69" s="314" t="s">
        <v>937</v>
      </c>
      <c r="I69" s="212"/>
      <c r="J69" s="212"/>
      <c r="K69" s="263"/>
      <c r="AQ69"/>
      <c r="AR69"/>
      <c r="AS69"/>
      <c r="AT69"/>
      <c r="AU69"/>
      <c r="AV69"/>
    </row>
    <row r="70" spans="2:48">
      <c r="B70" s="260">
        <v>168</v>
      </c>
      <c r="C70" s="261" t="s">
        <v>87</v>
      </c>
      <c r="D70" s="262" t="s">
        <v>628</v>
      </c>
      <c r="E70" s="325" t="s">
        <v>871</v>
      </c>
      <c r="F70" s="345"/>
      <c r="G70" s="386" t="s">
        <v>22</v>
      </c>
      <c r="H70" s="314" t="s">
        <v>937</v>
      </c>
      <c r="I70" s="212"/>
      <c r="J70" s="212"/>
      <c r="K70" s="263"/>
      <c r="AQ70"/>
      <c r="AR70"/>
      <c r="AS70"/>
      <c r="AT70"/>
      <c r="AU70"/>
      <c r="AV70"/>
    </row>
    <row r="71" spans="2:48">
      <c r="B71" s="260">
        <v>167</v>
      </c>
      <c r="C71" s="261" t="s">
        <v>86</v>
      </c>
      <c r="D71" s="262" t="s">
        <v>651</v>
      </c>
      <c r="E71" s="325" t="s">
        <v>871</v>
      </c>
      <c r="F71" s="345"/>
      <c r="G71" s="386" t="s">
        <v>32</v>
      </c>
      <c r="H71" s="314" t="s">
        <v>937</v>
      </c>
      <c r="I71" s="212"/>
      <c r="J71" s="212"/>
      <c r="K71" s="263"/>
      <c r="AQ71"/>
      <c r="AR71"/>
      <c r="AS71"/>
      <c r="AT71"/>
      <c r="AU71"/>
      <c r="AV71"/>
    </row>
    <row r="72" spans="2:48">
      <c r="B72" s="260">
        <v>170</v>
      </c>
      <c r="C72" s="261" t="s">
        <v>89</v>
      </c>
      <c r="D72" s="262" t="s">
        <v>674</v>
      </c>
      <c r="E72" s="325" t="s">
        <v>871</v>
      </c>
      <c r="F72" s="345"/>
      <c r="G72" s="386" t="s">
        <v>81</v>
      </c>
      <c r="H72" s="314" t="s">
        <v>937</v>
      </c>
      <c r="I72" s="212"/>
      <c r="J72" s="212"/>
      <c r="K72" s="263"/>
      <c r="AQ72"/>
      <c r="AR72"/>
      <c r="AS72"/>
      <c r="AT72"/>
      <c r="AU72"/>
      <c r="AV72"/>
    </row>
    <row r="73" spans="2:48">
      <c r="B73" s="260">
        <v>169</v>
      </c>
      <c r="C73" s="261" t="s">
        <v>88</v>
      </c>
      <c r="D73" s="262" t="s">
        <v>696</v>
      </c>
      <c r="E73" s="325" t="s">
        <v>871</v>
      </c>
      <c r="F73" s="345"/>
      <c r="G73" s="386" t="s">
        <v>91</v>
      </c>
      <c r="H73" s="314" t="s">
        <v>937</v>
      </c>
      <c r="I73" s="212"/>
      <c r="J73" s="212"/>
      <c r="K73" s="263"/>
      <c r="AQ73"/>
      <c r="AR73"/>
      <c r="AS73"/>
      <c r="AT73"/>
      <c r="AU73"/>
      <c r="AV73"/>
    </row>
    <row r="74" spans="2:48">
      <c r="B74" s="260">
        <v>158</v>
      </c>
      <c r="C74" s="261" t="s">
        <v>77</v>
      </c>
      <c r="D74" s="262" t="s">
        <v>627</v>
      </c>
      <c r="E74" s="325" t="s">
        <v>871</v>
      </c>
      <c r="F74" s="345"/>
      <c r="G74" s="386" t="s">
        <v>41</v>
      </c>
      <c r="H74" s="314" t="s">
        <v>937</v>
      </c>
      <c r="I74" s="212"/>
      <c r="J74" s="212"/>
      <c r="K74" s="263"/>
      <c r="AQ74"/>
      <c r="AR74"/>
      <c r="AS74"/>
      <c r="AT74"/>
      <c r="AU74"/>
      <c r="AV74"/>
    </row>
    <row r="75" spans="2:48">
      <c r="B75" s="260">
        <v>157</v>
      </c>
      <c r="C75" s="261" t="s">
        <v>76</v>
      </c>
      <c r="D75" s="262" t="s">
        <v>650</v>
      </c>
      <c r="E75" s="325" t="s">
        <v>871</v>
      </c>
      <c r="F75" s="345"/>
      <c r="G75" s="386" t="s">
        <v>51</v>
      </c>
      <c r="H75" s="314" t="s">
        <v>937</v>
      </c>
      <c r="I75" s="212"/>
      <c r="J75" s="212"/>
      <c r="K75" s="263"/>
      <c r="AQ75"/>
      <c r="AR75"/>
      <c r="AS75"/>
      <c r="AT75"/>
      <c r="AU75"/>
      <c r="AV75"/>
    </row>
    <row r="76" spans="2:48">
      <c r="B76" s="260">
        <v>129</v>
      </c>
      <c r="C76" s="261" t="s">
        <v>48</v>
      </c>
      <c r="D76" s="262" t="s">
        <v>692</v>
      </c>
      <c r="E76" s="325" t="s">
        <v>871</v>
      </c>
      <c r="F76" s="345"/>
      <c r="G76" s="386" t="s">
        <v>85</v>
      </c>
      <c r="H76" s="314" t="s">
        <v>937</v>
      </c>
      <c r="I76" s="212"/>
      <c r="J76" s="212"/>
      <c r="K76" s="263"/>
      <c r="AQ76"/>
      <c r="AR76"/>
      <c r="AS76"/>
      <c r="AT76"/>
      <c r="AU76"/>
      <c r="AV76"/>
    </row>
    <row r="77" spans="2:48">
      <c r="B77" s="260">
        <v>130</v>
      </c>
      <c r="C77" s="261" t="s">
        <v>49</v>
      </c>
      <c r="D77" s="262" t="s">
        <v>670</v>
      </c>
      <c r="E77" s="325" t="s">
        <v>871</v>
      </c>
      <c r="F77" s="345"/>
      <c r="G77" s="386" t="s">
        <v>95</v>
      </c>
      <c r="H77" s="314" t="s">
        <v>937</v>
      </c>
      <c r="I77" s="212"/>
      <c r="J77" s="212"/>
      <c r="K77" s="263"/>
      <c r="AQ77"/>
      <c r="AR77"/>
      <c r="AS77"/>
      <c r="AT77"/>
      <c r="AU77"/>
      <c r="AV77"/>
    </row>
    <row r="78" spans="2:48">
      <c r="B78" s="260">
        <v>139</v>
      </c>
      <c r="C78" s="261" t="s">
        <v>58</v>
      </c>
      <c r="D78" s="262" t="s">
        <v>693</v>
      </c>
      <c r="E78" s="325" t="s">
        <v>871</v>
      </c>
      <c r="F78" s="345"/>
      <c r="G78" s="386" t="s">
        <v>45</v>
      </c>
      <c r="H78" s="314" t="s">
        <v>937</v>
      </c>
      <c r="I78" s="212"/>
      <c r="J78" s="212"/>
      <c r="K78" s="263"/>
      <c r="AQ78"/>
      <c r="AR78"/>
      <c r="AS78"/>
      <c r="AT78"/>
      <c r="AU78"/>
      <c r="AV78"/>
    </row>
    <row r="79" spans="2:48">
      <c r="B79" s="260">
        <v>140</v>
      </c>
      <c r="C79" s="261" t="s">
        <v>59</v>
      </c>
      <c r="D79" s="262" t="s">
        <v>671</v>
      </c>
      <c r="E79" s="325" t="s">
        <v>871</v>
      </c>
      <c r="F79" s="345"/>
      <c r="G79" s="386" t="s">
        <v>55</v>
      </c>
      <c r="H79" s="314" t="s">
        <v>937</v>
      </c>
      <c r="I79" s="212"/>
      <c r="J79" s="212"/>
      <c r="K79" s="263"/>
      <c r="AQ79"/>
      <c r="AR79"/>
      <c r="AS79"/>
      <c r="AT79"/>
      <c r="AU79"/>
      <c r="AV79"/>
    </row>
    <row r="80" spans="2:48">
      <c r="B80" s="260">
        <v>138</v>
      </c>
      <c r="C80" s="261" t="s">
        <v>57</v>
      </c>
      <c r="D80" s="262" t="s">
        <v>625</v>
      </c>
      <c r="E80" s="325" t="s">
        <v>871</v>
      </c>
      <c r="F80" s="345"/>
      <c r="G80" s="386" t="s">
        <v>64</v>
      </c>
      <c r="H80" s="314" t="s">
        <v>937</v>
      </c>
      <c r="I80" s="212"/>
      <c r="J80" s="212"/>
      <c r="K80" s="263"/>
      <c r="AQ80"/>
      <c r="AR80"/>
      <c r="AS80"/>
      <c r="AT80"/>
      <c r="AU80"/>
      <c r="AV80"/>
    </row>
    <row r="81" spans="2:48">
      <c r="B81" s="260">
        <v>137</v>
      </c>
      <c r="C81" s="261" t="s">
        <v>56</v>
      </c>
      <c r="D81" s="262" t="s">
        <v>648</v>
      </c>
      <c r="E81" s="325" t="s">
        <v>871</v>
      </c>
      <c r="F81" s="345"/>
      <c r="G81" s="386" t="s">
        <v>74</v>
      </c>
      <c r="H81" s="314" t="s">
        <v>937</v>
      </c>
      <c r="I81" s="212"/>
      <c r="J81" s="212"/>
      <c r="K81" s="263"/>
      <c r="AQ81"/>
      <c r="AR81"/>
      <c r="AS81"/>
      <c r="AT81"/>
      <c r="AU81"/>
      <c r="AV81"/>
    </row>
    <row r="82" spans="2:48">
      <c r="B82" s="260">
        <v>150</v>
      </c>
      <c r="C82" s="261" t="s">
        <v>69</v>
      </c>
      <c r="D82" s="262" t="s">
        <v>672</v>
      </c>
      <c r="E82" s="325" t="s">
        <v>871</v>
      </c>
      <c r="F82" s="345"/>
      <c r="G82" s="386" t="s">
        <v>24</v>
      </c>
      <c r="H82" s="314" t="s">
        <v>937</v>
      </c>
      <c r="I82" s="212"/>
      <c r="J82" s="212"/>
      <c r="K82" s="263"/>
      <c r="AQ82"/>
      <c r="AR82"/>
      <c r="AS82"/>
      <c r="AT82"/>
      <c r="AU82"/>
      <c r="AV82"/>
    </row>
    <row r="83" spans="2:48">
      <c r="B83" s="260">
        <v>149</v>
      </c>
      <c r="C83" s="261" t="s">
        <v>68</v>
      </c>
      <c r="D83" s="262" t="s">
        <v>694</v>
      </c>
      <c r="E83" s="325" t="s">
        <v>871</v>
      </c>
      <c r="F83" s="345"/>
      <c r="G83" s="386" t="s">
        <v>34</v>
      </c>
      <c r="H83" s="314" t="s">
        <v>937</v>
      </c>
      <c r="I83" s="212"/>
      <c r="J83" s="212"/>
      <c r="K83" s="263"/>
      <c r="AQ83"/>
      <c r="AR83"/>
      <c r="AS83"/>
      <c r="AT83"/>
      <c r="AU83"/>
      <c r="AV83"/>
    </row>
    <row r="84" spans="2:48">
      <c r="B84" s="260">
        <v>160</v>
      </c>
      <c r="C84" s="261" t="s">
        <v>79</v>
      </c>
      <c r="D84" s="262" t="s">
        <v>673</v>
      </c>
      <c r="E84" s="325" t="s">
        <v>871</v>
      </c>
      <c r="F84" s="345"/>
      <c r="G84" s="386" t="s">
        <v>83</v>
      </c>
      <c r="H84" s="314" t="s">
        <v>937</v>
      </c>
      <c r="I84" s="212"/>
      <c r="J84" s="212"/>
      <c r="K84" s="263"/>
      <c r="AQ84"/>
      <c r="AR84"/>
      <c r="AS84"/>
      <c r="AT84"/>
      <c r="AU84"/>
      <c r="AV84"/>
    </row>
    <row r="85" spans="2:48">
      <c r="B85" s="260">
        <v>159</v>
      </c>
      <c r="C85" s="261" t="s">
        <v>78</v>
      </c>
      <c r="D85" s="262" t="s">
        <v>695</v>
      </c>
      <c r="E85" s="325" t="s">
        <v>871</v>
      </c>
      <c r="F85" s="345"/>
      <c r="G85" s="386" t="s">
        <v>93</v>
      </c>
      <c r="H85" s="314" t="s">
        <v>937</v>
      </c>
      <c r="I85" s="212"/>
      <c r="J85" s="212"/>
      <c r="K85" s="263"/>
      <c r="AQ85"/>
      <c r="AR85"/>
      <c r="AS85"/>
      <c r="AT85"/>
      <c r="AU85"/>
      <c r="AV85"/>
    </row>
    <row r="86" spans="2:48">
      <c r="B86" s="260">
        <v>128</v>
      </c>
      <c r="C86" s="261" t="s">
        <v>47</v>
      </c>
      <c r="D86" s="262" t="s">
        <v>507</v>
      </c>
      <c r="E86" s="325" t="s">
        <v>871</v>
      </c>
      <c r="F86" s="212"/>
      <c r="G86" s="325" t="s">
        <v>306</v>
      </c>
      <c r="H86" s="212"/>
      <c r="I86" s="212"/>
      <c r="J86" s="212"/>
      <c r="K86" s="263"/>
    </row>
    <row r="87" spans="2:48">
      <c r="B87" s="260">
        <v>127</v>
      </c>
      <c r="C87" s="261" t="s">
        <v>46</v>
      </c>
      <c r="D87" s="262" t="s">
        <v>497</v>
      </c>
      <c r="E87" s="325" t="s">
        <v>871</v>
      </c>
      <c r="F87" s="212"/>
      <c r="G87" s="325" t="s">
        <v>316</v>
      </c>
      <c r="H87" s="212"/>
      <c r="I87" s="212"/>
      <c r="J87" s="212"/>
      <c r="K87" s="263"/>
    </row>
    <row r="88" spans="2:48">
      <c r="B88" s="260">
        <v>79</v>
      </c>
      <c r="C88" s="261" t="s">
        <v>415</v>
      </c>
      <c r="D88" s="264" t="s">
        <v>490</v>
      </c>
      <c r="E88" s="212"/>
      <c r="F88" s="212"/>
      <c r="G88" s="212"/>
      <c r="H88" s="212"/>
      <c r="I88" s="212"/>
      <c r="J88" s="212"/>
      <c r="K88" s="263"/>
    </row>
    <row r="89" spans="2:48">
      <c r="B89" s="260">
        <v>78</v>
      </c>
      <c r="C89" s="261" t="s">
        <v>414</v>
      </c>
      <c r="D89" s="264" t="s">
        <v>498</v>
      </c>
      <c r="E89" s="325" t="s">
        <v>871</v>
      </c>
      <c r="F89" s="325"/>
      <c r="G89" s="325" t="s">
        <v>47</v>
      </c>
      <c r="H89" s="212"/>
      <c r="I89" s="212"/>
      <c r="J89" s="212"/>
      <c r="K89" s="263"/>
    </row>
    <row r="90" spans="2:48">
      <c r="B90" s="260">
        <v>88</v>
      </c>
      <c r="C90" s="261" t="s">
        <v>424</v>
      </c>
      <c r="D90" s="262" t="s">
        <v>499</v>
      </c>
      <c r="E90" s="212"/>
      <c r="F90" s="212"/>
      <c r="G90" s="212"/>
      <c r="H90" s="212"/>
      <c r="I90" s="212"/>
      <c r="J90" s="212"/>
      <c r="K90" s="263"/>
    </row>
    <row r="91" spans="2:48">
      <c r="B91" s="260">
        <v>89</v>
      </c>
      <c r="C91" s="261" t="s">
        <v>425</v>
      </c>
      <c r="D91" s="262" t="s">
        <v>491</v>
      </c>
      <c r="E91" s="325" t="s">
        <v>871</v>
      </c>
      <c r="F91" s="325"/>
      <c r="G91" s="325" t="s">
        <v>57</v>
      </c>
      <c r="H91" s="212"/>
      <c r="I91" s="212"/>
      <c r="J91" s="212"/>
      <c r="K91" s="263"/>
    </row>
    <row r="92" spans="2:48">
      <c r="B92" s="260">
        <v>47</v>
      </c>
      <c r="C92" s="261" t="s">
        <v>383</v>
      </c>
      <c r="D92" s="264" t="s">
        <v>474</v>
      </c>
      <c r="E92" s="212"/>
      <c r="F92" s="212"/>
      <c r="G92" s="212"/>
      <c r="H92" s="212"/>
      <c r="I92" s="212"/>
      <c r="J92" s="212"/>
      <c r="K92" s="263"/>
    </row>
    <row r="93" spans="2:48">
      <c r="B93" s="260">
        <v>57</v>
      </c>
      <c r="C93" s="261" t="s">
        <v>393</v>
      </c>
      <c r="D93" s="264" t="s">
        <v>474</v>
      </c>
      <c r="E93" s="212"/>
      <c r="F93" s="212"/>
      <c r="G93" s="212"/>
      <c r="H93" s="212"/>
      <c r="I93" s="212"/>
      <c r="J93" s="212"/>
      <c r="K93" s="263"/>
    </row>
    <row r="94" spans="2:48">
      <c r="B94" s="260">
        <v>67</v>
      </c>
      <c r="C94" s="261" t="s">
        <v>403</v>
      </c>
      <c r="D94" s="264" t="s">
        <v>474</v>
      </c>
      <c r="E94" s="212"/>
      <c r="F94" s="212"/>
      <c r="G94" s="212"/>
      <c r="H94" s="212"/>
      <c r="I94" s="212"/>
      <c r="J94" s="212"/>
      <c r="K94" s="263"/>
    </row>
    <row r="95" spans="2:48">
      <c r="B95" s="260">
        <v>77</v>
      </c>
      <c r="C95" s="261" t="s">
        <v>413</v>
      </c>
      <c r="D95" s="264" t="s">
        <v>474</v>
      </c>
      <c r="E95" s="212"/>
      <c r="F95" s="212"/>
      <c r="G95" s="212"/>
      <c r="H95" s="212"/>
      <c r="I95" s="212"/>
      <c r="J95" s="212"/>
      <c r="K95" s="263"/>
    </row>
    <row r="96" spans="2:48">
      <c r="B96" s="260">
        <v>87</v>
      </c>
      <c r="C96" s="261" t="s">
        <v>423</v>
      </c>
      <c r="D96" s="262" t="s">
        <v>474</v>
      </c>
      <c r="E96" s="212"/>
      <c r="F96" s="212"/>
      <c r="G96" s="212"/>
      <c r="H96" s="212"/>
      <c r="I96" s="212"/>
      <c r="J96" s="212"/>
      <c r="K96" s="263"/>
    </row>
    <row r="97" spans="2:11">
      <c r="B97" s="260">
        <v>48</v>
      </c>
      <c r="C97" s="261" t="s">
        <v>384</v>
      </c>
      <c r="D97" s="264" t="s">
        <v>474</v>
      </c>
      <c r="E97" s="212"/>
      <c r="F97" s="212"/>
      <c r="G97" s="212"/>
      <c r="H97" s="212"/>
      <c r="I97" s="212"/>
      <c r="J97" s="212"/>
      <c r="K97" s="263"/>
    </row>
    <row r="98" spans="2:11">
      <c r="B98" s="260">
        <v>58</v>
      </c>
      <c r="C98" s="261" t="s">
        <v>394</v>
      </c>
      <c r="D98" s="264" t="s">
        <v>474</v>
      </c>
      <c r="E98" s="212"/>
      <c r="F98" s="212"/>
      <c r="G98" s="212"/>
      <c r="H98" s="212"/>
      <c r="I98" s="212"/>
      <c r="J98" s="212"/>
      <c r="K98" s="263"/>
    </row>
    <row r="99" spans="2:11">
      <c r="B99" s="260">
        <v>68</v>
      </c>
      <c r="C99" s="261" t="s">
        <v>404</v>
      </c>
      <c r="D99" s="264" t="s">
        <v>474</v>
      </c>
      <c r="E99" s="212"/>
      <c r="F99" s="212"/>
      <c r="G99" s="212"/>
      <c r="H99" s="212"/>
      <c r="I99" s="212"/>
      <c r="J99" s="212"/>
      <c r="K99" s="263"/>
    </row>
    <row r="100" spans="2:11">
      <c r="B100" s="260">
        <v>69</v>
      </c>
      <c r="C100" s="261" t="s">
        <v>405</v>
      </c>
      <c r="D100" s="264" t="s">
        <v>474</v>
      </c>
      <c r="E100" s="212"/>
      <c r="F100" s="212"/>
      <c r="G100" s="212"/>
      <c r="H100" s="212"/>
      <c r="I100" s="212"/>
      <c r="J100" s="212"/>
      <c r="K100" s="263"/>
    </row>
    <row r="101" spans="2:11">
      <c r="B101" s="260">
        <v>70</v>
      </c>
      <c r="C101" s="261" t="s">
        <v>406</v>
      </c>
      <c r="D101" s="264" t="s">
        <v>508</v>
      </c>
      <c r="E101" s="212"/>
      <c r="F101" s="212"/>
      <c r="G101" s="212"/>
      <c r="H101" s="212"/>
      <c r="I101" s="212"/>
      <c r="J101" s="212"/>
      <c r="K101" s="263"/>
    </row>
    <row r="102" spans="2:11">
      <c r="B102" s="260">
        <v>80</v>
      </c>
      <c r="C102" s="261" t="s">
        <v>416</v>
      </c>
      <c r="D102" s="264" t="s">
        <v>510</v>
      </c>
      <c r="E102" s="212"/>
      <c r="F102" s="212"/>
      <c r="G102" s="212"/>
      <c r="H102" s="212"/>
      <c r="I102" s="212"/>
      <c r="J102" s="212"/>
      <c r="K102" s="263"/>
    </row>
    <row r="103" spans="2:11">
      <c r="B103" s="260">
        <v>90</v>
      </c>
      <c r="C103" s="261" t="s">
        <v>426</v>
      </c>
      <c r="D103" s="262" t="s">
        <v>509</v>
      </c>
      <c r="E103" s="212"/>
      <c r="F103" s="212"/>
      <c r="G103" s="212"/>
      <c r="H103" s="212"/>
      <c r="I103" s="212"/>
      <c r="J103" s="212"/>
      <c r="K103" s="263"/>
    </row>
    <row r="104" spans="2:11">
      <c r="B104" s="260">
        <v>106</v>
      </c>
      <c r="C104" s="261" t="s">
        <v>25</v>
      </c>
      <c r="D104" s="262" t="s">
        <v>482</v>
      </c>
      <c r="E104" s="212"/>
      <c r="F104" s="212"/>
      <c r="G104" s="212"/>
      <c r="H104" s="212"/>
      <c r="I104" s="212"/>
      <c r="J104" s="212"/>
      <c r="K104" s="263"/>
    </row>
    <row r="105" spans="2:11">
      <c r="B105" s="260">
        <v>116</v>
      </c>
      <c r="C105" s="261" t="s">
        <v>35</v>
      </c>
      <c r="D105" s="262" t="s">
        <v>482</v>
      </c>
      <c r="E105" s="212"/>
      <c r="F105" s="212"/>
      <c r="G105" s="212"/>
      <c r="H105" s="212"/>
      <c r="I105" s="212"/>
      <c r="J105" s="212"/>
      <c r="K105" s="263"/>
    </row>
    <row r="106" spans="2:11">
      <c r="B106" s="260">
        <v>126</v>
      </c>
      <c r="C106" s="261" t="s">
        <v>45</v>
      </c>
      <c r="D106" s="262" t="s">
        <v>482</v>
      </c>
      <c r="E106" s="212"/>
      <c r="F106" s="212"/>
      <c r="G106" s="212"/>
      <c r="H106" s="212"/>
      <c r="I106" s="212"/>
      <c r="J106" s="212"/>
      <c r="K106" s="263"/>
    </row>
    <row r="107" spans="2:11">
      <c r="B107" s="260">
        <v>136</v>
      </c>
      <c r="C107" s="261" t="s">
        <v>55</v>
      </c>
      <c r="D107" s="262" t="s">
        <v>482</v>
      </c>
      <c r="E107" s="212"/>
      <c r="F107" s="212"/>
      <c r="G107" s="212"/>
      <c r="H107" s="212"/>
      <c r="I107" s="212"/>
      <c r="J107" s="212"/>
      <c r="K107" s="263"/>
    </row>
    <row r="108" spans="2:11">
      <c r="B108" s="260">
        <v>97</v>
      </c>
      <c r="C108" s="261" t="s">
        <v>9</v>
      </c>
      <c r="D108" s="262" t="s">
        <v>482</v>
      </c>
      <c r="E108" s="212"/>
      <c r="F108" s="212"/>
      <c r="G108" s="212"/>
      <c r="H108" s="212"/>
      <c r="I108" s="212"/>
      <c r="J108" s="212"/>
      <c r="K108" s="263"/>
    </row>
    <row r="109" spans="2:11">
      <c r="B109" s="260">
        <v>107</v>
      </c>
      <c r="C109" s="261" t="s">
        <v>26</v>
      </c>
      <c r="D109" s="262" t="s">
        <v>482</v>
      </c>
      <c r="E109" s="212"/>
      <c r="F109" s="212"/>
      <c r="G109" s="212"/>
      <c r="H109" s="212"/>
      <c r="I109" s="212"/>
      <c r="J109" s="212"/>
      <c r="K109" s="263"/>
    </row>
    <row r="110" spans="2:11">
      <c r="B110" s="260">
        <v>98</v>
      </c>
      <c r="C110" s="261" t="s">
        <v>10</v>
      </c>
      <c r="D110" s="262" t="s">
        <v>482</v>
      </c>
      <c r="E110" s="212"/>
      <c r="F110" s="212"/>
      <c r="G110" s="212"/>
      <c r="H110" s="212"/>
      <c r="I110" s="212"/>
      <c r="J110" s="212"/>
      <c r="K110" s="263"/>
    </row>
    <row r="111" spans="2:11">
      <c r="B111" s="260">
        <v>108</v>
      </c>
      <c r="C111" s="261" t="s">
        <v>27</v>
      </c>
      <c r="D111" s="262" t="s">
        <v>482</v>
      </c>
      <c r="E111" s="212"/>
      <c r="F111" s="212"/>
      <c r="G111" s="212"/>
      <c r="H111" s="212"/>
      <c r="I111" s="212"/>
      <c r="J111" s="212"/>
      <c r="K111" s="263"/>
    </row>
    <row r="112" spans="2:11">
      <c r="B112" s="260">
        <v>109</v>
      </c>
      <c r="C112" s="261" t="s">
        <v>28</v>
      </c>
      <c r="D112" s="262" t="s">
        <v>482</v>
      </c>
      <c r="E112" s="212"/>
      <c r="F112" s="212"/>
      <c r="G112" s="212"/>
      <c r="H112" s="212"/>
      <c r="I112" s="212"/>
      <c r="J112" s="212"/>
      <c r="K112" s="263"/>
    </row>
    <row r="113" spans="2:11">
      <c r="B113" s="260">
        <v>100</v>
      </c>
      <c r="C113" s="261" t="s">
        <v>12</v>
      </c>
      <c r="D113" s="262" t="s">
        <v>482</v>
      </c>
      <c r="E113" s="212"/>
      <c r="F113" s="212"/>
      <c r="G113" s="212"/>
      <c r="H113" s="212"/>
      <c r="I113" s="212"/>
      <c r="J113" s="212"/>
      <c r="K113" s="263"/>
    </row>
    <row r="114" spans="2:11">
      <c r="B114" s="260">
        <v>110</v>
      </c>
      <c r="C114" s="261" t="s">
        <v>29</v>
      </c>
      <c r="D114" s="262" t="s">
        <v>482</v>
      </c>
      <c r="E114" s="212"/>
      <c r="F114" s="212"/>
      <c r="G114" s="212"/>
      <c r="H114" s="212"/>
      <c r="I114" s="212"/>
      <c r="J114" s="212"/>
      <c r="K114" s="263"/>
    </row>
    <row r="115" spans="2:11">
      <c r="B115" s="260">
        <v>30</v>
      </c>
      <c r="C115" s="261" t="s">
        <v>366</v>
      </c>
      <c r="D115" s="262" t="s">
        <v>511</v>
      </c>
      <c r="E115" s="212"/>
      <c r="F115" s="212"/>
      <c r="G115" s="212"/>
      <c r="H115" s="212"/>
      <c r="I115" s="212"/>
      <c r="J115" s="212"/>
      <c r="K115" s="263"/>
    </row>
    <row r="116" spans="2:11">
      <c r="B116" s="260">
        <v>29</v>
      </c>
      <c r="C116" s="261" t="s">
        <v>365</v>
      </c>
      <c r="D116" s="326" t="s">
        <v>500</v>
      </c>
      <c r="E116" s="325" t="s">
        <v>871</v>
      </c>
      <c r="F116" s="325"/>
      <c r="G116" s="325" t="s">
        <v>187</v>
      </c>
      <c r="H116" s="212"/>
      <c r="I116" s="212"/>
      <c r="J116" s="212"/>
      <c r="K116" s="263"/>
    </row>
    <row r="117" spans="2:11">
      <c r="B117" s="260">
        <v>39</v>
      </c>
      <c r="C117" s="261" t="s">
        <v>375</v>
      </c>
      <c r="D117" s="326" t="s">
        <v>483</v>
      </c>
      <c r="E117" s="325" t="s">
        <v>871</v>
      </c>
      <c r="F117" s="212"/>
      <c r="G117" s="325" t="s">
        <v>970</v>
      </c>
      <c r="H117" s="212"/>
      <c r="I117" s="212"/>
      <c r="J117" s="212"/>
      <c r="K117" s="263"/>
    </row>
    <row r="118" spans="2:11">
      <c r="B118" s="260">
        <v>40</v>
      </c>
      <c r="C118" s="261" t="s">
        <v>376</v>
      </c>
      <c r="D118" s="326" t="s">
        <v>492</v>
      </c>
      <c r="E118" s="325" t="s">
        <v>871</v>
      </c>
      <c r="F118" s="212"/>
      <c r="G118" s="325" t="s">
        <v>971</v>
      </c>
      <c r="H118" s="212"/>
      <c r="I118" s="212"/>
      <c r="J118" s="212"/>
      <c r="K118" s="263"/>
    </row>
    <row r="119" spans="2:11">
      <c r="B119" s="260">
        <v>119</v>
      </c>
      <c r="C119" s="261" t="s">
        <v>38</v>
      </c>
      <c r="D119" s="326" t="s">
        <v>506</v>
      </c>
      <c r="E119" s="325" t="s">
        <v>871</v>
      </c>
      <c r="F119" s="325"/>
      <c r="G119" s="325"/>
      <c r="H119" s="212"/>
      <c r="I119" s="212"/>
      <c r="J119" s="212"/>
      <c r="K119" s="263"/>
    </row>
    <row r="120" spans="2:11" ht="16.5" thickBot="1">
      <c r="B120" s="260">
        <v>120</v>
      </c>
      <c r="C120" s="261" t="s">
        <v>39</v>
      </c>
      <c r="D120" s="326" t="s">
        <v>496</v>
      </c>
      <c r="E120" s="325" t="s">
        <v>871</v>
      </c>
      <c r="F120" s="325"/>
      <c r="G120" s="325" t="s">
        <v>297</v>
      </c>
      <c r="H120" s="212"/>
      <c r="I120" s="212"/>
      <c r="J120" s="212"/>
      <c r="K120" s="263"/>
    </row>
    <row r="121" spans="2:11">
      <c r="B121" s="42">
        <v>267</v>
      </c>
      <c r="C121" s="21" t="s">
        <v>186</v>
      </c>
      <c r="D121" s="22" t="s">
        <v>485</v>
      </c>
      <c r="E121" s="322" t="s">
        <v>871</v>
      </c>
      <c r="F121" s="5"/>
      <c r="G121" s="320" t="s">
        <v>226</v>
      </c>
      <c r="H121" s="5"/>
      <c r="I121" s="5"/>
      <c r="J121" s="5"/>
      <c r="K121" s="14"/>
    </row>
    <row r="122" spans="2:11">
      <c r="B122" s="42">
        <v>268</v>
      </c>
      <c r="C122" s="21" t="s">
        <v>187</v>
      </c>
      <c r="D122" s="22" t="s">
        <v>494</v>
      </c>
      <c r="E122" s="323" t="s">
        <v>871</v>
      </c>
      <c r="F122" s="5"/>
      <c r="G122" s="320" t="s">
        <v>236</v>
      </c>
      <c r="H122" s="5"/>
      <c r="I122" s="5"/>
      <c r="J122" s="5"/>
      <c r="K122" s="14"/>
    </row>
    <row r="123" spans="2:11">
      <c r="B123" s="42">
        <v>258</v>
      </c>
      <c r="C123" s="21" t="s">
        <v>177</v>
      </c>
      <c r="D123" s="22" t="s">
        <v>493</v>
      </c>
      <c r="E123" s="5"/>
      <c r="F123" s="5"/>
      <c r="G123" s="5"/>
      <c r="H123" s="5"/>
      <c r="I123" s="5"/>
      <c r="J123" s="5"/>
      <c r="K123" s="14"/>
    </row>
    <row r="124" spans="2:11">
      <c r="B124" s="42">
        <v>257</v>
      </c>
      <c r="C124" s="21" t="s">
        <v>176</v>
      </c>
      <c r="D124" s="22" t="s">
        <v>484</v>
      </c>
      <c r="E124" s="323" t="s">
        <v>871</v>
      </c>
      <c r="F124" s="323"/>
      <c r="G124" s="320" t="s">
        <v>1034</v>
      </c>
      <c r="H124" s="5"/>
      <c r="I124" s="5"/>
      <c r="J124" s="5"/>
      <c r="K124" s="14"/>
    </row>
    <row r="125" spans="2:11">
      <c r="B125" s="42">
        <v>260</v>
      </c>
      <c r="C125" s="21" t="s">
        <v>179</v>
      </c>
      <c r="D125" s="22" t="s">
        <v>516</v>
      </c>
      <c r="E125" s="5"/>
      <c r="F125" s="5"/>
      <c r="G125" s="5"/>
      <c r="H125" s="5"/>
      <c r="I125" s="5"/>
      <c r="J125" s="5"/>
      <c r="K125" s="14"/>
    </row>
    <row r="126" spans="2:11">
      <c r="B126" s="42">
        <v>259</v>
      </c>
      <c r="C126" s="21" t="s">
        <v>178</v>
      </c>
      <c r="D126" s="22" t="s">
        <v>504</v>
      </c>
      <c r="E126" s="323" t="s">
        <v>871</v>
      </c>
      <c r="F126" s="323"/>
      <c r="G126" s="320" t="s">
        <v>1035</v>
      </c>
      <c r="H126" s="5"/>
      <c r="I126" s="5"/>
      <c r="J126" s="5"/>
      <c r="K126" s="14"/>
    </row>
    <row r="127" spans="2:11">
      <c r="B127" s="42">
        <v>206</v>
      </c>
      <c r="C127" s="21" t="s">
        <v>125</v>
      </c>
      <c r="D127" s="22" t="s">
        <v>475</v>
      </c>
      <c r="E127" s="5"/>
      <c r="F127" s="5"/>
      <c r="G127" s="5"/>
      <c r="H127" s="5"/>
      <c r="I127" s="5"/>
      <c r="J127" s="5"/>
      <c r="K127" s="14"/>
    </row>
    <row r="128" spans="2:11">
      <c r="B128" s="42">
        <v>216</v>
      </c>
      <c r="C128" s="21" t="s">
        <v>135</v>
      </c>
      <c r="D128" s="22" t="s">
        <v>475</v>
      </c>
      <c r="E128" s="5"/>
      <c r="F128" s="5"/>
      <c r="G128" s="5"/>
      <c r="H128" s="5"/>
      <c r="I128" s="5"/>
      <c r="J128" s="5"/>
      <c r="K128" s="14"/>
    </row>
    <row r="129" spans="2:11">
      <c r="B129" s="42">
        <v>226</v>
      </c>
      <c r="C129" s="21" t="s">
        <v>145</v>
      </c>
      <c r="D129" s="22" t="s">
        <v>475</v>
      </c>
      <c r="E129" s="5"/>
      <c r="F129" s="5"/>
      <c r="G129" s="5"/>
      <c r="H129" s="5"/>
      <c r="I129" s="5"/>
      <c r="J129" s="5"/>
      <c r="K129" s="14"/>
    </row>
    <row r="130" spans="2:11">
      <c r="B130" s="42">
        <v>236</v>
      </c>
      <c r="C130" s="21" t="s">
        <v>155</v>
      </c>
      <c r="D130" s="22" t="s">
        <v>475</v>
      </c>
      <c r="E130" s="5"/>
      <c r="F130" s="5"/>
      <c r="G130" s="5"/>
      <c r="H130" s="5"/>
      <c r="I130" s="5"/>
      <c r="J130" s="5"/>
      <c r="K130" s="14"/>
    </row>
    <row r="131" spans="2:11">
      <c r="B131" s="42">
        <v>246</v>
      </c>
      <c r="C131" s="21" t="s">
        <v>165</v>
      </c>
      <c r="D131" s="22" t="s">
        <v>475</v>
      </c>
      <c r="E131" s="5"/>
      <c r="F131" s="5"/>
      <c r="G131" s="5"/>
      <c r="H131" s="5"/>
      <c r="I131" s="5"/>
      <c r="J131" s="5"/>
      <c r="K131" s="14"/>
    </row>
    <row r="132" spans="2:11">
      <c r="B132" s="42">
        <v>256</v>
      </c>
      <c r="C132" s="21" t="s">
        <v>175</v>
      </c>
      <c r="D132" s="22" t="s">
        <v>475</v>
      </c>
      <c r="E132" s="5"/>
      <c r="F132" s="5"/>
      <c r="G132" s="5"/>
      <c r="H132" s="5"/>
      <c r="I132" s="5"/>
      <c r="J132" s="5"/>
      <c r="K132" s="14"/>
    </row>
    <row r="133" spans="2:11">
      <c r="B133" s="42">
        <v>237</v>
      </c>
      <c r="C133" s="21" t="s">
        <v>156</v>
      </c>
      <c r="D133" s="22" t="s">
        <v>475</v>
      </c>
      <c r="E133" s="5"/>
      <c r="F133" s="5"/>
      <c r="G133" s="5"/>
      <c r="H133" s="5"/>
      <c r="I133" s="5"/>
      <c r="J133" s="5"/>
      <c r="K133" s="14"/>
    </row>
    <row r="134" spans="2:11">
      <c r="B134" s="42">
        <v>247</v>
      </c>
      <c r="C134" s="21" t="s">
        <v>166</v>
      </c>
      <c r="D134" s="22" t="s">
        <v>475</v>
      </c>
      <c r="E134" s="5"/>
      <c r="F134" s="5"/>
      <c r="G134" s="5"/>
      <c r="H134" s="5"/>
      <c r="I134" s="5"/>
      <c r="J134" s="5"/>
      <c r="K134" s="14"/>
    </row>
    <row r="135" spans="2:11">
      <c r="B135" s="42">
        <v>238</v>
      </c>
      <c r="C135" s="21" t="s">
        <v>157</v>
      </c>
      <c r="D135" s="22" t="s">
        <v>475</v>
      </c>
      <c r="E135" s="5"/>
      <c r="F135" s="5"/>
      <c r="G135" s="5"/>
      <c r="H135" s="5"/>
      <c r="I135" s="5"/>
      <c r="J135" s="5"/>
      <c r="K135" s="14"/>
    </row>
    <row r="136" spans="2:11">
      <c r="B136" s="42">
        <v>248</v>
      </c>
      <c r="C136" s="21" t="s">
        <v>167</v>
      </c>
      <c r="D136" s="22" t="s">
        <v>475</v>
      </c>
      <c r="E136" s="5"/>
      <c r="F136" s="5"/>
      <c r="G136" s="5"/>
      <c r="H136" s="5"/>
      <c r="I136" s="5"/>
      <c r="J136" s="5"/>
      <c r="K136" s="14"/>
    </row>
    <row r="137" spans="2:11">
      <c r="B137" s="42">
        <v>239</v>
      </c>
      <c r="C137" s="21" t="s">
        <v>158</v>
      </c>
      <c r="D137" s="22" t="s">
        <v>475</v>
      </c>
      <c r="E137" s="5"/>
      <c r="F137" s="5"/>
      <c r="G137" s="5"/>
      <c r="H137" s="5"/>
      <c r="I137" s="5"/>
      <c r="J137" s="5"/>
      <c r="K137" s="14"/>
    </row>
    <row r="138" spans="2:11">
      <c r="B138" s="42">
        <v>240</v>
      </c>
      <c r="C138" s="21" t="s">
        <v>159</v>
      </c>
      <c r="D138" s="22" t="s">
        <v>514</v>
      </c>
      <c r="E138" s="5"/>
      <c r="F138" s="5"/>
      <c r="G138" s="5"/>
      <c r="H138" s="5"/>
      <c r="I138" s="5"/>
      <c r="J138" s="5"/>
      <c r="K138" s="14"/>
    </row>
    <row r="139" spans="2:11">
      <c r="B139" s="42">
        <v>250</v>
      </c>
      <c r="C139" s="21" t="s">
        <v>169</v>
      </c>
      <c r="D139" s="22" t="s">
        <v>515</v>
      </c>
      <c r="E139" s="5"/>
      <c r="F139" s="5"/>
      <c r="G139" s="5"/>
      <c r="H139" s="5"/>
      <c r="I139" s="5"/>
      <c r="J139" s="5"/>
      <c r="K139" s="14"/>
    </row>
    <row r="140" spans="2:11">
      <c r="B140" s="42">
        <v>249</v>
      </c>
      <c r="C140" s="21" t="s">
        <v>168</v>
      </c>
      <c r="D140" s="22" t="s">
        <v>503</v>
      </c>
      <c r="E140" s="5"/>
      <c r="F140" s="5"/>
      <c r="G140" s="5"/>
      <c r="H140" s="5"/>
      <c r="I140" s="5"/>
      <c r="J140" s="5"/>
      <c r="K140" s="14"/>
    </row>
    <row r="141" spans="2:11">
      <c r="B141" s="42">
        <v>266</v>
      </c>
      <c r="C141" s="21" t="s">
        <v>185</v>
      </c>
      <c r="D141" s="22" t="s">
        <v>476</v>
      </c>
      <c r="E141" s="5"/>
      <c r="F141" s="5"/>
      <c r="G141" s="5"/>
      <c r="H141" s="5"/>
      <c r="I141" s="5"/>
      <c r="J141" s="5"/>
      <c r="K141" s="14"/>
    </row>
    <row r="142" spans="2:11">
      <c r="B142" s="42">
        <v>276</v>
      </c>
      <c r="C142" s="21" t="s">
        <v>195</v>
      </c>
      <c r="D142" s="22" t="s">
        <v>476</v>
      </c>
      <c r="E142" s="5"/>
      <c r="F142" s="5"/>
      <c r="G142" s="5"/>
      <c r="H142" s="5"/>
      <c r="I142" s="5"/>
      <c r="J142" s="5"/>
      <c r="K142" s="14"/>
    </row>
    <row r="143" spans="2:11">
      <c r="B143" s="42">
        <v>286</v>
      </c>
      <c r="C143" s="21" t="s">
        <v>205</v>
      </c>
      <c r="D143" s="22" t="s">
        <v>476</v>
      </c>
      <c r="E143" s="5"/>
      <c r="F143" s="5"/>
      <c r="G143" s="5"/>
      <c r="H143" s="5"/>
      <c r="I143" s="5"/>
      <c r="J143" s="5"/>
      <c r="K143" s="14"/>
    </row>
    <row r="144" spans="2:11">
      <c r="B144" s="42">
        <v>296</v>
      </c>
      <c r="C144" s="21" t="s">
        <v>215</v>
      </c>
      <c r="D144" s="22" t="s">
        <v>476</v>
      </c>
      <c r="E144" s="5"/>
      <c r="F144" s="5"/>
      <c r="G144" s="5"/>
      <c r="H144" s="5"/>
      <c r="I144" s="5"/>
      <c r="J144" s="5"/>
      <c r="K144" s="14"/>
    </row>
    <row r="145" spans="2:11">
      <c r="B145" s="42">
        <v>306</v>
      </c>
      <c r="C145" s="21" t="s">
        <v>225</v>
      </c>
      <c r="D145" s="22" t="s">
        <v>476</v>
      </c>
      <c r="E145" s="5"/>
      <c r="F145" s="5"/>
      <c r="G145" s="5"/>
      <c r="H145" s="5"/>
      <c r="I145" s="5"/>
      <c r="J145" s="5"/>
      <c r="K145" s="14"/>
    </row>
    <row r="146" spans="2:11">
      <c r="B146" s="42">
        <v>316</v>
      </c>
      <c r="C146" s="21" t="s">
        <v>235</v>
      </c>
      <c r="D146" s="22" t="s">
        <v>476</v>
      </c>
      <c r="E146" s="5"/>
      <c r="F146" s="5"/>
      <c r="G146" s="5"/>
      <c r="H146" s="5"/>
      <c r="I146" s="5"/>
      <c r="J146" s="5"/>
      <c r="K146" s="14"/>
    </row>
    <row r="147" spans="2:11">
      <c r="B147" s="42">
        <v>326</v>
      </c>
      <c r="C147" s="21" t="s">
        <v>245</v>
      </c>
      <c r="D147" s="22" t="s">
        <v>476</v>
      </c>
      <c r="E147" s="5"/>
      <c r="F147" s="5"/>
      <c r="G147" s="5"/>
      <c r="H147" s="5"/>
      <c r="I147" s="5"/>
      <c r="J147" s="5"/>
      <c r="K147" s="14"/>
    </row>
    <row r="148" spans="2:11">
      <c r="B148" s="42">
        <v>328</v>
      </c>
      <c r="C148" s="21" t="s">
        <v>247</v>
      </c>
      <c r="D148" s="22" t="s">
        <v>476</v>
      </c>
      <c r="E148" s="5"/>
      <c r="F148" s="5"/>
      <c r="G148" s="5"/>
      <c r="H148" s="5"/>
      <c r="I148" s="5"/>
      <c r="J148" s="5"/>
      <c r="K148" s="14"/>
    </row>
    <row r="149" spans="2:11">
      <c r="B149" s="42">
        <v>329</v>
      </c>
      <c r="C149" s="21" t="s">
        <v>248</v>
      </c>
      <c r="D149" s="22" t="s">
        <v>476</v>
      </c>
      <c r="E149" s="5"/>
      <c r="F149" s="5"/>
      <c r="G149" s="5"/>
      <c r="H149" s="5"/>
      <c r="I149" s="5"/>
      <c r="J149" s="5"/>
      <c r="K149" s="14"/>
    </row>
    <row r="150" spans="2:11">
      <c r="B150" s="42">
        <v>330</v>
      </c>
      <c r="C150" s="21" t="s">
        <v>249</v>
      </c>
      <c r="D150" s="22" t="s">
        <v>476</v>
      </c>
      <c r="E150" s="5"/>
      <c r="F150" s="5"/>
      <c r="G150" s="5"/>
      <c r="H150" s="5"/>
      <c r="I150" s="5"/>
      <c r="J150" s="5"/>
      <c r="K150" s="14"/>
    </row>
    <row r="151" spans="2:11">
      <c r="B151" s="42">
        <v>219</v>
      </c>
      <c r="C151" s="21" t="s">
        <v>138</v>
      </c>
      <c r="D151" s="22" t="s">
        <v>501</v>
      </c>
      <c r="E151" s="5"/>
      <c r="F151" s="5"/>
      <c r="G151" s="5"/>
      <c r="H151" s="5"/>
      <c r="I151" s="5"/>
      <c r="J151" s="5"/>
      <c r="K151" s="14"/>
    </row>
    <row r="152" spans="2:11">
      <c r="B152" s="42">
        <v>220</v>
      </c>
      <c r="C152" s="21" t="s">
        <v>139</v>
      </c>
      <c r="D152" s="327" t="s">
        <v>512</v>
      </c>
      <c r="E152" s="323" t="s">
        <v>871</v>
      </c>
      <c r="F152" s="323"/>
      <c r="G152" s="387" t="s">
        <v>147</v>
      </c>
      <c r="H152" s="5"/>
      <c r="I152" s="5"/>
      <c r="J152" s="5"/>
      <c r="K152" s="14"/>
    </row>
    <row r="153" spans="2:11">
      <c r="B153" s="42">
        <v>229</v>
      </c>
      <c r="C153" s="21" t="s">
        <v>148</v>
      </c>
      <c r="D153" s="327" t="s">
        <v>502</v>
      </c>
      <c r="E153" s="323" t="s">
        <v>871</v>
      </c>
      <c r="F153" s="13"/>
      <c r="G153" s="387" t="s">
        <v>247</v>
      </c>
      <c r="H153" s="5"/>
      <c r="I153" s="5"/>
      <c r="J153" s="5"/>
      <c r="K153" s="14"/>
    </row>
    <row r="154" spans="2:11" ht="16.5" thickBot="1">
      <c r="B154" s="42">
        <v>230</v>
      </c>
      <c r="C154" s="21" t="s">
        <v>149</v>
      </c>
      <c r="D154" s="327" t="s">
        <v>513</v>
      </c>
      <c r="E154" s="323" t="s">
        <v>871</v>
      </c>
      <c r="F154" s="13"/>
      <c r="G154" s="392" t="s">
        <v>257</v>
      </c>
      <c r="H154" s="5"/>
      <c r="I154" s="5"/>
      <c r="J154" s="5"/>
      <c r="K154" s="14"/>
    </row>
    <row r="155" spans="2:11">
      <c r="B155" s="42">
        <v>269</v>
      </c>
      <c r="C155" s="21" t="s">
        <v>188</v>
      </c>
      <c r="D155" s="327" t="s">
        <v>517</v>
      </c>
      <c r="E155" s="323" t="s">
        <v>871</v>
      </c>
      <c r="F155" s="323"/>
      <c r="G155" s="323" t="s">
        <v>317</v>
      </c>
      <c r="H155" s="5"/>
      <c r="I155" s="5"/>
      <c r="J155" s="5"/>
      <c r="K155" s="14"/>
    </row>
    <row r="156" spans="2:11">
      <c r="B156" s="42">
        <v>270</v>
      </c>
      <c r="C156" s="21" t="s">
        <v>189</v>
      </c>
      <c r="D156" s="327" t="s">
        <v>505</v>
      </c>
      <c r="E156" s="323" t="s">
        <v>871</v>
      </c>
      <c r="F156" s="323"/>
      <c r="G156" s="387" t="s">
        <v>1033</v>
      </c>
      <c r="H156" s="5"/>
      <c r="I156" s="5"/>
      <c r="J156" s="5"/>
      <c r="K156" s="14"/>
    </row>
    <row r="157" spans="2:11">
      <c r="B157" s="197">
        <v>400</v>
      </c>
      <c r="C157" s="198" t="s">
        <v>319</v>
      </c>
      <c r="D157" s="292" t="s">
        <v>709</v>
      </c>
      <c r="E157" s="199"/>
      <c r="F157" s="199"/>
      <c r="G157" s="199"/>
      <c r="H157" s="199"/>
      <c r="I157" s="199"/>
      <c r="J157" s="199"/>
      <c r="K157" s="200"/>
    </row>
    <row r="158" spans="2:11">
      <c r="B158" s="197">
        <v>399</v>
      </c>
      <c r="C158" s="198" t="s">
        <v>318</v>
      </c>
      <c r="D158" s="292" t="s">
        <v>687</v>
      </c>
      <c r="E158" s="199"/>
      <c r="F158" s="199"/>
      <c r="G158" s="199"/>
      <c r="H158" s="199"/>
      <c r="I158" s="199"/>
      <c r="J158" s="199"/>
      <c r="K158" s="200"/>
    </row>
    <row r="159" spans="2:11">
      <c r="B159" s="197">
        <v>398</v>
      </c>
      <c r="C159" s="198" t="s">
        <v>317</v>
      </c>
      <c r="D159" s="292" t="s">
        <v>665</v>
      </c>
      <c r="E159" s="199"/>
      <c r="F159" s="199"/>
      <c r="G159" s="199"/>
      <c r="H159" s="199"/>
      <c r="I159" s="199"/>
      <c r="J159" s="199"/>
      <c r="K159" s="200"/>
    </row>
    <row r="160" spans="2:11">
      <c r="B160" s="197">
        <v>397</v>
      </c>
      <c r="C160" s="198" t="s">
        <v>316</v>
      </c>
      <c r="D160" s="292" t="s">
        <v>642</v>
      </c>
      <c r="E160" s="199"/>
      <c r="F160" s="199"/>
      <c r="G160" s="199"/>
      <c r="H160" s="199"/>
      <c r="I160" s="199"/>
      <c r="J160" s="199"/>
      <c r="K160" s="200"/>
    </row>
    <row r="161" spans="2:11">
      <c r="B161" s="197">
        <v>366</v>
      </c>
      <c r="C161" s="198" t="s">
        <v>285</v>
      </c>
      <c r="D161" s="292" t="s">
        <v>618</v>
      </c>
      <c r="E161" s="199"/>
      <c r="F161" s="199"/>
      <c r="G161" s="199"/>
      <c r="H161" s="199"/>
      <c r="I161" s="199"/>
      <c r="J161" s="199"/>
      <c r="K161" s="200"/>
    </row>
    <row r="162" spans="2:11">
      <c r="B162" s="197">
        <v>376</v>
      </c>
      <c r="C162" s="198" t="s">
        <v>295</v>
      </c>
      <c r="D162" s="292" t="s">
        <v>619</v>
      </c>
      <c r="E162" s="199"/>
      <c r="F162" s="199"/>
      <c r="G162" s="199"/>
      <c r="H162" s="199"/>
      <c r="I162" s="199"/>
      <c r="J162" s="199"/>
      <c r="K162" s="200"/>
    </row>
    <row r="163" spans="2:11">
      <c r="B163" s="197">
        <v>390</v>
      </c>
      <c r="C163" s="198" t="s">
        <v>309</v>
      </c>
      <c r="D163" s="292" t="s">
        <v>708</v>
      </c>
      <c r="E163" s="199"/>
      <c r="F163" s="199"/>
      <c r="G163" s="199"/>
      <c r="H163" s="199"/>
      <c r="I163" s="199"/>
      <c r="J163" s="199"/>
      <c r="K163" s="200"/>
    </row>
    <row r="164" spans="2:11">
      <c r="B164" s="197">
        <v>389</v>
      </c>
      <c r="C164" s="198" t="s">
        <v>308</v>
      </c>
      <c r="D164" s="292" t="s">
        <v>686</v>
      </c>
      <c r="E164" s="199"/>
      <c r="F164" s="199"/>
      <c r="G164" s="199"/>
      <c r="H164" s="199"/>
      <c r="I164" s="199"/>
      <c r="J164" s="199"/>
      <c r="K164" s="200"/>
    </row>
    <row r="165" spans="2:11">
      <c r="B165" s="197">
        <v>370</v>
      </c>
      <c r="C165" s="198" t="s">
        <v>289</v>
      </c>
      <c r="D165" s="292" t="s">
        <v>706</v>
      </c>
      <c r="E165" s="199"/>
      <c r="F165" s="199"/>
      <c r="G165" s="199"/>
      <c r="H165" s="199"/>
      <c r="I165" s="199"/>
      <c r="J165" s="199"/>
      <c r="K165" s="200"/>
    </row>
    <row r="166" spans="2:11">
      <c r="B166" s="197">
        <v>369</v>
      </c>
      <c r="C166" s="198" t="s">
        <v>288</v>
      </c>
      <c r="D166" s="292" t="s">
        <v>684</v>
      </c>
      <c r="E166" s="199"/>
      <c r="F166" s="199"/>
      <c r="G166" s="199"/>
      <c r="H166" s="199"/>
      <c r="I166" s="199"/>
      <c r="J166" s="199"/>
      <c r="K166" s="200"/>
    </row>
    <row r="167" spans="2:11">
      <c r="B167" s="197">
        <v>377</v>
      </c>
      <c r="C167" s="198" t="s">
        <v>296</v>
      </c>
      <c r="D167" s="292" t="s">
        <v>641</v>
      </c>
      <c r="E167" s="199"/>
      <c r="F167" s="199"/>
      <c r="G167" s="199"/>
      <c r="H167" s="199"/>
      <c r="I167" s="199"/>
      <c r="J167" s="199"/>
      <c r="K167" s="200"/>
    </row>
    <row r="168" spans="2:11">
      <c r="B168" s="197">
        <v>378</v>
      </c>
      <c r="C168" s="198" t="s">
        <v>297</v>
      </c>
      <c r="D168" s="292" t="s">
        <v>664</v>
      </c>
      <c r="E168" s="199"/>
      <c r="F168" s="199"/>
      <c r="G168" s="199"/>
      <c r="H168" s="199"/>
      <c r="I168" s="199"/>
      <c r="J168" s="199"/>
      <c r="K168" s="200"/>
    </row>
    <row r="169" spans="2:11">
      <c r="B169" s="197">
        <v>367</v>
      </c>
      <c r="C169" s="198" t="s">
        <v>286</v>
      </c>
      <c r="D169" s="292" t="s">
        <v>640</v>
      </c>
      <c r="E169" s="199"/>
      <c r="F169" s="199"/>
      <c r="G169" s="199"/>
      <c r="H169" s="199"/>
      <c r="I169" s="199"/>
      <c r="J169" s="199"/>
      <c r="K169" s="200"/>
    </row>
    <row r="170" spans="2:11">
      <c r="B170" s="197">
        <v>368</v>
      </c>
      <c r="C170" s="198" t="s">
        <v>287</v>
      </c>
      <c r="D170" s="292" t="s">
        <v>663</v>
      </c>
      <c r="E170" s="199"/>
      <c r="F170" s="199"/>
      <c r="G170" s="199"/>
      <c r="H170" s="199"/>
      <c r="I170" s="199"/>
      <c r="J170" s="199"/>
      <c r="K170" s="200"/>
    </row>
    <row r="171" spans="2:11">
      <c r="B171" s="197">
        <v>380</v>
      </c>
      <c r="C171" s="198" t="s">
        <v>299</v>
      </c>
      <c r="D171" s="292" t="s">
        <v>707</v>
      </c>
      <c r="E171" s="199"/>
      <c r="F171" s="199"/>
      <c r="G171" s="199"/>
      <c r="H171" s="199"/>
      <c r="I171" s="199"/>
      <c r="J171" s="199"/>
      <c r="K171" s="200"/>
    </row>
    <row r="172" spans="2:11">
      <c r="B172" s="197">
        <v>379</v>
      </c>
      <c r="C172" s="198" t="s">
        <v>298</v>
      </c>
      <c r="D172" s="292" t="s">
        <v>685</v>
      </c>
      <c r="E172" s="199"/>
      <c r="F172" s="199"/>
      <c r="G172" s="199"/>
      <c r="H172" s="199"/>
      <c r="I172" s="199"/>
      <c r="J172" s="199"/>
      <c r="K172" s="200"/>
    </row>
    <row r="173" spans="2:11">
      <c r="B173" s="197">
        <v>394</v>
      </c>
      <c r="C173" s="198" t="s">
        <v>313</v>
      </c>
      <c r="D173" s="292" t="s">
        <v>599</v>
      </c>
      <c r="E173" s="199"/>
      <c r="F173" s="199"/>
      <c r="G173" s="199"/>
      <c r="H173" s="199"/>
      <c r="I173" s="199"/>
      <c r="J173" s="199"/>
      <c r="K173" s="200"/>
    </row>
    <row r="174" spans="2:11">
      <c r="B174" s="197">
        <v>384</v>
      </c>
      <c r="C174" s="198" t="s">
        <v>303</v>
      </c>
      <c r="D174" s="292" t="s">
        <v>598</v>
      </c>
      <c r="E174" s="199"/>
      <c r="F174" s="199"/>
      <c r="G174" s="199"/>
      <c r="H174" s="199"/>
      <c r="I174" s="199"/>
      <c r="J174" s="199"/>
      <c r="K174" s="200"/>
    </row>
    <row r="175" spans="2:11">
      <c r="B175" s="197">
        <v>374</v>
      </c>
      <c r="C175" s="198" t="s">
        <v>293</v>
      </c>
      <c r="D175" s="292" t="s">
        <v>597</v>
      </c>
      <c r="E175" s="199"/>
      <c r="F175" s="199"/>
      <c r="G175" s="199"/>
      <c r="H175" s="199"/>
      <c r="I175" s="199"/>
      <c r="J175" s="199"/>
      <c r="K175" s="200"/>
    </row>
    <row r="176" spans="2:11">
      <c r="B176" s="197">
        <v>364</v>
      </c>
      <c r="C176" s="198" t="s">
        <v>283</v>
      </c>
      <c r="D176" s="292" t="s">
        <v>596</v>
      </c>
      <c r="E176" s="199"/>
      <c r="F176" s="199"/>
      <c r="G176" s="199"/>
      <c r="H176" s="199"/>
      <c r="I176" s="199"/>
      <c r="J176" s="199"/>
      <c r="K176" s="200"/>
    </row>
    <row r="177" spans="2:11">
      <c r="B177" s="197">
        <v>375</v>
      </c>
      <c r="C177" s="198" t="s">
        <v>294</v>
      </c>
      <c r="D177" s="292" t="s">
        <v>609</v>
      </c>
      <c r="E177" s="199"/>
      <c r="F177" s="199"/>
      <c r="G177" s="199"/>
      <c r="H177" s="199"/>
      <c r="I177" s="199"/>
      <c r="J177" s="199"/>
      <c r="K177" s="200"/>
    </row>
    <row r="178" spans="2:11">
      <c r="B178" s="197">
        <v>365</v>
      </c>
      <c r="C178" s="198" t="s">
        <v>284</v>
      </c>
      <c r="D178" s="292" t="s">
        <v>608</v>
      </c>
      <c r="E178" s="199"/>
      <c r="F178" s="199"/>
      <c r="G178" s="199"/>
      <c r="H178" s="199"/>
      <c r="I178" s="199"/>
      <c r="J178" s="199"/>
      <c r="K178" s="200"/>
    </row>
    <row r="179" spans="2:11">
      <c r="B179" s="197">
        <v>373</v>
      </c>
      <c r="C179" s="198" t="s">
        <v>292</v>
      </c>
      <c r="D179" s="292" t="s">
        <v>576</v>
      </c>
      <c r="E179" s="199"/>
      <c r="F179" s="199"/>
      <c r="G179" s="199"/>
      <c r="H179" s="199"/>
      <c r="I179" s="199"/>
      <c r="J179" s="199"/>
      <c r="K179" s="200"/>
    </row>
    <row r="180" spans="2:11">
      <c r="B180" s="197">
        <v>363</v>
      </c>
      <c r="C180" s="198" t="s">
        <v>282</v>
      </c>
      <c r="D180" s="292" t="s">
        <v>575</v>
      </c>
      <c r="E180" s="199"/>
      <c r="F180" s="199"/>
      <c r="G180" s="199"/>
      <c r="H180" s="199"/>
      <c r="I180" s="199"/>
      <c r="J180" s="199"/>
      <c r="K180" s="200"/>
    </row>
    <row r="181" spans="2:11">
      <c r="B181" s="197">
        <v>391</v>
      </c>
      <c r="C181" s="198" t="s">
        <v>310</v>
      </c>
      <c r="D181" s="292" t="s">
        <v>533</v>
      </c>
      <c r="E181" s="199"/>
      <c r="F181" s="199"/>
      <c r="G181" s="199"/>
      <c r="H181" s="199"/>
      <c r="I181" s="199"/>
      <c r="J181" s="199"/>
      <c r="K181" s="200"/>
    </row>
    <row r="182" spans="2:11">
      <c r="B182" s="197">
        <v>381</v>
      </c>
      <c r="C182" s="198" t="s">
        <v>300</v>
      </c>
      <c r="D182" s="292" t="s">
        <v>532</v>
      </c>
      <c r="E182" s="199"/>
      <c r="F182" s="199"/>
      <c r="G182" s="199"/>
      <c r="H182" s="199"/>
      <c r="I182" s="199"/>
      <c r="J182" s="199"/>
      <c r="K182" s="200"/>
    </row>
    <row r="183" spans="2:11">
      <c r="B183" s="197">
        <v>371</v>
      </c>
      <c r="C183" s="198" t="s">
        <v>290</v>
      </c>
      <c r="D183" s="292" t="s">
        <v>531</v>
      </c>
      <c r="E183" s="199"/>
      <c r="F183" s="199"/>
      <c r="G183" s="199"/>
      <c r="H183" s="199"/>
      <c r="I183" s="199"/>
      <c r="J183" s="199"/>
      <c r="K183" s="200"/>
    </row>
    <row r="184" spans="2:11">
      <c r="B184" s="197">
        <v>361</v>
      </c>
      <c r="C184" s="198" t="s">
        <v>280</v>
      </c>
      <c r="D184" s="292" t="s">
        <v>530</v>
      </c>
      <c r="E184" s="199"/>
      <c r="F184" s="199"/>
      <c r="G184" s="199"/>
      <c r="H184" s="199"/>
      <c r="I184" s="199"/>
      <c r="J184" s="199"/>
      <c r="K184" s="200"/>
    </row>
    <row r="185" spans="2:11">
      <c r="B185" s="197">
        <v>372</v>
      </c>
      <c r="C185" s="198" t="s">
        <v>291</v>
      </c>
      <c r="D185" s="292" t="s">
        <v>551</v>
      </c>
      <c r="E185" s="199"/>
      <c r="F185" s="199"/>
      <c r="G185" s="199"/>
      <c r="H185" s="199"/>
      <c r="I185" s="199"/>
      <c r="J185" s="199"/>
      <c r="K185" s="200"/>
    </row>
    <row r="186" spans="2:11">
      <c r="B186" s="197">
        <v>362</v>
      </c>
      <c r="C186" s="198" t="s">
        <v>281</v>
      </c>
      <c r="D186" s="292" t="s">
        <v>550</v>
      </c>
      <c r="E186" s="199"/>
      <c r="F186" s="199"/>
      <c r="G186" s="199"/>
      <c r="H186" s="199"/>
      <c r="I186" s="199"/>
      <c r="J186" s="199"/>
      <c r="K186" s="200"/>
    </row>
    <row r="187" spans="2:11">
      <c r="B187" s="197">
        <v>354</v>
      </c>
      <c r="C187" s="198" t="s">
        <v>273</v>
      </c>
      <c r="D187" s="292" t="s">
        <v>595</v>
      </c>
      <c r="E187" s="199"/>
      <c r="F187" s="199"/>
      <c r="G187" s="199"/>
      <c r="H187" s="199"/>
      <c r="I187" s="199"/>
      <c r="J187" s="199"/>
      <c r="K187" s="200"/>
    </row>
    <row r="188" spans="2:11">
      <c r="B188" s="197">
        <v>353</v>
      </c>
      <c r="C188" s="198" t="s">
        <v>272</v>
      </c>
      <c r="D188" s="292" t="s">
        <v>574</v>
      </c>
      <c r="E188" s="199"/>
      <c r="F188" s="199"/>
      <c r="G188" s="199"/>
      <c r="H188" s="199"/>
      <c r="I188" s="199"/>
      <c r="J188" s="199"/>
      <c r="K188" s="200"/>
    </row>
    <row r="189" spans="2:11">
      <c r="B189" s="42">
        <v>93</v>
      </c>
      <c r="C189" s="258" t="s">
        <v>5</v>
      </c>
      <c r="D189" s="257" t="s">
        <v>558</v>
      </c>
      <c r="E189" s="324" t="s">
        <v>871</v>
      </c>
      <c r="F189" s="13"/>
      <c r="G189" s="389" t="s">
        <v>281</v>
      </c>
      <c r="H189" s="385" t="s">
        <v>934</v>
      </c>
      <c r="I189" s="13"/>
      <c r="J189" s="13"/>
      <c r="K189" s="20"/>
    </row>
    <row r="190" spans="2:11">
      <c r="B190" s="42">
        <v>94</v>
      </c>
      <c r="C190" s="258" t="s">
        <v>6</v>
      </c>
      <c r="D190" s="257" t="s">
        <v>583</v>
      </c>
      <c r="E190" s="324" t="s">
        <v>871</v>
      </c>
      <c r="F190" s="13"/>
      <c r="G190" s="389" t="s">
        <v>291</v>
      </c>
      <c r="H190" s="312" t="s">
        <v>934</v>
      </c>
      <c r="I190" s="13"/>
      <c r="J190" s="13"/>
      <c r="K190" s="20"/>
    </row>
    <row r="191" spans="2:11">
      <c r="B191" s="42">
        <v>103</v>
      </c>
      <c r="C191" s="258" t="s">
        <v>22</v>
      </c>
      <c r="D191" s="257" t="s">
        <v>559</v>
      </c>
      <c r="E191" s="324" t="s">
        <v>871</v>
      </c>
      <c r="F191" s="13"/>
      <c r="G191" s="389" t="s">
        <v>300</v>
      </c>
      <c r="H191" s="312" t="s">
        <v>934</v>
      </c>
      <c r="I191" s="13"/>
      <c r="J191" s="13"/>
      <c r="K191" s="20"/>
    </row>
    <row r="192" spans="2:11">
      <c r="B192" s="42">
        <v>104</v>
      </c>
      <c r="C192" s="258" t="s">
        <v>23</v>
      </c>
      <c r="D192" s="257" t="s">
        <v>584</v>
      </c>
      <c r="E192" s="324" t="s">
        <v>871</v>
      </c>
      <c r="F192" s="13"/>
      <c r="G192" s="389" t="s">
        <v>310</v>
      </c>
      <c r="H192" s="312" t="s">
        <v>934</v>
      </c>
      <c r="I192" s="13"/>
      <c r="J192" s="13"/>
      <c r="K192" s="20"/>
    </row>
    <row r="193" spans="2:11">
      <c r="B193" s="42">
        <v>101</v>
      </c>
      <c r="C193" s="258" t="s">
        <v>20</v>
      </c>
      <c r="D193" s="257" t="s">
        <v>522</v>
      </c>
      <c r="E193" s="324" t="s">
        <v>871</v>
      </c>
      <c r="F193" s="13"/>
      <c r="G193" s="389" t="s">
        <v>260</v>
      </c>
      <c r="H193" s="312" t="s">
        <v>934</v>
      </c>
      <c r="I193" s="13"/>
      <c r="J193" s="13"/>
      <c r="K193" s="20"/>
    </row>
    <row r="194" spans="2:11">
      <c r="B194" s="42">
        <v>102</v>
      </c>
      <c r="C194" s="258" t="s">
        <v>21</v>
      </c>
      <c r="D194" s="257" t="s">
        <v>538</v>
      </c>
      <c r="E194" s="324" t="s">
        <v>871</v>
      </c>
      <c r="F194" s="13"/>
      <c r="G194" s="389" t="s">
        <v>270</v>
      </c>
      <c r="H194" s="312" t="s">
        <v>934</v>
      </c>
      <c r="I194" s="13"/>
      <c r="J194" s="13"/>
      <c r="K194" s="20"/>
    </row>
    <row r="195" spans="2:11">
      <c r="B195" s="213">
        <v>95</v>
      </c>
      <c r="C195" s="214" t="s">
        <v>7</v>
      </c>
      <c r="D195" s="215" t="s">
        <v>602</v>
      </c>
      <c r="E195" s="359"/>
      <c r="F195" s="216"/>
      <c r="G195" s="359"/>
      <c r="H195" s="312"/>
      <c r="I195" s="216"/>
      <c r="J195" s="216"/>
      <c r="K195" s="217"/>
    </row>
    <row r="196" spans="2:11">
      <c r="B196" s="213">
        <v>96</v>
      </c>
      <c r="C196" s="214" t="s">
        <v>8</v>
      </c>
      <c r="D196" s="215" t="s">
        <v>616</v>
      </c>
      <c r="E196" s="359"/>
      <c r="F196" s="216"/>
      <c r="G196" s="359"/>
      <c r="H196" s="312"/>
      <c r="I196" s="216"/>
      <c r="J196" s="216"/>
      <c r="K196" s="217"/>
    </row>
    <row r="197" spans="2:11">
      <c r="B197" s="42">
        <v>86</v>
      </c>
      <c r="C197" s="258" t="s">
        <v>422</v>
      </c>
      <c r="D197" s="257" t="s">
        <v>615</v>
      </c>
      <c r="E197" s="324" t="s">
        <v>871</v>
      </c>
      <c r="F197" s="13"/>
      <c r="G197" s="389" t="s">
        <v>302</v>
      </c>
      <c r="H197" s="312" t="s">
        <v>934</v>
      </c>
      <c r="I197" s="13"/>
      <c r="J197" s="13"/>
      <c r="K197" s="20"/>
    </row>
    <row r="198" spans="2:11">
      <c r="B198" s="42">
        <v>85</v>
      </c>
      <c r="C198" s="258" t="s">
        <v>421</v>
      </c>
      <c r="D198" s="257" t="s">
        <v>601</v>
      </c>
      <c r="E198" s="324" t="s">
        <v>871</v>
      </c>
      <c r="F198" s="13"/>
      <c r="G198" s="389" t="s">
        <v>312</v>
      </c>
      <c r="H198" s="312" t="s">
        <v>934</v>
      </c>
      <c r="I198" s="13"/>
      <c r="J198" s="13"/>
      <c r="K198" s="20"/>
    </row>
    <row r="199" spans="2:11">
      <c r="B199" s="42">
        <v>76</v>
      </c>
      <c r="C199" s="258" t="s">
        <v>412</v>
      </c>
      <c r="D199" s="271" t="s">
        <v>614</v>
      </c>
      <c r="E199" s="324" t="s">
        <v>871</v>
      </c>
      <c r="F199" s="13"/>
      <c r="G199" s="389" t="s">
        <v>262</v>
      </c>
      <c r="H199" s="312" t="s">
        <v>934</v>
      </c>
      <c r="I199" s="13"/>
      <c r="J199" s="13"/>
      <c r="K199" s="20"/>
    </row>
    <row r="200" spans="2:11">
      <c r="B200" s="42">
        <v>75</v>
      </c>
      <c r="C200" s="258" t="s">
        <v>411</v>
      </c>
      <c r="D200" s="271" t="s">
        <v>600</v>
      </c>
      <c r="E200" s="324" t="s">
        <v>871</v>
      </c>
      <c r="F200" s="13"/>
      <c r="G200" s="389" t="s">
        <v>272</v>
      </c>
      <c r="H200" s="312" t="s">
        <v>934</v>
      </c>
      <c r="I200" s="13"/>
      <c r="J200" s="13"/>
      <c r="K200" s="20"/>
    </row>
    <row r="201" spans="2:11">
      <c r="B201" s="42">
        <v>74</v>
      </c>
      <c r="C201" s="258" t="s">
        <v>410</v>
      </c>
      <c r="D201" s="271" t="s">
        <v>581</v>
      </c>
      <c r="E201" s="324" t="s">
        <v>871</v>
      </c>
      <c r="F201" s="13"/>
      <c r="G201" s="389" t="s">
        <v>1010</v>
      </c>
      <c r="H201" s="312" t="s">
        <v>934</v>
      </c>
      <c r="I201" s="13"/>
      <c r="J201" s="13"/>
      <c r="K201" s="20"/>
    </row>
    <row r="202" spans="2:11">
      <c r="B202" s="42">
        <v>73</v>
      </c>
      <c r="C202" s="258" t="s">
        <v>409</v>
      </c>
      <c r="D202" s="271" t="s">
        <v>556</v>
      </c>
      <c r="E202" s="324" t="s">
        <v>871</v>
      </c>
      <c r="F202" s="13"/>
      <c r="G202" s="389" t="s">
        <v>1011</v>
      </c>
      <c r="H202" s="312" t="s">
        <v>934</v>
      </c>
      <c r="I202" s="13"/>
      <c r="J202" s="13"/>
      <c r="K202" s="20"/>
    </row>
    <row r="203" spans="2:11">
      <c r="B203" s="213">
        <v>83</v>
      </c>
      <c r="C203" s="214" t="s">
        <v>419</v>
      </c>
      <c r="D203" s="215" t="s">
        <v>557</v>
      </c>
      <c r="E203" s="359"/>
      <c r="F203" s="216"/>
      <c r="G203" s="359"/>
      <c r="H203" s="312"/>
      <c r="I203" s="216"/>
      <c r="J203" s="216"/>
      <c r="K203" s="217"/>
    </row>
    <row r="204" spans="2:11">
      <c r="B204" s="213">
        <v>84</v>
      </c>
      <c r="C204" s="214" t="s">
        <v>420</v>
      </c>
      <c r="D204" s="215" t="s">
        <v>582</v>
      </c>
      <c r="E204" s="359"/>
      <c r="F204" s="216"/>
      <c r="G204" s="359"/>
      <c r="H204" s="312"/>
      <c r="I204" s="216"/>
      <c r="J204" s="216"/>
      <c r="K204" s="217"/>
    </row>
    <row r="205" spans="2:11">
      <c r="B205" s="42">
        <v>24</v>
      </c>
      <c r="C205" s="258" t="s">
        <v>360</v>
      </c>
      <c r="D205" s="257" t="s">
        <v>579</v>
      </c>
      <c r="E205" s="324" t="s">
        <v>871</v>
      </c>
      <c r="F205" s="13"/>
      <c r="G205" s="389" t="s">
        <v>264</v>
      </c>
      <c r="H205" s="312" t="s">
        <v>934</v>
      </c>
      <c r="I205" s="13"/>
      <c r="J205" s="13"/>
      <c r="K205" s="20"/>
    </row>
    <row r="206" spans="2:11">
      <c r="B206" s="42">
        <v>34</v>
      </c>
      <c r="C206" s="258" t="s">
        <v>370</v>
      </c>
      <c r="D206" s="257" t="s">
        <v>580</v>
      </c>
      <c r="E206" s="324" t="s">
        <v>871</v>
      </c>
      <c r="F206" s="13"/>
      <c r="G206" s="389" t="s">
        <v>274</v>
      </c>
      <c r="H206" s="312" t="s">
        <v>934</v>
      </c>
      <c r="I206" s="13"/>
      <c r="J206" s="13"/>
      <c r="K206" s="20"/>
    </row>
    <row r="207" spans="2:11">
      <c r="B207" s="42">
        <v>14</v>
      </c>
      <c r="C207" s="258" t="s">
        <v>350</v>
      </c>
      <c r="D207" s="257" t="s">
        <v>578</v>
      </c>
      <c r="E207" s="324" t="s">
        <v>871</v>
      </c>
      <c r="F207" s="13"/>
      <c r="G207" s="389" t="s">
        <v>1012</v>
      </c>
      <c r="H207" s="312" t="s">
        <v>934</v>
      </c>
      <c r="I207" s="13"/>
      <c r="J207" s="13"/>
      <c r="K207" s="20"/>
    </row>
    <row r="208" spans="2:11">
      <c r="B208" s="42">
        <v>4</v>
      </c>
      <c r="C208" s="258" t="s">
        <v>340</v>
      </c>
      <c r="D208" s="257" t="s">
        <v>577</v>
      </c>
      <c r="E208" s="324" t="s">
        <v>871</v>
      </c>
      <c r="F208" s="13"/>
      <c r="G208" s="389" t="s">
        <v>1013</v>
      </c>
      <c r="H208" s="312" t="s">
        <v>934</v>
      </c>
      <c r="I208" s="13"/>
      <c r="J208" s="13"/>
      <c r="K208" s="20"/>
    </row>
    <row r="209" spans="2:11">
      <c r="B209" s="42">
        <v>13</v>
      </c>
      <c r="C209" s="258" t="s">
        <v>349</v>
      </c>
      <c r="D209" s="257" t="s">
        <v>553</v>
      </c>
      <c r="E209" s="324" t="s">
        <v>871</v>
      </c>
      <c r="F209" s="13"/>
      <c r="G209" s="389" t="s">
        <v>283</v>
      </c>
      <c r="H209" s="312" t="s">
        <v>934</v>
      </c>
      <c r="I209" s="13"/>
      <c r="J209" s="13"/>
      <c r="K209" s="20"/>
    </row>
    <row r="210" spans="2:11">
      <c r="B210" s="42">
        <v>3</v>
      </c>
      <c r="C210" s="258" t="s">
        <v>339</v>
      </c>
      <c r="D210" s="257" t="s">
        <v>552</v>
      </c>
      <c r="E210" s="324" t="s">
        <v>871</v>
      </c>
      <c r="F210" s="13"/>
      <c r="G210" s="389" t="s">
        <v>293</v>
      </c>
      <c r="H210" s="312" t="s">
        <v>934</v>
      </c>
      <c r="I210" s="13"/>
      <c r="J210" s="13"/>
      <c r="K210" s="20"/>
    </row>
    <row r="211" spans="2:11">
      <c r="B211" s="213">
        <v>33</v>
      </c>
      <c r="C211" s="214" t="s">
        <v>369</v>
      </c>
      <c r="D211" s="215" t="s">
        <v>555</v>
      </c>
      <c r="E211" s="359"/>
      <c r="F211" s="216"/>
      <c r="G211" s="359"/>
      <c r="H211" s="312"/>
      <c r="I211" s="216"/>
      <c r="J211" s="216"/>
      <c r="K211" s="217"/>
    </row>
    <row r="212" spans="2:11">
      <c r="B212" s="213">
        <v>23</v>
      </c>
      <c r="C212" s="214" t="s">
        <v>359</v>
      </c>
      <c r="D212" s="215" t="s">
        <v>554</v>
      </c>
      <c r="E212" s="359"/>
      <c r="F212" s="216"/>
      <c r="G212" s="359"/>
      <c r="H212" s="312"/>
      <c r="I212" s="216"/>
      <c r="J212" s="216"/>
      <c r="K212" s="217"/>
    </row>
    <row r="213" spans="2:11">
      <c r="B213" s="42">
        <v>31</v>
      </c>
      <c r="C213" s="258" t="s">
        <v>367</v>
      </c>
      <c r="D213" s="257" t="s">
        <v>521</v>
      </c>
      <c r="E213" s="324" t="s">
        <v>871</v>
      </c>
      <c r="F213" s="13"/>
      <c r="G213" s="389" t="s">
        <v>1014</v>
      </c>
      <c r="H213" s="312" t="s">
        <v>934</v>
      </c>
      <c r="I213" s="13"/>
      <c r="J213" s="13"/>
      <c r="K213" s="20"/>
    </row>
    <row r="214" spans="2:11">
      <c r="B214" s="42">
        <v>32</v>
      </c>
      <c r="C214" s="258" t="s">
        <v>368</v>
      </c>
      <c r="D214" s="257" t="s">
        <v>537</v>
      </c>
      <c r="E214" s="324" t="s">
        <v>871</v>
      </c>
      <c r="F214" s="13"/>
      <c r="G214" s="389" t="s">
        <v>1015</v>
      </c>
      <c r="H214" s="312" t="s">
        <v>934</v>
      </c>
      <c r="I214" s="13"/>
      <c r="J214" s="13"/>
      <c r="K214" s="20"/>
    </row>
    <row r="215" spans="2:11">
      <c r="B215" s="42">
        <v>21</v>
      </c>
      <c r="C215" s="258" t="s">
        <v>357</v>
      </c>
      <c r="D215" s="257" t="s">
        <v>520</v>
      </c>
      <c r="E215" s="324" t="s">
        <v>871</v>
      </c>
      <c r="F215" s="13"/>
      <c r="G215" s="389" t="s">
        <v>285</v>
      </c>
      <c r="H215" s="312" t="s">
        <v>934</v>
      </c>
      <c r="I215" s="13"/>
      <c r="J215" s="13"/>
      <c r="K215" s="20"/>
    </row>
    <row r="216" spans="2:11">
      <c r="B216" s="42">
        <v>22</v>
      </c>
      <c r="C216" s="258" t="s">
        <v>358</v>
      </c>
      <c r="D216" s="257" t="s">
        <v>536</v>
      </c>
      <c r="E216" s="324" t="s">
        <v>871</v>
      </c>
      <c r="F216" s="13"/>
      <c r="G216" s="389" t="s">
        <v>295</v>
      </c>
      <c r="H216" s="312" t="s">
        <v>934</v>
      </c>
      <c r="I216" s="13"/>
      <c r="J216" s="13"/>
      <c r="K216" s="20"/>
    </row>
    <row r="217" spans="2:11">
      <c r="B217" s="42">
        <v>11</v>
      </c>
      <c r="C217" s="258" t="s">
        <v>347</v>
      </c>
      <c r="D217" s="257" t="s">
        <v>519</v>
      </c>
      <c r="E217" s="324" t="s">
        <v>871</v>
      </c>
      <c r="F217" s="13"/>
      <c r="G217" s="389" t="s">
        <v>304</v>
      </c>
      <c r="H217" s="312" t="s">
        <v>934</v>
      </c>
      <c r="I217" s="13"/>
      <c r="J217" s="13"/>
      <c r="K217" s="20"/>
    </row>
    <row r="218" spans="2:11">
      <c r="B218" s="42">
        <v>12</v>
      </c>
      <c r="C218" s="258" t="s">
        <v>348</v>
      </c>
      <c r="D218" s="257" t="s">
        <v>535</v>
      </c>
      <c r="E218" s="324" t="s">
        <v>871</v>
      </c>
      <c r="F218" s="13"/>
      <c r="G218" s="389" t="s">
        <v>314</v>
      </c>
      <c r="H218" s="312" t="s">
        <v>934</v>
      </c>
      <c r="I218" s="13"/>
      <c r="J218" s="13"/>
      <c r="K218" s="20"/>
    </row>
    <row r="219" spans="2:11">
      <c r="B219" s="213">
        <v>1</v>
      </c>
      <c r="C219" s="214" t="s">
        <v>337</v>
      </c>
      <c r="D219" s="215" t="s">
        <v>518</v>
      </c>
      <c r="E219" s="199"/>
      <c r="F219" s="216"/>
      <c r="G219" s="216"/>
      <c r="H219" s="199"/>
      <c r="I219" s="216"/>
      <c r="J219" s="216"/>
      <c r="K219" s="217"/>
    </row>
    <row r="220" spans="2:11">
      <c r="B220" s="213">
        <v>2</v>
      </c>
      <c r="C220" s="214" t="s">
        <v>338</v>
      </c>
      <c r="D220" s="215" t="s">
        <v>534</v>
      </c>
      <c r="E220" s="199"/>
      <c r="F220" s="216"/>
      <c r="G220" s="216"/>
      <c r="H220" s="199"/>
      <c r="I220" s="216"/>
      <c r="J220" s="216"/>
      <c r="K220" s="217"/>
    </row>
    <row r="221" spans="2:11">
      <c r="B221" s="42">
        <v>43</v>
      </c>
      <c r="C221" s="258" t="s">
        <v>379</v>
      </c>
      <c r="D221" s="271" t="s">
        <v>447</v>
      </c>
      <c r="E221" s="324" t="s">
        <v>871</v>
      </c>
      <c r="F221" s="13"/>
      <c r="G221" s="320" t="s">
        <v>976</v>
      </c>
      <c r="H221" s="13"/>
      <c r="I221" s="13"/>
      <c r="J221" s="13"/>
      <c r="K221" s="20"/>
    </row>
    <row r="222" spans="2:11">
      <c r="B222" s="42">
        <v>44</v>
      </c>
      <c r="C222" s="258" t="s">
        <v>380</v>
      </c>
      <c r="D222" s="271" t="s">
        <v>455</v>
      </c>
      <c r="E222" s="324" t="s">
        <v>871</v>
      </c>
      <c r="F222" s="13"/>
      <c r="G222" s="320" t="s">
        <v>977</v>
      </c>
      <c r="H222" s="13"/>
      <c r="I222" s="13"/>
      <c r="J222" s="13"/>
      <c r="K222" s="20"/>
    </row>
    <row r="223" spans="2:11">
      <c r="B223" s="42">
        <v>62</v>
      </c>
      <c r="C223" s="258" t="s">
        <v>398</v>
      </c>
      <c r="D223" s="271" t="s">
        <v>428</v>
      </c>
      <c r="E223" s="13"/>
      <c r="F223" s="13"/>
      <c r="G223" s="13"/>
      <c r="H223" s="13"/>
      <c r="I223" s="13"/>
      <c r="J223" s="13"/>
      <c r="K223" s="20"/>
    </row>
    <row r="224" spans="2:11">
      <c r="B224" s="42">
        <v>61</v>
      </c>
      <c r="C224" s="258" t="s">
        <v>397</v>
      </c>
      <c r="D224" s="271" t="s">
        <v>322</v>
      </c>
      <c r="E224" s="324" t="s">
        <v>871</v>
      </c>
      <c r="F224" s="324"/>
      <c r="G224" s="320" t="s">
        <v>127</v>
      </c>
      <c r="H224" s="13"/>
      <c r="I224" s="13"/>
      <c r="J224" s="13"/>
      <c r="K224" s="20"/>
    </row>
    <row r="225" spans="2:11">
      <c r="B225" s="42">
        <v>71</v>
      </c>
      <c r="C225" s="258" t="s">
        <v>407</v>
      </c>
      <c r="D225" s="271" t="s">
        <v>323</v>
      </c>
      <c r="E225" s="13"/>
      <c r="F225" s="13"/>
      <c r="G225" s="13"/>
      <c r="H225" s="13"/>
      <c r="I225" s="13"/>
      <c r="J225" s="13"/>
      <c r="K225" s="20"/>
    </row>
    <row r="226" spans="2:11">
      <c r="B226" s="42">
        <v>72</v>
      </c>
      <c r="C226" s="258" t="s">
        <v>408</v>
      </c>
      <c r="D226" s="271" t="s">
        <v>429</v>
      </c>
      <c r="E226" s="324" t="s">
        <v>871</v>
      </c>
      <c r="F226" s="324"/>
      <c r="G226" s="320" t="s">
        <v>137</v>
      </c>
      <c r="H226" s="13"/>
      <c r="I226" s="13"/>
      <c r="J226" s="13"/>
      <c r="K226" s="20"/>
    </row>
    <row r="227" spans="2:11">
      <c r="B227" s="42">
        <v>51</v>
      </c>
      <c r="C227" s="258" t="s">
        <v>387</v>
      </c>
      <c r="D227" s="271" t="s">
        <v>464</v>
      </c>
      <c r="E227" s="13"/>
      <c r="F227" s="13"/>
      <c r="G227" s="13"/>
      <c r="H227" s="13"/>
      <c r="I227" s="13"/>
      <c r="J227" s="13"/>
      <c r="K227" s="20"/>
    </row>
    <row r="228" spans="2:11">
      <c r="B228" s="42">
        <v>52</v>
      </c>
      <c r="C228" s="258" t="s">
        <v>388</v>
      </c>
      <c r="D228" s="271" t="s">
        <v>464</v>
      </c>
      <c r="E228" s="13"/>
      <c r="F228" s="13"/>
      <c r="G228" s="13"/>
      <c r="H228" s="13"/>
      <c r="I228" s="13"/>
      <c r="J228" s="13"/>
      <c r="K228" s="20"/>
    </row>
    <row r="229" spans="2:11">
      <c r="B229" s="42">
        <v>53</v>
      </c>
      <c r="C229" s="258" t="s">
        <v>389</v>
      </c>
      <c r="D229" s="271" t="s">
        <v>464</v>
      </c>
      <c r="E229" s="13"/>
      <c r="F229" s="13"/>
      <c r="G229" s="13"/>
      <c r="H229" s="13"/>
      <c r="I229" s="13"/>
      <c r="J229" s="13"/>
      <c r="K229" s="20"/>
    </row>
    <row r="230" spans="2:11">
      <c r="B230" s="42">
        <v>63</v>
      </c>
      <c r="C230" s="258" t="s">
        <v>399</v>
      </c>
      <c r="D230" s="271" t="s">
        <v>464</v>
      </c>
      <c r="E230" s="13"/>
      <c r="F230" s="13"/>
      <c r="G230" s="13"/>
      <c r="H230" s="13"/>
      <c r="I230" s="13"/>
      <c r="J230" s="13"/>
      <c r="K230" s="20"/>
    </row>
    <row r="231" spans="2:11">
      <c r="B231" s="42">
        <v>54</v>
      </c>
      <c r="C231" s="258" t="s">
        <v>390</v>
      </c>
      <c r="D231" s="271" t="s">
        <v>464</v>
      </c>
      <c r="E231" s="13"/>
      <c r="F231" s="13"/>
      <c r="G231" s="13"/>
      <c r="H231" s="13"/>
      <c r="I231" s="13"/>
      <c r="J231" s="13"/>
      <c r="K231" s="20"/>
    </row>
    <row r="232" spans="2:11">
      <c r="B232" s="42">
        <v>64</v>
      </c>
      <c r="C232" s="258" t="s">
        <v>400</v>
      </c>
      <c r="D232" s="271" t="s">
        <v>464</v>
      </c>
      <c r="E232" s="13"/>
      <c r="F232" s="13"/>
      <c r="G232" s="13"/>
      <c r="H232" s="13"/>
      <c r="I232" s="13"/>
      <c r="J232" s="13"/>
      <c r="K232" s="20"/>
    </row>
    <row r="233" spans="2:11">
      <c r="B233" s="42">
        <v>105</v>
      </c>
      <c r="C233" s="258" t="s">
        <v>24</v>
      </c>
      <c r="D233" s="257" t="s">
        <v>464</v>
      </c>
      <c r="E233" s="13"/>
      <c r="F233" s="13"/>
      <c r="G233" s="13"/>
      <c r="H233" s="13"/>
      <c r="I233" s="13"/>
      <c r="J233" s="13"/>
      <c r="K233" s="20"/>
    </row>
    <row r="234" spans="2:11">
      <c r="B234" s="42">
        <v>46</v>
      </c>
      <c r="C234" s="258" t="s">
        <v>382</v>
      </c>
      <c r="D234" s="271" t="s">
        <v>471</v>
      </c>
      <c r="E234" s="13"/>
      <c r="F234" s="13"/>
      <c r="G234" s="13"/>
      <c r="H234" s="13"/>
      <c r="I234" s="13"/>
      <c r="J234" s="13"/>
      <c r="K234" s="20"/>
    </row>
    <row r="235" spans="2:11">
      <c r="B235" s="42">
        <v>66</v>
      </c>
      <c r="C235" s="258" t="s">
        <v>402</v>
      </c>
      <c r="D235" s="271" t="s">
        <v>473</v>
      </c>
      <c r="E235" s="13"/>
      <c r="F235" s="13"/>
      <c r="G235" s="13"/>
      <c r="H235" s="13"/>
      <c r="I235" s="13"/>
      <c r="J235" s="13"/>
      <c r="K235" s="20"/>
    </row>
    <row r="236" spans="2:11">
      <c r="B236" s="42">
        <v>56</v>
      </c>
      <c r="C236" s="258" t="s">
        <v>392</v>
      </c>
      <c r="D236" s="271" t="s">
        <v>472</v>
      </c>
      <c r="E236" s="13"/>
      <c r="F236" s="13"/>
      <c r="G236" s="13"/>
      <c r="H236" s="13"/>
      <c r="I236" s="13"/>
      <c r="J236" s="13"/>
      <c r="K236" s="20"/>
    </row>
    <row r="237" spans="2:11">
      <c r="B237" s="42">
        <v>5</v>
      </c>
      <c r="C237" s="258" t="s">
        <v>341</v>
      </c>
      <c r="D237" s="257" t="s">
        <v>321</v>
      </c>
      <c r="E237" s="13"/>
      <c r="F237" s="13"/>
      <c r="G237" s="13"/>
      <c r="H237" s="13"/>
      <c r="I237" s="13"/>
      <c r="J237" s="13"/>
      <c r="K237" s="20"/>
    </row>
    <row r="238" spans="2:11">
      <c r="B238" s="42">
        <v>15</v>
      </c>
      <c r="C238" s="258" t="s">
        <v>351</v>
      </c>
      <c r="D238" s="257" t="s">
        <v>321</v>
      </c>
      <c r="E238" s="13"/>
      <c r="F238" s="13"/>
      <c r="G238" s="13"/>
      <c r="H238" s="13"/>
      <c r="I238" s="13"/>
      <c r="J238" s="13"/>
      <c r="K238" s="20"/>
    </row>
    <row r="239" spans="2:11">
      <c r="B239" s="42">
        <v>25</v>
      </c>
      <c r="C239" s="258" t="s">
        <v>361</v>
      </c>
      <c r="D239" s="257" t="s">
        <v>321</v>
      </c>
      <c r="E239" s="13"/>
      <c r="F239" s="13"/>
      <c r="G239" s="13"/>
      <c r="H239" s="13"/>
      <c r="I239" s="13"/>
      <c r="J239" s="13"/>
      <c r="K239" s="20"/>
    </row>
    <row r="240" spans="2:11">
      <c r="B240" s="42">
        <v>35</v>
      </c>
      <c r="C240" s="258" t="s">
        <v>371</v>
      </c>
      <c r="D240" s="257" t="s">
        <v>321</v>
      </c>
      <c r="E240" s="13"/>
      <c r="F240" s="13"/>
      <c r="G240" s="13"/>
      <c r="H240" s="13"/>
      <c r="I240" s="13"/>
      <c r="J240" s="13"/>
      <c r="K240" s="20"/>
    </row>
    <row r="241" spans="2:11">
      <c r="B241" s="42">
        <v>45</v>
      </c>
      <c r="C241" s="258" t="s">
        <v>381</v>
      </c>
      <c r="D241" s="271" t="s">
        <v>321</v>
      </c>
      <c r="E241" s="13"/>
      <c r="F241" s="13"/>
      <c r="G241" s="13"/>
      <c r="H241" s="13"/>
      <c r="I241" s="13"/>
      <c r="J241" s="13"/>
      <c r="K241" s="20"/>
    </row>
    <row r="242" spans="2:11">
      <c r="B242" s="42">
        <v>55</v>
      </c>
      <c r="C242" s="258" t="s">
        <v>391</v>
      </c>
      <c r="D242" s="271" t="s">
        <v>321</v>
      </c>
      <c r="E242" s="13"/>
      <c r="F242" s="13"/>
      <c r="G242" s="13"/>
      <c r="H242" s="13"/>
      <c r="I242" s="13"/>
      <c r="J242" s="13"/>
      <c r="K242" s="20"/>
    </row>
    <row r="243" spans="2:11">
      <c r="B243" s="42">
        <v>65</v>
      </c>
      <c r="C243" s="258" t="s">
        <v>401</v>
      </c>
      <c r="D243" s="271" t="s">
        <v>321</v>
      </c>
      <c r="E243" s="13"/>
      <c r="F243" s="13"/>
      <c r="G243" s="13"/>
      <c r="H243" s="13"/>
      <c r="I243" s="13"/>
      <c r="J243" s="13"/>
      <c r="K243" s="20"/>
    </row>
    <row r="244" spans="2:11">
      <c r="B244" s="42">
        <v>92</v>
      </c>
      <c r="C244" s="258" t="s">
        <v>4</v>
      </c>
      <c r="D244" s="257" t="s">
        <v>431</v>
      </c>
      <c r="E244" s="13"/>
      <c r="F244" s="13"/>
      <c r="G244" s="13"/>
      <c r="H244" s="13"/>
      <c r="I244" s="13"/>
      <c r="J244" s="13"/>
      <c r="K244" s="20"/>
    </row>
    <row r="245" spans="2:11">
      <c r="B245" s="42">
        <v>91</v>
      </c>
      <c r="C245" s="258" t="s">
        <v>0</v>
      </c>
      <c r="D245" s="328" t="s">
        <v>325</v>
      </c>
      <c r="E245" s="323" t="s">
        <v>871</v>
      </c>
      <c r="F245" s="324"/>
      <c r="G245" s="387" t="s">
        <v>67</v>
      </c>
      <c r="H245" s="13"/>
      <c r="I245" s="13"/>
      <c r="J245" s="13"/>
      <c r="K245" s="20"/>
    </row>
    <row r="246" spans="2:11">
      <c r="B246" s="42">
        <v>81</v>
      </c>
      <c r="C246" s="258" t="s">
        <v>417</v>
      </c>
      <c r="D246" s="328" t="s">
        <v>324</v>
      </c>
      <c r="E246" s="323" t="s">
        <v>871</v>
      </c>
      <c r="F246" s="5"/>
      <c r="G246" s="388" t="s">
        <v>1031</v>
      </c>
      <c r="H246" s="13"/>
      <c r="I246" s="13"/>
      <c r="J246" s="13"/>
      <c r="K246" s="20"/>
    </row>
    <row r="247" spans="2:11">
      <c r="B247" s="42">
        <v>82</v>
      </c>
      <c r="C247" s="258" t="s">
        <v>418</v>
      </c>
      <c r="D247" s="328" t="s">
        <v>430</v>
      </c>
      <c r="E247" s="323" t="s">
        <v>871</v>
      </c>
      <c r="F247" s="5"/>
      <c r="G247" s="388" t="s">
        <v>1032</v>
      </c>
      <c r="H247" s="13"/>
      <c r="I247" s="13"/>
      <c r="J247" s="13"/>
      <c r="K247" s="20"/>
    </row>
    <row r="248" spans="2:11">
      <c r="B248" s="42">
        <v>41</v>
      </c>
      <c r="C248" s="258" t="s">
        <v>377</v>
      </c>
      <c r="D248" s="330" t="s">
        <v>427</v>
      </c>
      <c r="E248" s="323" t="s">
        <v>871</v>
      </c>
      <c r="F248" s="324"/>
      <c r="G248" s="324" t="s">
        <v>317</v>
      </c>
      <c r="H248" s="13"/>
      <c r="I248" s="13"/>
      <c r="J248" s="13"/>
      <c r="K248" s="20"/>
    </row>
    <row r="249" spans="2:11">
      <c r="B249" s="42">
        <v>42</v>
      </c>
      <c r="C249" s="258" t="s">
        <v>378</v>
      </c>
      <c r="D249" s="330" t="s">
        <v>320</v>
      </c>
      <c r="E249" s="323" t="s">
        <v>871</v>
      </c>
      <c r="F249" s="13"/>
      <c r="G249" s="387" t="s">
        <v>975</v>
      </c>
      <c r="H249" s="13"/>
      <c r="I249" s="13"/>
      <c r="J249" s="13"/>
      <c r="K249" s="20"/>
    </row>
    <row r="250" spans="2:11">
      <c r="B250" s="197">
        <v>393</v>
      </c>
      <c r="C250" s="198" t="s">
        <v>312</v>
      </c>
      <c r="D250" s="292" t="s">
        <v>453</v>
      </c>
      <c r="E250" s="199"/>
      <c r="F250" s="199"/>
      <c r="G250" s="199"/>
      <c r="H250" s="199"/>
      <c r="I250" s="199"/>
      <c r="J250" s="199"/>
      <c r="K250" s="200"/>
    </row>
    <row r="251" spans="2:11">
      <c r="B251" s="197">
        <v>383</v>
      </c>
      <c r="C251" s="198" t="s">
        <v>302</v>
      </c>
      <c r="D251" s="292" t="s">
        <v>452</v>
      </c>
      <c r="E251" s="199"/>
      <c r="F251" s="199"/>
      <c r="G251" s="199"/>
      <c r="H251" s="199"/>
      <c r="I251" s="199"/>
      <c r="J251" s="199"/>
      <c r="K251" s="200"/>
    </row>
    <row r="252" spans="2:11">
      <c r="B252" s="197">
        <v>337</v>
      </c>
      <c r="C252" s="198" t="s">
        <v>256</v>
      </c>
      <c r="D252" s="292" t="s">
        <v>487</v>
      </c>
      <c r="E252" s="199"/>
      <c r="F252" s="199"/>
      <c r="G252" s="199"/>
      <c r="H252" s="199"/>
      <c r="I252" s="199"/>
      <c r="J252" s="199"/>
      <c r="K252" s="200"/>
    </row>
    <row r="253" spans="2:11">
      <c r="B253" s="197">
        <v>327</v>
      </c>
      <c r="C253" s="198" t="s">
        <v>246</v>
      </c>
      <c r="D253" s="292" t="s">
        <v>486</v>
      </c>
      <c r="E253" s="199"/>
      <c r="F253" s="199"/>
      <c r="G253" s="199"/>
      <c r="H253" s="199"/>
      <c r="I253" s="199"/>
      <c r="J253" s="199"/>
      <c r="K253" s="200"/>
    </row>
    <row r="254" spans="2:11">
      <c r="B254" s="197">
        <v>346</v>
      </c>
      <c r="C254" s="198" t="s">
        <v>265</v>
      </c>
      <c r="D254" s="292" t="s">
        <v>478</v>
      </c>
      <c r="E254" s="199"/>
      <c r="F254" s="199"/>
      <c r="G254" s="199"/>
      <c r="H254" s="199"/>
      <c r="I254" s="199"/>
      <c r="J254" s="199"/>
      <c r="K254" s="200"/>
    </row>
    <row r="255" spans="2:11">
      <c r="B255" s="197">
        <v>336</v>
      </c>
      <c r="C255" s="198" t="s">
        <v>255</v>
      </c>
      <c r="D255" s="292" t="s">
        <v>477</v>
      </c>
      <c r="E255" s="199"/>
      <c r="F255" s="199"/>
      <c r="G255" s="199"/>
      <c r="H255" s="199"/>
      <c r="I255" s="199"/>
      <c r="J255" s="199"/>
      <c r="K255" s="200"/>
    </row>
    <row r="256" spans="2:11">
      <c r="B256" s="197">
        <v>347</v>
      </c>
      <c r="C256" s="198" t="s">
        <v>266</v>
      </c>
      <c r="D256" s="292" t="s">
        <v>488</v>
      </c>
      <c r="E256" s="199"/>
      <c r="F256" s="199"/>
      <c r="G256" s="199"/>
      <c r="H256" s="199"/>
      <c r="I256" s="199"/>
      <c r="J256" s="199"/>
      <c r="K256" s="200"/>
    </row>
    <row r="257" spans="2:11">
      <c r="B257" s="197">
        <v>357</v>
      </c>
      <c r="C257" s="198" t="s">
        <v>276</v>
      </c>
      <c r="D257" s="292" t="s">
        <v>488</v>
      </c>
      <c r="E257" s="199"/>
      <c r="F257" s="199"/>
      <c r="G257" s="199"/>
      <c r="H257" s="199"/>
      <c r="I257" s="199"/>
      <c r="J257" s="199"/>
      <c r="K257" s="200"/>
    </row>
    <row r="258" spans="2:11">
      <c r="B258" s="197">
        <v>338</v>
      </c>
      <c r="C258" s="198" t="s">
        <v>257</v>
      </c>
      <c r="D258" s="292" t="s">
        <v>488</v>
      </c>
      <c r="E258" s="199"/>
      <c r="F258" s="199"/>
      <c r="G258" s="199"/>
      <c r="H258" s="199"/>
      <c r="I258" s="199"/>
      <c r="J258" s="199"/>
      <c r="K258" s="200"/>
    </row>
    <row r="259" spans="2:11">
      <c r="B259" s="197">
        <v>348</v>
      </c>
      <c r="C259" s="198" t="s">
        <v>267</v>
      </c>
      <c r="D259" s="292" t="s">
        <v>488</v>
      </c>
      <c r="E259" s="199"/>
      <c r="F259" s="199"/>
      <c r="G259" s="199"/>
      <c r="H259" s="199"/>
      <c r="I259" s="199"/>
      <c r="J259" s="199"/>
      <c r="K259" s="200"/>
    </row>
    <row r="260" spans="2:11">
      <c r="B260" s="197">
        <v>358</v>
      </c>
      <c r="C260" s="198" t="s">
        <v>277</v>
      </c>
      <c r="D260" s="292" t="s">
        <v>488</v>
      </c>
      <c r="E260" s="199"/>
      <c r="F260" s="199"/>
      <c r="G260" s="199"/>
      <c r="H260" s="199"/>
      <c r="I260" s="199"/>
      <c r="J260" s="199"/>
      <c r="K260" s="200"/>
    </row>
    <row r="261" spans="2:11">
      <c r="B261" s="197">
        <v>339</v>
      </c>
      <c r="C261" s="198" t="s">
        <v>258</v>
      </c>
      <c r="D261" s="292" t="s">
        <v>488</v>
      </c>
      <c r="E261" s="199"/>
      <c r="F261" s="199"/>
      <c r="G261" s="199"/>
      <c r="H261" s="199"/>
      <c r="I261" s="199"/>
      <c r="J261" s="199"/>
      <c r="K261" s="200"/>
    </row>
    <row r="262" spans="2:11">
      <c r="B262" s="197">
        <v>349</v>
      </c>
      <c r="C262" s="198" t="s">
        <v>268</v>
      </c>
      <c r="D262" s="292" t="s">
        <v>488</v>
      </c>
      <c r="E262" s="199"/>
      <c r="F262" s="199"/>
      <c r="G262" s="199"/>
      <c r="H262" s="199"/>
      <c r="I262" s="199"/>
      <c r="J262" s="199"/>
      <c r="K262" s="200"/>
    </row>
    <row r="263" spans="2:11">
      <c r="B263" s="197">
        <v>359</v>
      </c>
      <c r="C263" s="198" t="s">
        <v>278</v>
      </c>
      <c r="D263" s="292" t="s">
        <v>488</v>
      </c>
      <c r="E263" s="199"/>
      <c r="F263" s="199"/>
      <c r="G263" s="199"/>
      <c r="H263" s="199"/>
      <c r="I263" s="199"/>
      <c r="J263" s="199"/>
      <c r="K263" s="200"/>
    </row>
    <row r="264" spans="2:11">
      <c r="B264" s="197">
        <v>340</v>
      </c>
      <c r="C264" s="198" t="s">
        <v>259</v>
      </c>
      <c r="D264" s="292" t="s">
        <v>488</v>
      </c>
      <c r="E264" s="199"/>
      <c r="F264" s="199"/>
      <c r="G264" s="199"/>
      <c r="H264" s="199"/>
      <c r="I264" s="199"/>
      <c r="J264" s="199"/>
      <c r="K264" s="200"/>
    </row>
    <row r="265" spans="2:11">
      <c r="B265" s="197">
        <v>350</v>
      </c>
      <c r="C265" s="198" t="s">
        <v>269</v>
      </c>
      <c r="D265" s="292" t="s">
        <v>488</v>
      </c>
      <c r="E265" s="199"/>
      <c r="F265" s="199"/>
      <c r="G265" s="199"/>
      <c r="H265" s="199"/>
      <c r="I265" s="199"/>
      <c r="J265" s="199"/>
      <c r="K265" s="200"/>
    </row>
    <row r="266" spans="2:11">
      <c r="B266" s="197">
        <v>360</v>
      </c>
      <c r="C266" s="198" t="s">
        <v>279</v>
      </c>
      <c r="D266" s="292" t="s">
        <v>488</v>
      </c>
      <c r="E266" s="199"/>
      <c r="F266" s="199"/>
      <c r="G266" s="199"/>
      <c r="H266" s="199"/>
      <c r="I266" s="199"/>
      <c r="J266" s="199"/>
      <c r="K266" s="200"/>
    </row>
    <row r="267" spans="2:11">
      <c r="B267" s="197">
        <v>356</v>
      </c>
      <c r="C267" s="198" t="s">
        <v>275</v>
      </c>
      <c r="D267" s="292" t="s">
        <v>479</v>
      </c>
      <c r="E267" s="199"/>
      <c r="F267" s="199"/>
      <c r="G267" s="199"/>
      <c r="H267" s="199"/>
      <c r="I267" s="199"/>
      <c r="J267" s="199"/>
      <c r="K267" s="200"/>
    </row>
    <row r="268" spans="2:11">
      <c r="B268" s="197">
        <v>385</v>
      </c>
      <c r="C268" s="198" t="s">
        <v>304</v>
      </c>
      <c r="D268" s="292" t="s">
        <v>469</v>
      </c>
      <c r="E268" s="199"/>
      <c r="F268" s="199"/>
      <c r="G268" s="199"/>
      <c r="H268" s="199"/>
      <c r="I268" s="199"/>
      <c r="J268" s="199"/>
      <c r="K268" s="200"/>
    </row>
    <row r="269" spans="2:11">
      <c r="B269" s="197">
        <v>395</v>
      </c>
      <c r="C269" s="198" t="s">
        <v>314</v>
      </c>
      <c r="D269" s="292" t="s">
        <v>470</v>
      </c>
      <c r="E269" s="199"/>
      <c r="F269" s="199"/>
      <c r="G269" s="199"/>
      <c r="H269" s="199"/>
      <c r="I269" s="199"/>
      <c r="J269" s="199"/>
      <c r="K269" s="200"/>
    </row>
    <row r="270" spans="2:11">
      <c r="B270" s="197">
        <v>341</v>
      </c>
      <c r="C270" s="198" t="s">
        <v>260</v>
      </c>
      <c r="D270" s="292" t="s">
        <v>336</v>
      </c>
      <c r="E270" s="199"/>
      <c r="F270" s="199"/>
      <c r="G270" s="199"/>
      <c r="H270" s="199"/>
      <c r="I270" s="199"/>
      <c r="J270" s="199"/>
      <c r="K270" s="200"/>
    </row>
    <row r="271" spans="2:11">
      <c r="B271" s="197">
        <v>351</v>
      </c>
      <c r="C271" s="198" t="s">
        <v>270</v>
      </c>
      <c r="D271" s="292" t="s">
        <v>336</v>
      </c>
      <c r="E271" s="199"/>
      <c r="F271" s="199"/>
      <c r="G271" s="199"/>
      <c r="H271" s="199"/>
      <c r="I271" s="199"/>
      <c r="J271" s="199"/>
      <c r="K271" s="200"/>
    </row>
    <row r="272" spans="2:11">
      <c r="B272" s="197">
        <v>342</v>
      </c>
      <c r="C272" s="198" t="s">
        <v>261</v>
      </c>
      <c r="D272" s="292" t="s">
        <v>336</v>
      </c>
      <c r="E272" s="199"/>
      <c r="F272" s="199"/>
      <c r="G272" s="199"/>
      <c r="H272" s="199"/>
      <c r="I272" s="199"/>
      <c r="J272" s="199"/>
      <c r="K272" s="200"/>
    </row>
    <row r="273" spans="2:11">
      <c r="B273" s="197">
        <v>352</v>
      </c>
      <c r="C273" s="198" t="s">
        <v>271</v>
      </c>
      <c r="D273" s="292" t="s">
        <v>336</v>
      </c>
      <c r="E273" s="199"/>
      <c r="F273" s="199"/>
      <c r="G273" s="199"/>
      <c r="H273" s="199"/>
      <c r="I273" s="199"/>
      <c r="J273" s="199"/>
      <c r="K273" s="200"/>
    </row>
    <row r="274" spans="2:11">
      <c r="B274" s="197">
        <v>333</v>
      </c>
      <c r="C274" s="198" t="s">
        <v>252</v>
      </c>
      <c r="D274" s="292" t="s">
        <v>336</v>
      </c>
      <c r="E274" s="199"/>
      <c r="F274" s="199"/>
      <c r="G274" s="199"/>
      <c r="H274" s="199"/>
      <c r="I274" s="199"/>
      <c r="J274" s="199"/>
      <c r="K274" s="200"/>
    </row>
    <row r="275" spans="2:11">
      <c r="B275" s="197">
        <v>343</v>
      </c>
      <c r="C275" s="198" t="s">
        <v>262</v>
      </c>
      <c r="D275" s="292" t="s">
        <v>336</v>
      </c>
      <c r="E275" s="199"/>
      <c r="F275" s="199"/>
      <c r="G275" s="199"/>
      <c r="H275" s="199"/>
      <c r="I275" s="199"/>
      <c r="J275" s="199"/>
      <c r="K275" s="200"/>
    </row>
    <row r="276" spans="2:11">
      <c r="B276" s="197">
        <v>334</v>
      </c>
      <c r="C276" s="198" t="s">
        <v>253</v>
      </c>
      <c r="D276" s="292" t="s">
        <v>336</v>
      </c>
      <c r="E276" s="199"/>
      <c r="F276" s="199"/>
      <c r="G276" s="199"/>
      <c r="H276" s="199"/>
      <c r="I276" s="199"/>
      <c r="J276" s="199"/>
      <c r="K276" s="200"/>
    </row>
    <row r="277" spans="2:11">
      <c r="B277" s="197">
        <v>344</v>
      </c>
      <c r="C277" s="198" t="s">
        <v>263</v>
      </c>
      <c r="D277" s="292" t="s">
        <v>336</v>
      </c>
      <c r="E277" s="199"/>
      <c r="F277" s="199"/>
      <c r="G277" s="199"/>
      <c r="H277" s="199"/>
      <c r="I277" s="199"/>
      <c r="J277" s="199"/>
      <c r="K277" s="200"/>
    </row>
    <row r="278" spans="2:11">
      <c r="B278" s="197">
        <v>345</v>
      </c>
      <c r="C278" s="198" t="s">
        <v>264</v>
      </c>
      <c r="D278" s="292" t="s">
        <v>336</v>
      </c>
      <c r="E278" s="199"/>
      <c r="F278" s="199"/>
      <c r="G278" s="199"/>
      <c r="H278" s="199"/>
      <c r="I278" s="199"/>
      <c r="J278" s="199"/>
      <c r="K278" s="200"/>
    </row>
    <row r="279" spans="2:11">
      <c r="B279" s="197">
        <v>355</v>
      </c>
      <c r="C279" s="198" t="s">
        <v>274</v>
      </c>
      <c r="D279" s="292" t="s">
        <v>336</v>
      </c>
      <c r="E279" s="199"/>
      <c r="F279" s="199"/>
      <c r="G279" s="199"/>
      <c r="H279" s="199"/>
      <c r="I279" s="199"/>
      <c r="J279" s="199"/>
      <c r="K279" s="200"/>
    </row>
    <row r="280" spans="2:11">
      <c r="B280" s="197">
        <v>396</v>
      </c>
      <c r="C280" s="198" t="s">
        <v>315</v>
      </c>
      <c r="D280" s="292" t="s">
        <v>481</v>
      </c>
      <c r="E280" s="199"/>
      <c r="F280" s="199"/>
      <c r="G280" s="199"/>
      <c r="H280" s="199"/>
      <c r="I280" s="199"/>
      <c r="J280" s="199"/>
      <c r="K280" s="200"/>
    </row>
    <row r="281" spans="2:11">
      <c r="B281" s="197">
        <v>386</v>
      </c>
      <c r="C281" s="198" t="s">
        <v>305</v>
      </c>
      <c r="D281" s="292" t="s">
        <v>480</v>
      </c>
      <c r="E281" s="199"/>
      <c r="F281" s="199"/>
      <c r="G281" s="199"/>
      <c r="H281" s="199"/>
      <c r="I281" s="199"/>
      <c r="J281" s="199"/>
      <c r="K281" s="200"/>
    </row>
    <row r="282" spans="2:11">
      <c r="B282" s="197">
        <v>387</v>
      </c>
      <c r="C282" s="198" t="s">
        <v>306</v>
      </c>
      <c r="D282" s="292" t="s">
        <v>489</v>
      </c>
      <c r="E282" s="199"/>
      <c r="F282" s="199"/>
      <c r="G282" s="199"/>
      <c r="H282" s="199"/>
      <c r="I282" s="199"/>
      <c r="J282" s="199"/>
      <c r="K282" s="200"/>
    </row>
    <row r="283" spans="2:11">
      <c r="B283" s="197">
        <v>388</v>
      </c>
      <c r="C283" s="198" t="s">
        <v>307</v>
      </c>
      <c r="D283" s="292" t="s">
        <v>495</v>
      </c>
      <c r="E283" s="199"/>
      <c r="F283" s="199"/>
      <c r="G283" s="199"/>
      <c r="H283" s="199"/>
      <c r="I283" s="199"/>
      <c r="J283" s="199"/>
      <c r="K283" s="200"/>
    </row>
    <row r="284" spans="2:11">
      <c r="B284" s="197">
        <v>392</v>
      </c>
      <c r="C284" s="198" t="s">
        <v>311</v>
      </c>
      <c r="D284" s="292" t="s">
        <v>440</v>
      </c>
      <c r="E284" s="199"/>
      <c r="F284" s="199"/>
      <c r="G284" s="199"/>
      <c r="H284" s="199"/>
      <c r="I284" s="199"/>
      <c r="J284" s="199"/>
      <c r="K284" s="200"/>
    </row>
    <row r="285" spans="2:11">
      <c r="B285" s="197">
        <v>382</v>
      </c>
      <c r="C285" s="198" t="s">
        <v>301</v>
      </c>
      <c r="D285" s="292" t="s">
        <v>441</v>
      </c>
      <c r="E285" s="199"/>
      <c r="F285" s="199"/>
      <c r="G285" s="199"/>
      <c r="H285" s="199"/>
      <c r="I285" s="199"/>
      <c r="J285" s="199"/>
      <c r="K285" s="200"/>
    </row>
    <row r="286" spans="2:11">
      <c r="B286" s="42">
        <v>194</v>
      </c>
      <c r="C286" s="21" t="s">
        <v>113</v>
      </c>
      <c r="D286" s="22" t="s">
        <v>587</v>
      </c>
      <c r="E286" s="323" t="s">
        <v>872</v>
      </c>
      <c r="F286" s="5"/>
      <c r="G286" s="389" t="s">
        <v>1020</v>
      </c>
      <c r="H286" s="340" t="s">
        <v>966</v>
      </c>
      <c r="I286" s="5"/>
      <c r="J286" s="5"/>
      <c r="K286" s="14"/>
    </row>
    <row r="287" spans="2:11">
      <c r="B287" s="42">
        <v>193</v>
      </c>
      <c r="C287" s="21" t="s">
        <v>112</v>
      </c>
      <c r="D287" s="22" t="s">
        <v>564</v>
      </c>
      <c r="E287" s="323" t="s">
        <v>872</v>
      </c>
      <c r="F287" s="5"/>
      <c r="G287" s="389" t="s">
        <v>1021</v>
      </c>
      <c r="H287" s="316" t="s">
        <v>966</v>
      </c>
      <c r="I287" s="5"/>
      <c r="J287" s="5"/>
      <c r="K287" s="14"/>
    </row>
    <row r="288" spans="2:11">
      <c r="B288" s="42">
        <v>184</v>
      </c>
      <c r="C288" s="21" t="s">
        <v>103</v>
      </c>
      <c r="D288" s="22" t="s">
        <v>586</v>
      </c>
      <c r="E288" s="323" t="s">
        <v>872</v>
      </c>
      <c r="F288" s="5"/>
      <c r="G288" s="389" t="s">
        <v>1018</v>
      </c>
      <c r="H288" s="316" t="s">
        <v>966</v>
      </c>
      <c r="I288" s="5"/>
      <c r="J288" s="5"/>
      <c r="K288" s="14"/>
    </row>
    <row r="289" spans="2:11">
      <c r="B289" s="42">
        <v>183</v>
      </c>
      <c r="C289" s="21" t="s">
        <v>102</v>
      </c>
      <c r="D289" s="22" t="s">
        <v>563</v>
      </c>
      <c r="E289" s="323" t="s">
        <v>872</v>
      </c>
      <c r="F289" s="5"/>
      <c r="G289" s="389" t="s">
        <v>1019</v>
      </c>
      <c r="H289" s="316" t="s">
        <v>966</v>
      </c>
      <c r="I289" s="5"/>
      <c r="J289" s="5"/>
      <c r="K289" s="14"/>
    </row>
    <row r="290" spans="2:11">
      <c r="B290" s="42">
        <v>182</v>
      </c>
      <c r="C290" s="21" t="s">
        <v>101</v>
      </c>
      <c r="D290" s="22" t="s">
        <v>542</v>
      </c>
      <c r="E290" s="323" t="s">
        <v>872</v>
      </c>
      <c r="F290" s="5"/>
      <c r="G290" s="389" t="s">
        <v>1016</v>
      </c>
      <c r="H290" s="316" t="s">
        <v>966</v>
      </c>
      <c r="I290" s="5"/>
      <c r="J290" s="5"/>
      <c r="K290" s="14"/>
    </row>
    <row r="291" spans="2:11">
      <c r="B291" s="42">
        <v>192</v>
      </c>
      <c r="C291" s="21" t="s">
        <v>111</v>
      </c>
      <c r="D291" s="22" t="s">
        <v>543</v>
      </c>
      <c r="E291" s="323" t="s">
        <v>872</v>
      </c>
      <c r="F291" s="5"/>
      <c r="G291" s="389" t="s">
        <v>1017</v>
      </c>
      <c r="H291" s="316" t="s">
        <v>966</v>
      </c>
      <c r="I291" s="5"/>
      <c r="J291" s="5"/>
      <c r="K291" s="14"/>
    </row>
    <row r="292" spans="2:11">
      <c r="B292" s="42">
        <v>214</v>
      </c>
      <c r="C292" s="21" t="s">
        <v>133</v>
      </c>
      <c r="D292" s="22" t="s">
        <v>589</v>
      </c>
      <c r="E292" s="323" t="s">
        <v>872</v>
      </c>
      <c r="F292" s="5"/>
      <c r="G292" s="389" t="s">
        <v>983</v>
      </c>
      <c r="H292" s="316" t="s">
        <v>966</v>
      </c>
      <c r="I292" s="5"/>
      <c r="J292" s="5"/>
      <c r="K292" s="14"/>
    </row>
    <row r="293" spans="2:11">
      <c r="B293" s="42">
        <v>213</v>
      </c>
      <c r="C293" s="21" t="s">
        <v>132</v>
      </c>
      <c r="D293" s="22" t="s">
        <v>566</v>
      </c>
      <c r="E293" s="323" t="s">
        <v>872</v>
      </c>
      <c r="F293" s="5"/>
      <c r="G293" s="389" t="s">
        <v>984</v>
      </c>
      <c r="H293" s="316" t="s">
        <v>966</v>
      </c>
      <c r="I293" s="5"/>
      <c r="J293" s="5"/>
      <c r="K293" s="14"/>
    </row>
    <row r="294" spans="2:11">
      <c r="B294" s="42">
        <v>204</v>
      </c>
      <c r="C294" s="21" t="s">
        <v>123</v>
      </c>
      <c r="D294" s="22" t="s">
        <v>588</v>
      </c>
      <c r="E294" s="323" t="s">
        <v>872</v>
      </c>
      <c r="F294" s="5"/>
      <c r="G294" s="389" t="s">
        <v>981</v>
      </c>
      <c r="H294" s="316" t="s">
        <v>966</v>
      </c>
      <c r="I294" s="5"/>
      <c r="J294" s="5"/>
      <c r="K294" s="14"/>
    </row>
    <row r="295" spans="2:11">
      <c r="B295" s="42">
        <v>203</v>
      </c>
      <c r="C295" s="21" t="s">
        <v>122</v>
      </c>
      <c r="D295" s="22" t="s">
        <v>565</v>
      </c>
      <c r="E295" s="323" t="s">
        <v>872</v>
      </c>
      <c r="F295" s="5"/>
      <c r="G295" s="389" t="s">
        <v>982</v>
      </c>
      <c r="H295" s="316" t="s">
        <v>966</v>
      </c>
      <c r="I295" s="5"/>
      <c r="J295" s="5"/>
      <c r="K295" s="14"/>
    </row>
    <row r="296" spans="2:11">
      <c r="B296" s="42">
        <v>176</v>
      </c>
      <c r="C296" s="21" t="s">
        <v>95</v>
      </c>
      <c r="D296" s="22" t="s">
        <v>617</v>
      </c>
      <c r="E296" s="323" t="s">
        <v>872</v>
      </c>
      <c r="F296" s="5"/>
      <c r="G296" s="389" t="s">
        <v>980</v>
      </c>
      <c r="H296" s="316" t="s">
        <v>966</v>
      </c>
      <c r="I296" s="5"/>
      <c r="J296" s="5"/>
      <c r="K296" s="14"/>
    </row>
    <row r="297" spans="2:11">
      <c r="B297" s="42">
        <v>175</v>
      </c>
      <c r="C297" s="21" t="s">
        <v>94</v>
      </c>
      <c r="D297" s="22" t="s">
        <v>604</v>
      </c>
      <c r="E297" s="323" t="s">
        <v>872</v>
      </c>
      <c r="F297" s="5"/>
      <c r="G297" s="389" t="s">
        <v>4</v>
      </c>
      <c r="H297" s="316" t="s">
        <v>966</v>
      </c>
      <c r="I297" s="5"/>
      <c r="J297" s="5"/>
      <c r="K297" s="14"/>
    </row>
    <row r="298" spans="2:11">
      <c r="B298" s="42">
        <v>114</v>
      </c>
      <c r="C298" s="21" t="s">
        <v>33</v>
      </c>
      <c r="D298" s="22" t="s">
        <v>585</v>
      </c>
      <c r="E298" s="323" t="s">
        <v>872</v>
      </c>
      <c r="F298" s="5"/>
      <c r="G298" s="389" t="s">
        <v>987</v>
      </c>
      <c r="H298" s="316" t="s">
        <v>966</v>
      </c>
      <c r="I298" s="5"/>
      <c r="J298" s="5"/>
      <c r="K298" s="14"/>
    </row>
    <row r="299" spans="2:11">
      <c r="B299" s="42">
        <v>115</v>
      </c>
      <c r="C299" s="21" t="s">
        <v>34</v>
      </c>
      <c r="D299" s="22" t="s">
        <v>603</v>
      </c>
      <c r="E299" s="323" t="s">
        <v>872</v>
      </c>
      <c r="F299" s="5"/>
      <c r="G299" s="389" t="s">
        <v>988</v>
      </c>
      <c r="H299" s="316" t="s">
        <v>966</v>
      </c>
      <c r="I299" s="5"/>
      <c r="J299" s="5"/>
      <c r="K299" s="14"/>
    </row>
    <row r="300" spans="2:11">
      <c r="B300" s="42">
        <v>122</v>
      </c>
      <c r="C300" s="21" t="s">
        <v>41</v>
      </c>
      <c r="D300" s="22" t="s">
        <v>540</v>
      </c>
      <c r="E300" s="323" t="s">
        <v>872</v>
      </c>
      <c r="F300" s="5"/>
      <c r="G300" s="389" t="s">
        <v>1022</v>
      </c>
      <c r="H300" s="316" t="s">
        <v>966</v>
      </c>
      <c r="I300" s="5"/>
      <c r="J300" s="5"/>
      <c r="K300" s="14"/>
    </row>
    <row r="301" spans="2:11">
      <c r="B301" s="42">
        <v>123</v>
      </c>
      <c r="C301" s="21" t="s">
        <v>42</v>
      </c>
      <c r="D301" s="22" t="s">
        <v>561</v>
      </c>
      <c r="E301" s="323" t="s">
        <v>872</v>
      </c>
      <c r="F301" s="5"/>
      <c r="G301" s="389" t="s">
        <v>6</v>
      </c>
      <c r="H301" s="316" t="s">
        <v>966</v>
      </c>
      <c r="I301" s="5"/>
      <c r="J301" s="5"/>
      <c r="K301" s="14"/>
    </row>
    <row r="302" spans="2:11">
      <c r="B302" s="42">
        <v>112</v>
      </c>
      <c r="C302" s="21" t="s">
        <v>31</v>
      </c>
      <c r="D302" s="22" t="s">
        <v>539</v>
      </c>
      <c r="E302" s="323" t="s">
        <v>872</v>
      </c>
      <c r="F302" s="5"/>
      <c r="G302" s="389" t="s">
        <v>985</v>
      </c>
      <c r="H302" s="316" t="s">
        <v>966</v>
      </c>
      <c r="I302" s="5"/>
      <c r="J302" s="5"/>
      <c r="K302" s="14"/>
    </row>
    <row r="303" spans="2:11">
      <c r="B303" s="42">
        <v>113</v>
      </c>
      <c r="C303" s="21" t="s">
        <v>32</v>
      </c>
      <c r="D303" s="22" t="s">
        <v>560</v>
      </c>
      <c r="E303" s="323" t="s">
        <v>872</v>
      </c>
      <c r="F303" s="5"/>
      <c r="G303" s="389" t="s">
        <v>986</v>
      </c>
      <c r="H303" s="316" t="s">
        <v>966</v>
      </c>
      <c r="I303" s="5"/>
      <c r="J303" s="5"/>
      <c r="K303" s="14"/>
    </row>
    <row r="304" spans="2:11">
      <c r="B304" s="42">
        <v>141</v>
      </c>
      <c r="C304" s="21" t="s">
        <v>60</v>
      </c>
      <c r="D304" s="22" t="s">
        <v>526</v>
      </c>
      <c r="E304" s="323" t="s">
        <v>872</v>
      </c>
      <c r="F304" s="5"/>
      <c r="G304" s="389" t="s">
        <v>993</v>
      </c>
      <c r="H304" s="316" t="s">
        <v>966</v>
      </c>
      <c r="I304" s="5"/>
      <c r="J304" s="5"/>
      <c r="K304" s="14"/>
    </row>
    <row r="305" spans="2:11">
      <c r="B305" s="42">
        <v>131</v>
      </c>
      <c r="C305" s="21" t="s">
        <v>50</v>
      </c>
      <c r="D305" s="22" t="s">
        <v>525</v>
      </c>
      <c r="E305" s="323" t="s">
        <v>872</v>
      </c>
      <c r="F305" s="5"/>
      <c r="G305" s="389" t="s">
        <v>8</v>
      </c>
      <c r="H305" s="316" t="s">
        <v>966</v>
      </c>
      <c r="I305" s="5"/>
      <c r="J305" s="5"/>
      <c r="K305" s="14"/>
    </row>
    <row r="306" spans="2:11">
      <c r="B306" s="42">
        <v>121</v>
      </c>
      <c r="C306" s="21" t="s">
        <v>40</v>
      </c>
      <c r="D306" s="22" t="s">
        <v>524</v>
      </c>
      <c r="E306" s="323" t="s">
        <v>872</v>
      </c>
      <c r="F306" s="5"/>
      <c r="G306" s="389" t="s">
        <v>991</v>
      </c>
      <c r="H306" s="316" t="s">
        <v>966</v>
      </c>
      <c r="I306" s="5"/>
      <c r="J306" s="5"/>
      <c r="K306" s="14"/>
    </row>
    <row r="307" spans="2:11">
      <c r="B307" s="42">
        <v>111</v>
      </c>
      <c r="C307" s="21" t="s">
        <v>30</v>
      </c>
      <c r="D307" s="22" t="s">
        <v>523</v>
      </c>
      <c r="E307" s="323" t="s">
        <v>872</v>
      </c>
      <c r="F307" s="5"/>
      <c r="G307" s="389" t="s">
        <v>992</v>
      </c>
      <c r="H307" s="316" t="s">
        <v>966</v>
      </c>
      <c r="I307" s="5"/>
      <c r="J307" s="5"/>
      <c r="K307" s="14"/>
    </row>
    <row r="308" spans="2:11">
      <c r="B308" s="42">
        <v>132</v>
      </c>
      <c r="C308" s="21" t="s">
        <v>51</v>
      </c>
      <c r="D308" s="22" t="s">
        <v>541</v>
      </c>
      <c r="E308" s="323" t="s">
        <v>872</v>
      </c>
      <c r="F308" s="5"/>
      <c r="G308" s="389" t="s">
        <v>989</v>
      </c>
      <c r="H308" s="316" t="s">
        <v>966</v>
      </c>
      <c r="I308" s="5"/>
      <c r="J308" s="5"/>
      <c r="K308" s="14"/>
    </row>
    <row r="309" spans="2:11">
      <c r="B309" s="42">
        <v>133</v>
      </c>
      <c r="C309" s="21" t="s">
        <v>52</v>
      </c>
      <c r="D309" s="22" t="s">
        <v>562</v>
      </c>
      <c r="E309" s="323" t="s">
        <v>872</v>
      </c>
      <c r="F309" s="5"/>
      <c r="G309" s="389" t="s">
        <v>990</v>
      </c>
      <c r="H309" s="316" t="s">
        <v>966</v>
      </c>
      <c r="I309" s="5"/>
      <c r="J309" s="5"/>
      <c r="K309" s="14"/>
    </row>
    <row r="310" spans="2:11">
      <c r="B310" s="42">
        <v>124</v>
      </c>
      <c r="C310" s="21" t="s">
        <v>43</v>
      </c>
      <c r="D310" s="22" t="s">
        <v>465</v>
      </c>
      <c r="E310" s="323" t="s">
        <v>872</v>
      </c>
      <c r="F310" s="5"/>
      <c r="G310" s="320" t="s">
        <v>226</v>
      </c>
      <c r="H310" s="5"/>
      <c r="I310" s="5"/>
      <c r="J310" s="5"/>
      <c r="K310" s="14"/>
    </row>
    <row r="311" spans="2:11">
      <c r="B311" s="42">
        <v>125</v>
      </c>
      <c r="C311" s="21" t="s">
        <v>44</v>
      </c>
      <c r="D311" s="22" t="s">
        <v>456</v>
      </c>
      <c r="E311" s="323" t="s">
        <v>872</v>
      </c>
      <c r="F311" s="5"/>
      <c r="G311" s="320" t="s">
        <v>236</v>
      </c>
      <c r="H311" s="5"/>
      <c r="I311" s="5"/>
      <c r="J311" s="5"/>
      <c r="K311" s="14"/>
    </row>
    <row r="312" spans="2:11">
      <c r="B312" s="42">
        <v>162</v>
      </c>
      <c r="C312" s="21" t="s">
        <v>81</v>
      </c>
      <c r="D312" s="22" t="s">
        <v>433</v>
      </c>
      <c r="E312" s="5"/>
      <c r="F312" s="5"/>
      <c r="G312" s="5"/>
      <c r="H312" s="5"/>
      <c r="I312" s="5"/>
      <c r="J312" s="5"/>
      <c r="K312" s="14"/>
    </row>
    <row r="313" spans="2:11">
      <c r="B313" s="42">
        <v>161</v>
      </c>
      <c r="C313" s="21" t="s">
        <v>80</v>
      </c>
      <c r="D313" s="22" t="s">
        <v>327</v>
      </c>
      <c r="E313" s="323" t="s">
        <v>872</v>
      </c>
      <c r="F313" s="323"/>
      <c r="G313" s="320" t="s">
        <v>1034</v>
      </c>
      <c r="H313" s="5"/>
      <c r="I313" s="5"/>
      <c r="J313" s="5"/>
      <c r="K313" s="14"/>
    </row>
    <row r="314" spans="2:11">
      <c r="B314" s="42">
        <v>164</v>
      </c>
      <c r="C314" s="21" t="s">
        <v>83</v>
      </c>
      <c r="D314" s="22" t="s">
        <v>458</v>
      </c>
      <c r="E314" s="5"/>
      <c r="F314" s="5"/>
      <c r="G314" s="5"/>
      <c r="H314" s="5"/>
      <c r="I314" s="5"/>
      <c r="J314" s="5"/>
      <c r="K314" s="14"/>
    </row>
    <row r="315" spans="2:11">
      <c r="B315" s="42">
        <v>163</v>
      </c>
      <c r="C315" s="21" t="s">
        <v>82</v>
      </c>
      <c r="D315" s="22" t="s">
        <v>448</v>
      </c>
      <c r="E315" s="323" t="s">
        <v>872</v>
      </c>
      <c r="F315" s="323"/>
      <c r="G315" s="320" t="s">
        <v>1035</v>
      </c>
      <c r="H315" s="5"/>
      <c r="I315" s="5"/>
      <c r="J315" s="5"/>
      <c r="K315" s="14"/>
    </row>
    <row r="316" spans="2:11">
      <c r="B316" s="42">
        <v>181</v>
      </c>
      <c r="C316" s="21" t="s">
        <v>100</v>
      </c>
      <c r="D316" s="22" t="s">
        <v>432</v>
      </c>
      <c r="E316" s="5"/>
      <c r="F316" s="5"/>
      <c r="G316" s="5"/>
      <c r="H316" s="5"/>
      <c r="I316" s="5"/>
      <c r="J316" s="5"/>
      <c r="K316" s="14"/>
    </row>
    <row r="317" spans="2:11">
      <c r="B317" s="42">
        <v>191</v>
      </c>
      <c r="C317" s="21" t="s">
        <v>110</v>
      </c>
      <c r="D317" s="22" t="s">
        <v>432</v>
      </c>
      <c r="E317" s="5"/>
      <c r="F317" s="5"/>
      <c r="G317" s="5"/>
      <c r="H317" s="5"/>
      <c r="I317" s="5"/>
      <c r="J317" s="5"/>
      <c r="K317" s="14"/>
    </row>
    <row r="318" spans="2:11">
      <c r="B318" s="42">
        <v>201</v>
      </c>
      <c r="C318" s="21" t="s">
        <v>120</v>
      </c>
      <c r="D318" s="22" t="s">
        <v>432</v>
      </c>
      <c r="E318" s="5"/>
      <c r="F318" s="5"/>
      <c r="G318" s="5"/>
      <c r="H318" s="5"/>
      <c r="I318" s="5"/>
      <c r="J318" s="5"/>
      <c r="K318" s="14"/>
    </row>
    <row r="319" spans="2:11">
      <c r="B319" s="42">
        <v>211</v>
      </c>
      <c r="C319" s="21" t="s">
        <v>130</v>
      </c>
      <c r="D319" s="22" t="s">
        <v>432</v>
      </c>
      <c r="E319" s="5"/>
      <c r="F319" s="5"/>
      <c r="G319" s="5"/>
      <c r="H319" s="5"/>
      <c r="I319" s="5"/>
      <c r="J319" s="5"/>
      <c r="K319" s="14"/>
    </row>
    <row r="320" spans="2:11">
      <c r="B320" s="42">
        <v>185</v>
      </c>
      <c r="C320" s="21" t="s">
        <v>104</v>
      </c>
      <c r="D320" s="22" t="s">
        <v>432</v>
      </c>
      <c r="E320" s="5"/>
      <c r="F320" s="5"/>
      <c r="G320" s="5"/>
      <c r="H320" s="5"/>
      <c r="I320" s="5"/>
      <c r="J320" s="5"/>
      <c r="K320" s="14"/>
    </row>
    <row r="321" spans="2:11">
      <c r="B321" s="42">
        <v>195</v>
      </c>
      <c r="C321" s="21" t="s">
        <v>114</v>
      </c>
      <c r="D321" s="22" t="s">
        <v>432</v>
      </c>
      <c r="E321" s="5"/>
      <c r="F321" s="5"/>
      <c r="G321" s="5"/>
      <c r="H321" s="5"/>
      <c r="I321" s="5"/>
      <c r="J321" s="5"/>
      <c r="K321" s="14"/>
    </row>
    <row r="322" spans="2:11">
      <c r="B322" s="42">
        <v>205</v>
      </c>
      <c r="C322" s="21" t="s">
        <v>124</v>
      </c>
      <c r="D322" s="22" t="s">
        <v>432</v>
      </c>
      <c r="E322" s="5"/>
      <c r="F322" s="5"/>
      <c r="G322" s="5"/>
      <c r="H322" s="5"/>
      <c r="I322" s="5"/>
      <c r="J322" s="5"/>
      <c r="K322" s="14"/>
    </row>
    <row r="323" spans="2:11">
      <c r="B323" s="42">
        <v>215</v>
      </c>
      <c r="C323" s="21" t="s">
        <v>134</v>
      </c>
      <c r="D323" s="22" t="s">
        <v>432</v>
      </c>
      <c r="E323" s="5"/>
      <c r="F323" s="5"/>
      <c r="G323" s="5"/>
      <c r="H323" s="5"/>
      <c r="I323" s="5"/>
      <c r="J323" s="5"/>
      <c r="K323" s="14"/>
    </row>
    <row r="324" spans="2:11">
      <c r="B324" s="42">
        <v>186</v>
      </c>
      <c r="C324" s="21" t="s">
        <v>105</v>
      </c>
      <c r="D324" s="22" t="s">
        <v>432</v>
      </c>
      <c r="E324" s="5"/>
      <c r="F324" s="5"/>
      <c r="G324" s="5"/>
      <c r="H324" s="5"/>
      <c r="I324" s="5"/>
      <c r="J324" s="5"/>
      <c r="K324" s="14"/>
    </row>
    <row r="325" spans="2:11">
      <c r="B325" s="42">
        <v>196</v>
      </c>
      <c r="C325" s="21" t="s">
        <v>115</v>
      </c>
      <c r="D325" s="22" t="s">
        <v>432</v>
      </c>
      <c r="E325" s="5"/>
      <c r="F325" s="5"/>
      <c r="G325" s="5"/>
      <c r="H325" s="5"/>
      <c r="I325" s="5"/>
      <c r="J325" s="5"/>
      <c r="K325" s="14"/>
    </row>
    <row r="326" spans="2:11">
      <c r="B326" s="42">
        <v>151</v>
      </c>
      <c r="C326" s="21" t="s">
        <v>70</v>
      </c>
      <c r="D326" s="22" t="s">
        <v>326</v>
      </c>
      <c r="E326" s="5"/>
      <c r="F326" s="5"/>
      <c r="G326" s="5"/>
      <c r="H326" s="5"/>
      <c r="I326" s="5"/>
      <c r="J326" s="5"/>
      <c r="K326" s="14"/>
    </row>
    <row r="327" spans="2:11">
      <c r="B327" s="42">
        <v>172</v>
      </c>
      <c r="C327" s="21" t="s">
        <v>91</v>
      </c>
      <c r="D327" s="22" t="s">
        <v>434</v>
      </c>
      <c r="E327" s="5"/>
      <c r="F327" s="5"/>
      <c r="G327" s="5"/>
      <c r="H327" s="5"/>
      <c r="I327" s="5"/>
      <c r="J327" s="5"/>
      <c r="K327" s="14"/>
    </row>
    <row r="328" spans="2:11">
      <c r="B328" s="42">
        <v>171</v>
      </c>
      <c r="C328" s="21" t="s">
        <v>90</v>
      </c>
      <c r="D328" s="22" t="s">
        <v>328</v>
      </c>
      <c r="E328" s="5"/>
      <c r="F328" s="5"/>
      <c r="G328" s="5"/>
      <c r="H328" s="5"/>
      <c r="I328" s="5"/>
      <c r="J328" s="5"/>
      <c r="K328" s="14"/>
    </row>
    <row r="329" spans="2:11">
      <c r="B329" s="42">
        <v>142</v>
      </c>
      <c r="C329" s="21" t="s">
        <v>61</v>
      </c>
      <c r="D329" s="22" t="s">
        <v>329</v>
      </c>
      <c r="E329" s="5"/>
      <c r="F329" s="5"/>
      <c r="G329" s="5"/>
      <c r="H329" s="5"/>
      <c r="I329" s="5"/>
      <c r="J329" s="5"/>
      <c r="K329" s="14"/>
    </row>
    <row r="330" spans="2:11">
      <c r="B330" s="42">
        <v>152</v>
      </c>
      <c r="C330" s="21" t="s">
        <v>71</v>
      </c>
      <c r="D330" s="22" t="s">
        <v>329</v>
      </c>
      <c r="E330" s="5"/>
      <c r="F330" s="5"/>
      <c r="G330" s="5"/>
      <c r="H330" s="5"/>
      <c r="I330" s="5"/>
      <c r="J330" s="5"/>
      <c r="K330" s="14"/>
    </row>
    <row r="331" spans="2:11">
      <c r="B331" s="42">
        <v>143</v>
      </c>
      <c r="C331" s="21" t="s">
        <v>62</v>
      </c>
      <c r="D331" s="22" t="s">
        <v>329</v>
      </c>
      <c r="E331" s="5"/>
      <c r="F331" s="5"/>
      <c r="G331" s="5"/>
      <c r="H331" s="5"/>
      <c r="I331" s="5"/>
      <c r="J331" s="5"/>
      <c r="K331" s="14"/>
    </row>
    <row r="332" spans="2:11">
      <c r="B332" s="42">
        <v>153</v>
      </c>
      <c r="C332" s="21" t="s">
        <v>72</v>
      </c>
      <c r="D332" s="22" t="s">
        <v>329</v>
      </c>
      <c r="E332" s="5"/>
      <c r="F332" s="5"/>
      <c r="G332" s="5"/>
      <c r="H332" s="5"/>
      <c r="I332" s="5"/>
      <c r="J332" s="5"/>
      <c r="K332" s="14"/>
    </row>
    <row r="333" spans="2:11">
      <c r="B333" s="42">
        <v>144</v>
      </c>
      <c r="C333" s="21" t="s">
        <v>63</v>
      </c>
      <c r="D333" s="22" t="s">
        <v>329</v>
      </c>
      <c r="E333" s="5"/>
      <c r="F333" s="5"/>
      <c r="G333" s="5"/>
      <c r="H333" s="5"/>
      <c r="I333" s="5"/>
      <c r="J333" s="5"/>
      <c r="K333" s="14"/>
    </row>
    <row r="334" spans="2:11">
      <c r="B334" s="42">
        <v>154</v>
      </c>
      <c r="C334" s="21" t="s">
        <v>73</v>
      </c>
      <c r="D334" s="22" t="s">
        <v>329</v>
      </c>
      <c r="E334" s="5"/>
      <c r="F334" s="5"/>
      <c r="G334" s="5"/>
      <c r="H334" s="5"/>
      <c r="I334" s="5"/>
      <c r="J334" s="5"/>
      <c r="K334" s="14"/>
    </row>
    <row r="335" spans="2:11">
      <c r="B335" s="42">
        <v>145</v>
      </c>
      <c r="C335" s="21" t="s">
        <v>64</v>
      </c>
      <c r="D335" s="22" t="s">
        <v>329</v>
      </c>
      <c r="E335" s="5"/>
      <c r="F335" s="5"/>
      <c r="G335" s="5"/>
      <c r="H335" s="5"/>
      <c r="I335" s="5"/>
      <c r="J335" s="5"/>
      <c r="K335" s="14"/>
    </row>
    <row r="336" spans="2:11">
      <c r="B336" s="42">
        <v>155</v>
      </c>
      <c r="C336" s="21" t="s">
        <v>74</v>
      </c>
      <c r="D336" s="22" t="s">
        <v>329</v>
      </c>
      <c r="E336" s="5"/>
      <c r="F336" s="5"/>
      <c r="G336" s="5"/>
      <c r="H336" s="5"/>
      <c r="I336" s="5"/>
      <c r="J336" s="5"/>
      <c r="K336" s="14"/>
    </row>
    <row r="337" spans="2:11">
      <c r="B337" s="42">
        <v>165</v>
      </c>
      <c r="C337" s="21" t="s">
        <v>84</v>
      </c>
      <c r="D337" s="22" t="s">
        <v>329</v>
      </c>
      <c r="E337" s="5"/>
      <c r="F337" s="5"/>
      <c r="G337" s="5"/>
      <c r="H337" s="5"/>
      <c r="I337" s="5"/>
      <c r="J337" s="5"/>
      <c r="K337" s="14"/>
    </row>
    <row r="338" spans="2:11">
      <c r="B338" s="42">
        <v>146</v>
      </c>
      <c r="C338" s="21" t="s">
        <v>65</v>
      </c>
      <c r="D338" s="22" t="s">
        <v>329</v>
      </c>
      <c r="E338" s="5"/>
      <c r="F338" s="5"/>
      <c r="G338" s="5"/>
      <c r="H338" s="5"/>
      <c r="I338" s="5"/>
      <c r="J338" s="5"/>
      <c r="K338" s="14"/>
    </row>
    <row r="339" spans="2:11">
      <c r="B339" s="42">
        <v>156</v>
      </c>
      <c r="C339" s="21" t="s">
        <v>75</v>
      </c>
      <c r="D339" s="22" t="s">
        <v>329</v>
      </c>
      <c r="E339" s="5"/>
      <c r="F339" s="5"/>
      <c r="G339" s="5"/>
      <c r="H339" s="5"/>
      <c r="I339" s="5"/>
      <c r="J339" s="5"/>
      <c r="K339" s="14"/>
    </row>
    <row r="340" spans="2:11">
      <c r="B340" s="42">
        <v>166</v>
      </c>
      <c r="C340" s="21" t="s">
        <v>85</v>
      </c>
      <c r="D340" s="22" t="s">
        <v>329</v>
      </c>
      <c r="E340" s="5"/>
      <c r="F340" s="5"/>
      <c r="G340" s="5"/>
      <c r="H340" s="5"/>
      <c r="I340" s="5"/>
      <c r="J340" s="5"/>
      <c r="K340" s="14"/>
    </row>
    <row r="341" spans="2:11">
      <c r="B341" s="42">
        <v>212</v>
      </c>
      <c r="C341" s="21" t="s">
        <v>131</v>
      </c>
      <c r="D341" s="22" t="s">
        <v>436</v>
      </c>
      <c r="E341" s="5"/>
      <c r="F341" s="5"/>
      <c r="G341" s="5"/>
      <c r="H341" s="5"/>
      <c r="I341" s="5"/>
      <c r="J341" s="5"/>
      <c r="K341" s="14"/>
    </row>
    <row r="342" spans="2:11">
      <c r="B342" s="42">
        <v>202</v>
      </c>
      <c r="C342" s="21" t="s">
        <v>121</v>
      </c>
      <c r="D342" s="327" t="s">
        <v>435</v>
      </c>
      <c r="E342" s="323" t="s">
        <v>872</v>
      </c>
      <c r="F342" s="323"/>
      <c r="G342" s="320" t="s">
        <v>147</v>
      </c>
      <c r="H342" s="5"/>
      <c r="I342" s="5"/>
      <c r="J342" s="5"/>
      <c r="K342" s="14"/>
    </row>
    <row r="343" spans="2:11">
      <c r="B343" s="42">
        <v>174</v>
      </c>
      <c r="C343" s="21" t="s">
        <v>93</v>
      </c>
      <c r="D343" s="327" t="s">
        <v>459</v>
      </c>
      <c r="E343" s="323" t="s">
        <v>872</v>
      </c>
      <c r="F343" s="5"/>
      <c r="G343" s="321" t="s">
        <v>247</v>
      </c>
      <c r="H343" s="5"/>
      <c r="I343" s="5"/>
      <c r="J343" s="5"/>
      <c r="K343" s="14"/>
    </row>
    <row r="344" spans="2:11">
      <c r="B344" s="42">
        <v>173</v>
      </c>
      <c r="C344" s="21" t="s">
        <v>92</v>
      </c>
      <c r="D344" s="327" t="s">
        <v>449</v>
      </c>
      <c r="E344" s="323" t="s">
        <v>872</v>
      </c>
      <c r="F344" s="5"/>
      <c r="G344" s="320" t="s">
        <v>257</v>
      </c>
      <c r="H344" s="5"/>
      <c r="I344" s="5"/>
      <c r="J344" s="5"/>
      <c r="K344" s="14"/>
    </row>
    <row r="345" spans="2:11">
      <c r="B345" s="42">
        <v>135</v>
      </c>
      <c r="C345" s="21" t="s">
        <v>54</v>
      </c>
      <c r="D345" s="327" t="s">
        <v>457</v>
      </c>
      <c r="E345" s="323" t="s">
        <v>872</v>
      </c>
      <c r="F345" s="324"/>
      <c r="G345" s="321" t="s">
        <v>317</v>
      </c>
      <c r="H345" s="5"/>
      <c r="I345" s="5"/>
      <c r="J345" s="5"/>
      <c r="K345" s="14"/>
    </row>
    <row r="346" spans="2:11">
      <c r="B346" s="42">
        <v>134</v>
      </c>
      <c r="C346" s="21" t="s">
        <v>53</v>
      </c>
      <c r="D346" s="327" t="s">
        <v>466</v>
      </c>
      <c r="E346" s="323" t="s">
        <v>872</v>
      </c>
      <c r="F346" s="5"/>
      <c r="G346" s="320" t="s">
        <v>1033</v>
      </c>
      <c r="H346" s="5"/>
      <c r="I346" s="5"/>
      <c r="J346" s="5"/>
      <c r="K346" s="14"/>
    </row>
    <row r="347" spans="2:11">
      <c r="B347" s="42">
        <v>332</v>
      </c>
      <c r="C347" s="21" t="s">
        <v>251</v>
      </c>
      <c r="D347" s="22" t="s">
        <v>549</v>
      </c>
      <c r="E347" s="323" t="s">
        <v>872</v>
      </c>
      <c r="F347" s="5"/>
      <c r="G347" s="389" t="s">
        <v>1027</v>
      </c>
      <c r="H347" s="340" t="s">
        <v>939</v>
      </c>
      <c r="I347" s="5"/>
      <c r="J347" s="5"/>
      <c r="K347" s="14"/>
    </row>
    <row r="348" spans="2:11">
      <c r="B348" s="42">
        <v>331</v>
      </c>
      <c r="C348" s="21" t="s">
        <v>250</v>
      </c>
      <c r="D348" s="22" t="s">
        <v>529</v>
      </c>
      <c r="E348" s="323" t="s">
        <v>872</v>
      </c>
      <c r="F348" s="5"/>
      <c r="G348" s="389" t="s">
        <v>1028</v>
      </c>
      <c r="H348" s="303" t="s">
        <v>939</v>
      </c>
      <c r="I348" s="5"/>
      <c r="J348" s="5"/>
      <c r="K348" s="14"/>
    </row>
    <row r="349" spans="2:11">
      <c r="B349" s="42">
        <v>322</v>
      </c>
      <c r="C349" s="21" t="s">
        <v>241</v>
      </c>
      <c r="D349" s="22" t="s">
        <v>548</v>
      </c>
      <c r="E349" s="323" t="s">
        <v>872</v>
      </c>
      <c r="F349" s="5"/>
      <c r="G349" s="389" t="s">
        <v>1025</v>
      </c>
      <c r="H349" s="303" t="s">
        <v>939</v>
      </c>
      <c r="I349" s="5"/>
      <c r="J349" s="5"/>
      <c r="K349" s="14"/>
    </row>
    <row r="350" spans="2:11">
      <c r="B350" s="42">
        <v>321</v>
      </c>
      <c r="C350" s="21" t="s">
        <v>240</v>
      </c>
      <c r="D350" s="22" t="s">
        <v>528</v>
      </c>
      <c r="E350" s="323" t="s">
        <v>872</v>
      </c>
      <c r="F350" s="5"/>
      <c r="G350" s="389" t="s">
        <v>1026</v>
      </c>
      <c r="H350" s="303" t="s">
        <v>939</v>
      </c>
      <c r="I350" s="5"/>
      <c r="J350" s="5"/>
      <c r="K350" s="14"/>
    </row>
    <row r="351" spans="2:11">
      <c r="B351" s="42">
        <v>312</v>
      </c>
      <c r="C351" s="21" t="s">
        <v>231</v>
      </c>
      <c r="D351" s="22" t="s">
        <v>547</v>
      </c>
      <c r="E351" s="323" t="s">
        <v>872</v>
      </c>
      <c r="F351" s="5"/>
      <c r="G351" s="389" t="s">
        <v>1023</v>
      </c>
      <c r="H351" s="303" t="s">
        <v>939</v>
      </c>
      <c r="I351" s="5"/>
      <c r="J351" s="5"/>
      <c r="K351" s="14"/>
    </row>
    <row r="352" spans="2:11">
      <c r="B352" s="42">
        <v>311</v>
      </c>
      <c r="C352" s="21" t="s">
        <v>230</v>
      </c>
      <c r="D352" s="22" t="s">
        <v>527</v>
      </c>
      <c r="E352" s="323" t="s">
        <v>872</v>
      </c>
      <c r="F352" s="5"/>
      <c r="G352" s="389" t="s">
        <v>1024</v>
      </c>
      <c r="H352" s="303" t="s">
        <v>939</v>
      </c>
      <c r="I352" s="5"/>
      <c r="J352" s="5"/>
      <c r="K352" s="14"/>
    </row>
    <row r="353" spans="2:11">
      <c r="B353" s="42">
        <v>313</v>
      </c>
      <c r="C353" s="21" t="s">
        <v>232</v>
      </c>
      <c r="D353" s="22" t="s">
        <v>572</v>
      </c>
      <c r="E353" s="323" t="s">
        <v>872</v>
      </c>
      <c r="F353" s="5"/>
      <c r="G353" s="389" t="s">
        <v>998</v>
      </c>
      <c r="H353" s="303" t="s">
        <v>939</v>
      </c>
      <c r="I353" s="5"/>
      <c r="J353" s="5"/>
      <c r="K353" s="14"/>
    </row>
    <row r="354" spans="2:11">
      <c r="B354" s="42">
        <v>323</v>
      </c>
      <c r="C354" s="21" t="s">
        <v>242</v>
      </c>
      <c r="D354" s="22" t="s">
        <v>573</v>
      </c>
      <c r="E354" s="323" t="s">
        <v>872</v>
      </c>
      <c r="F354" s="5"/>
      <c r="G354" s="389" t="s">
        <v>999</v>
      </c>
      <c r="H354" s="303" t="s">
        <v>939</v>
      </c>
      <c r="I354" s="5"/>
      <c r="J354" s="5"/>
      <c r="K354" s="14"/>
    </row>
    <row r="355" spans="2:11">
      <c r="B355" s="42">
        <v>303</v>
      </c>
      <c r="C355" s="21" t="s">
        <v>222</v>
      </c>
      <c r="D355" s="22" t="s">
        <v>571</v>
      </c>
      <c r="E355" s="323" t="s">
        <v>872</v>
      </c>
      <c r="F355" s="5"/>
      <c r="G355" s="389" t="s">
        <v>996</v>
      </c>
      <c r="H355" s="303" t="s">
        <v>939</v>
      </c>
      <c r="I355" s="5"/>
      <c r="J355" s="5"/>
      <c r="K355" s="14"/>
    </row>
    <row r="356" spans="2:11">
      <c r="B356" s="42">
        <v>293</v>
      </c>
      <c r="C356" s="21" t="s">
        <v>212</v>
      </c>
      <c r="D356" s="22" t="s">
        <v>570</v>
      </c>
      <c r="E356" s="323" t="s">
        <v>872</v>
      </c>
      <c r="F356" s="5"/>
      <c r="G356" s="389" t="s">
        <v>997</v>
      </c>
      <c r="H356" s="303" t="s">
        <v>939</v>
      </c>
      <c r="I356" s="5"/>
      <c r="J356" s="5"/>
      <c r="K356" s="14"/>
    </row>
    <row r="357" spans="2:11">
      <c r="B357" s="42">
        <v>324</v>
      </c>
      <c r="C357" s="21" t="s">
        <v>243</v>
      </c>
      <c r="D357" s="22" t="s">
        <v>594</v>
      </c>
      <c r="E357" s="323" t="s">
        <v>872</v>
      </c>
      <c r="F357" s="5"/>
      <c r="G357" s="389" t="s">
        <v>994</v>
      </c>
      <c r="H357" s="303" t="s">
        <v>939</v>
      </c>
      <c r="I357" s="5"/>
      <c r="J357" s="5"/>
      <c r="K357" s="14"/>
    </row>
    <row r="358" spans="2:11">
      <c r="B358" s="42">
        <v>314</v>
      </c>
      <c r="C358" s="21" t="s">
        <v>233</v>
      </c>
      <c r="D358" s="22" t="s">
        <v>593</v>
      </c>
      <c r="E358" s="323" t="s">
        <v>872</v>
      </c>
      <c r="F358" s="5"/>
      <c r="G358" s="389" t="s">
        <v>995</v>
      </c>
      <c r="H358" s="303" t="s">
        <v>939</v>
      </c>
      <c r="I358" s="5"/>
      <c r="J358" s="5"/>
      <c r="K358" s="14"/>
    </row>
    <row r="359" spans="2:11">
      <c r="B359" s="42">
        <v>244</v>
      </c>
      <c r="C359" s="21" t="s">
        <v>163</v>
      </c>
      <c r="D359" s="22" t="s">
        <v>592</v>
      </c>
      <c r="E359" s="323" t="s">
        <v>872</v>
      </c>
      <c r="F359" s="5"/>
      <c r="G359" s="389" t="s">
        <v>1006</v>
      </c>
      <c r="H359" s="303" t="s">
        <v>939</v>
      </c>
      <c r="I359" s="5"/>
      <c r="J359" s="5"/>
      <c r="K359" s="14"/>
    </row>
    <row r="360" spans="2:11">
      <c r="B360" s="42">
        <v>245</v>
      </c>
      <c r="C360" s="21" t="s">
        <v>164</v>
      </c>
      <c r="D360" s="22" t="s">
        <v>607</v>
      </c>
      <c r="E360" s="323" t="s">
        <v>872</v>
      </c>
      <c r="F360" s="5"/>
      <c r="G360" s="389" t="s">
        <v>1007</v>
      </c>
      <c r="H360" s="303" t="s">
        <v>939</v>
      </c>
      <c r="I360" s="5"/>
      <c r="J360" s="5"/>
      <c r="K360" s="14"/>
    </row>
    <row r="361" spans="2:11">
      <c r="B361" s="42">
        <v>234</v>
      </c>
      <c r="C361" s="21" t="s">
        <v>153</v>
      </c>
      <c r="D361" s="22" t="s">
        <v>591</v>
      </c>
      <c r="E361" s="323" t="s">
        <v>872</v>
      </c>
      <c r="F361" s="5"/>
      <c r="G361" s="389" t="s">
        <v>1029</v>
      </c>
      <c r="H361" s="303" t="s">
        <v>939</v>
      </c>
      <c r="I361" s="5"/>
      <c r="J361" s="5"/>
      <c r="K361" s="14"/>
    </row>
    <row r="362" spans="2:11">
      <c r="B362" s="42">
        <v>235</v>
      </c>
      <c r="C362" s="21" t="s">
        <v>154</v>
      </c>
      <c r="D362" s="22" t="s">
        <v>606</v>
      </c>
      <c r="E362" s="323" t="s">
        <v>872</v>
      </c>
      <c r="F362" s="5"/>
      <c r="G362" s="389" t="s">
        <v>1030</v>
      </c>
      <c r="H362" s="303" t="s">
        <v>939</v>
      </c>
      <c r="I362" s="5"/>
      <c r="J362" s="5"/>
      <c r="K362" s="14"/>
    </row>
    <row r="363" spans="2:11">
      <c r="B363" s="42">
        <v>224</v>
      </c>
      <c r="C363" s="21" t="s">
        <v>143</v>
      </c>
      <c r="D363" s="22" t="s">
        <v>590</v>
      </c>
      <c r="E363" s="323" t="s">
        <v>872</v>
      </c>
      <c r="F363" s="5"/>
      <c r="G363" s="389" t="s">
        <v>1000</v>
      </c>
      <c r="H363" s="303" t="s">
        <v>939</v>
      </c>
      <c r="I363" s="5"/>
      <c r="J363" s="5"/>
      <c r="K363" s="14"/>
    </row>
    <row r="364" spans="2:11">
      <c r="B364" s="42">
        <v>225</v>
      </c>
      <c r="C364" s="21" t="s">
        <v>144</v>
      </c>
      <c r="D364" s="22" t="s">
        <v>605</v>
      </c>
      <c r="E364" s="323" t="s">
        <v>872</v>
      </c>
      <c r="F364" s="5"/>
      <c r="G364" s="389" t="s">
        <v>1001</v>
      </c>
      <c r="H364" s="303" t="s">
        <v>939</v>
      </c>
      <c r="I364" s="5"/>
      <c r="J364" s="5"/>
      <c r="K364" s="14"/>
    </row>
    <row r="365" spans="2:11">
      <c r="B365" s="42">
        <v>252</v>
      </c>
      <c r="C365" s="21" t="s">
        <v>171</v>
      </c>
      <c r="D365" s="22" t="s">
        <v>546</v>
      </c>
      <c r="E365" s="323" t="s">
        <v>872</v>
      </c>
      <c r="F365" s="5"/>
      <c r="G365" s="389" t="s">
        <v>1002</v>
      </c>
      <c r="H365" s="303" t="s">
        <v>939</v>
      </c>
      <c r="I365" s="5"/>
      <c r="J365" s="5"/>
      <c r="K365" s="14"/>
    </row>
    <row r="366" spans="2:11">
      <c r="B366" s="42">
        <v>253</v>
      </c>
      <c r="C366" s="21" t="s">
        <v>172</v>
      </c>
      <c r="D366" s="22" t="s">
        <v>569</v>
      </c>
      <c r="E366" s="323" t="s">
        <v>872</v>
      </c>
      <c r="F366" s="5"/>
      <c r="G366" s="389" t="s">
        <v>1003</v>
      </c>
      <c r="H366" s="303" t="s">
        <v>939</v>
      </c>
      <c r="I366" s="5"/>
      <c r="J366" s="5"/>
      <c r="K366" s="14"/>
    </row>
    <row r="367" spans="2:11">
      <c r="B367" s="42">
        <v>242</v>
      </c>
      <c r="C367" s="21" t="s">
        <v>161</v>
      </c>
      <c r="D367" s="22" t="s">
        <v>545</v>
      </c>
      <c r="E367" s="323" t="s">
        <v>872</v>
      </c>
      <c r="F367" s="5"/>
      <c r="G367" s="389" t="s">
        <v>1004</v>
      </c>
      <c r="H367" s="303" t="s">
        <v>939</v>
      </c>
      <c r="I367" s="5"/>
      <c r="J367" s="5"/>
      <c r="K367" s="14"/>
    </row>
    <row r="368" spans="2:11">
      <c r="B368" s="42">
        <v>243</v>
      </c>
      <c r="C368" s="21" t="s">
        <v>162</v>
      </c>
      <c r="D368" s="22" t="s">
        <v>568</v>
      </c>
      <c r="E368" s="323" t="s">
        <v>872</v>
      </c>
      <c r="F368" s="5"/>
      <c r="G368" s="389" t="s">
        <v>1005</v>
      </c>
      <c r="H368" s="303" t="s">
        <v>939</v>
      </c>
      <c r="I368" s="5"/>
      <c r="J368" s="5"/>
      <c r="K368" s="14"/>
    </row>
    <row r="369" spans="2:11">
      <c r="B369" s="42">
        <v>222</v>
      </c>
      <c r="C369" s="21" t="s">
        <v>141</v>
      </c>
      <c r="D369" s="22" t="s">
        <v>544</v>
      </c>
      <c r="E369" s="323" t="s">
        <v>872</v>
      </c>
      <c r="F369" s="5"/>
      <c r="G369" s="389" t="s">
        <v>1008</v>
      </c>
      <c r="H369" s="303" t="s">
        <v>939</v>
      </c>
      <c r="I369" s="5"/>
      <c r="J369" s="5"/>
      <c r="K369" s="14"/>
    </row>
    <row r="370" spans="2:11">
      <c r="B370" s="42">
        <v>223</v>
      </c>
      <c r="C370" s="21" t="s">
        <v>142</v>
      </c>
      <c r="D370" s="22" t="s">
        <v>567</v>
      </c>
      <c r="E370" s="323" t="s">
        <v>872</v>
      </c>
      <c r="F370" s="5"/>
      <c r="G370" s="389" t="s">
        <v>1009</v>
      </c>
      <c r="H370" s="303" t="s">
        <v>939</v>
      </c>
      <c r="I370" s="5"/>
      <c r="J370" s="5"/>
      <c r="K370" s="14"/>
    </row>
    <row r="371" spans="2:11">
      <c r="B371" s="42">
        <v>254</v>
      </c>
      <c r="C371" s="21" t="s">
        <v>173</v>
      </c>
      <c r="D371" s="22" t="s">
        <v>460</v>
      </c>
      <c r="E371" s="323" t="s">
        <v>872</v>
      </c>
      <c r="F371" s="5"/>
      <c r="G371" s="320" t="s">
        <v>186</v>
      </c>
      <c r="H371" s="5"/>
      <c r="I371" s="5"/>
      <c r="J371" s="5"/>
      <c r="K371" s="14"/>
    </row>
    <row r="372" spans="2:11">
      <c r="B372" s="42">
        <v>255</v>
      </c>
      <c r="C372" s="21" t="s">
        <v>174</v>
      </c>
      <c r="D372" s="22" t="s">
        <v>467</v>
      </c>
      <c r="E372" s="323" t="s">
        <v>872</v>
      </c>
      <c r="F372" s="5"/>
      <c r="G372" s="320" t="s">
        <v>196</v>
      </c>
      <c r="H372" s="5"/>
      <c r="I372" s="5"/>
      <c r="J372" s="5"/>
      <c r="K372" s="14"/>
    </row>
    <row r="373" spans="2:11">
      <c r="B373" s="42">
        <v>275</v>
      </c>
      <c r="C373" s="21" t="s">
        <v>194</v>
      </c>
      <c r="D373" s="22" t="s">
        <v>468</v>
      </c>
      <c r="E373" s="5"/>
      <c r="F373" s="5"/>
      <c r="G373" s="5"/>
      <c r="H373" s="5"/>
      <c r="I373" s="5"/>
      <c r="J373" s="5"/>
      <c r="K373" s="14"/>
    </row>
    <row r="374" spans="2:11">
      <c r="B374" s="42">
        <v>274</v>
      </c>
      <c r="C374" s="21" t="s">
        <v>193</v>
      </c>
      <c r="D374" s="22" t="s">
        <v>461</v>
      </c>
      <c r="E374" s="323" t="s">
        <v>872</v>
      </c>
      <c r="F374" s="323"/>
      <c r="G374" s="332" t="s">
        <v>167</v>
      </c>
      <c r="H374" s="5"/>
      <c r="I374" s="5"/>
      <c r="J374" s="5"/>
      <c r="K374" s="14"/>
    </row>
    <row r="375" spans="2:11">
      <c r="B375" s="42">
        <v>272</v>
      </c>
      <c r="C375" s="21" t="s">
        <v>191</v>
      </c>
      <c r="D375" s="22" t="s">
        <v>438</v>
      </c>
      <c r="E375" s="5"/>
      <c r="F375" s="5"/>
      <c r="G375" s="5"/>
      <c r="H375" s="5"/>
      <c r="I375" s="5"/>
      <c r="J375" s="5"/>
      <c r="K375" s="14"/>
    </row>
    <row r="376" spans="2:11">
      <c r="B376" s="42">
        <v>273</v>
      </c>
      <c r="C376" s="21" t="s">
        <v>192</v>
      </c>
      <c r="D376" s="22" t="s">
        <v>451</v>
      </c>
      <c r="E376" s="323" t="s">
        <v>872</v>
      </c>
      <c r="F376" s="323"/>
      <c r="G376" s="320" t="s">
        <v>177</v>
      </c>
      <c r="H376" s="5"/>
      <c r="I376" s="5"/>
      <c r="J376" s="5"/>
      <c r="K376" s="14"/>
    </row>
    <row r="377" spans="2:11">
      <c r="B377" s="42">
        <v>291</v>
      </c>
      <c r="C377" s="21" t="s">
        <v>210</v>
      </c>
      <c r="D377" s="22" t="s">
        <v>330</v>
      </c>
      <c r="E377" s="5"/>
      <c r="F377" s="5"/>
      <c r="G377" s="5"/>
      <c r="H377" s="5"/>
      <c r="I377" s="5"/>
      <c r="J377" s="5"/>
      <c r="K377" s="14"/>
    </row>
    <row r="378" spans="2:11">
      <c r="B378" s="42">
        <v>292</v>
      </c>
      <c r="C378" s="21" t="s">
        <v>211</v>
      </c>
      <c r="D378" s="22" t="s">
        <v>330</v>
      </c>
      <c r="E378" s="5"/>
      <c r="F378" s="5"/>
      <c r="G378" s="5"/>
      <c r="H378" s="5"/>
      <c r="I378" s="5"/>
      <c r="J378" s="5"/>
      <c r="K378" s="14"/>
    </row>
    <row r="379" spans="2:11">
      <c r="B379" s="42">
        <v>295</v>
      </c>
      <c r="C379" s="21" t="s">
        <v>214</v>
      </c>
      <c r="D379" s="22" t="s">
        <v>330</v>
      </c>
      <c r="E379" s="5"/>
      <c r="F379" s="5"/>
      <c r="G379" s="5"/>
      <c r="H379" s="5"/>
      <c r="I379" s="5"/>
      <c r="J379" s="5"/>
      <c r="K379" s="14"/>
    </row>
    <row r="380" spans="2:11">
      <c r="B380" s="42">
        <v>305</v>
      </c>
      <c r="C380" s="21" t="s">
        <v>224</v>
      </c>
      <c r="D380" s="22" t="s">
        <v>330</v>
      </c>
      <c r="E380" s="5"/>
      <c r="F380" s="5"/>
      <c r="G380" s="5"/>
      <c r="H380" s="5"/>
      <c r="I380" s="5"/>
      <c r="J380" s="5"/>
      <c r="K380" s="14"/>
    </row>
    <row r="381" spans="2:11">
      <c r="B381" s="42">
        <v>315</v>
      </c>
      <c r="C381" s="21" t="s">
        <v>234</v>
      </c>
      <c r="D381" s="22" t="s">
        <v>330</v>
      </c>
      <c r="E381" s="5"/>
      <c r="F381" s="5"/>
      <c r="G381" s="5"/>
      <c r="H381" s="5"/>
      <c r="I381" s="5"/>
      <c r="J381" s="5"/>
      <c r="K381" s="14"/>
    </row>
    <row r="382" spans="2:11">
      <c r="B382" s="42">
        <v>325</v>
      </c>
      <c r="C382" s="21" t="s">
        <v>244</v>
      </c>
      <c r="D382" s="22" t="s">
        <v>330</v>
      </c>
      <c r="E382" s="5"/>
      <c r="F382" s="5"/>
      <c r="G382" s="5"/>
      <c r="H382" s="5"/>
      <c r="I382" s="5"/>
      <c r="J382" s="5"/>
      <c r="K382" s="14"/>
    </row>
    <row r="383" spans="2:11">
      <c r="B383" s="42">
        <v>261</v>
      </c>
      <c r="C383" s="21" t="s">
        <v>180</v>
      </c>
      <c r="D383" s="22" t="s">
        <v>331</v>
      </c>
      <c r="E383" s="5"/>
      <c r="F383" s="5"/>
      <c r="G383" s="5"/>
      <c r="H383" s="5"/>
      <c r="I383" s="5"/>
      <c r="J383" s="5"/>
      <c r="K383" s="14"/>
    </row>
    <row r="384" spans="2:11">
      <c r="B384" s="42">
        <v>281</v>
      </c>
      <c r="C384" s="21" t="s">
        <v>200</v>
      </c>
      <c r="D384" s="22" t="s">
        <v>333</v>
      </c>
      <c r="E384" s="5"/>
      <c r="F384" s="5"/>
      <c r="G384" s="5"/>
      <c r="H384" s="5"/>
      <c r="I384" s="5"/>
      <c r="J384" s="5"/>
      <c r="K384" s="14"/>
    </row>
    <row r="385" spans="2:11">
      <c r="B385" s="42">
        <v>271</v>
      </c>
      <c r="C385" s="21" t="s">
        <v>190</v>
      </c>
      <c r="D385" s="22" t="s">
        <v>332</v>
      </c>
      <c r="E385" s="5"/>
      <c r="F385" s="5"/>
      <c r="G385" s="5"/>
      <c r="H385" s="5"/>
      <c r="I385" s="5"/>
      <c r="J385" s="5"/>
      <c r="K385" s="14"/>
    </row>
    <row r="386" spans="2:11">
      <c r="B386" s="42">
        <v>221</v>
      </c>
      <c r="C386" s="21" t="s">
        <v>140</v>
      </c>
      <c r="D386" s="22" t="s">
        <v>334</v>
      </c>
      <c r="E386" s="5"/>
      <c r="F386" s="5"/>
      <c r="G386" s="5"/>
      <c r="H386" s="5"/>
      <c r="I386" s="5"/>
      <c r="J386" s="5"/>
      <c r="K386" s="14"/>
    </row>
    <row r="387" spans="2:11">
      <c r="B387" s="42">
        <v>231</v>
      </c>
      <c r="C387" s="21" t="s">
        <v>150</v>
      </c>
      <c r="D387" s="22" t="s">
        <v>334</v>
      </c>
      <c r="E387" s="5"/>
      <c r="F387" s="5"/>
      <c r="G387" s="5"/>
      <c r="H387" s="5"/>
      <c r="I387" s="5"/>
      <c r="J387" s="5"/>
      <c r="K387" s="14"/>
    </row>
    <row r="388" spans="2:11">
      <c r="B388" s="42">
        <v>241</v>
      </c>
      <c r="C388" s="21" t="s">
        <v>160</v>
      </c>
      <c r="D388" s="22" t="s">
        <v>334</v>
      </c>
      <c r="E388" s="5"/>
      <c r="F388" s="5"/>
      <c r="G388" s="5"/>
      <c r="H388" s="5"/>
      <c r="I388" s="5"/>
      <c r="J388" s="5"/>
      <c r="K388" s="14"/>
    </row>
    <row r="389" spans="2:11">
      <c r="B389" s="42">
        <v>251</v>
      </c>
      <c r="C389" s="21" t="s">
        <v>170</v>
      </c>
      <c r="D389" s="22" t="s">
        <v>334</v>
      </c>
      <c r="E389" s="5"/>
      <c r="F389" s="5"/>
      <c r="G389" s="5"/>
      <c r="H389" s="5"/>
      <c r="I389" s="5"/>
      <c r="J389" s="5"/>
      <c r="K389" s="14"/>
    </row>
    <row r="390" spans="2:11">
      <c r="B390" s="42">
        <v>262</v>
      </c>
      <c r="C390" s="21" t="s">
        <v>181</v>
      </c>
      <c r="D390" s="22" t="s">
        <v>334</v>
      </c>
      <c r="E390" s="5"/>
      <c r="F390" s="5"/>
      <c r="G390" s="5"/>
      <c r="H390" s="5"/>
      <c r="I390" s="5"/>
      <c r="J390" s="5"/>
      <c r="K390" s="14"/>
    </row>
    <row r="391" spans="2:11">
      <c r="B391" s="42">
        <v>263</v>
      </c>
      <c r="C391" s="21" t="s">
        <v>182</v>
      </c>
      <c r="D391" s="22" t="s">
        <v>334</v>
      </c>
      <c r="E391" s="5"/>
      <c r="F391" s="5"/>
      <c r="G391" s="5"/>
      <c r="H391" s="5"/>
      <c r="I391" s="5"/>
      <c r="J391" s="5"/>
      <c r="K391" s="14"/>
    </row>
    <row r="392" spans="2:11">
      <c r="B392" s="42">
        <v>264</v>
      </c>
      <c r="C392" s="21" t="s">
        <v>183</v>
      </c>
      <c r="D392" s="22" t="s">
        <v>334</v>
      </c>
      <c r="E392" s="5"/>
      <c r="F392" s="5"/>
      <c r="G392" s="5"/>
      <c r="H392" s="5"/>
      <c r="I392" s="5"/>
      <c r="J392" s="5"/>
      <c r="K392" s="14"/>
    </row>
    <row r="393" spans="2:11">
      <c r="B393" s="42">
        <v>265</v>
      </c>
      <c r="C393" s="21" t="s">
        <v>184</v>
      </c>
      <c r="D393" s="22" t="s">
        <v>334</v>
      </c>
      <c r="E393" s="5"/>
      <c r="F393" s="5"/>
      <c r="G393" s="5"/>
      <c r="H393" s="5"/>
      <c r="I393" s="5"/>
      <c r="J393" s="5"/>
      <c r="K393" s="14"/>
    </row>
    <row r="394" spans="2:11">
      <c r="B394" s="42">
        <v>302</v>
      </c>
      <c r="C394" s="21" t="s">
        <v>221</v>
      </c>
      <c r="D394" s="22" t="s">
        <v>439</v>
      </c>
      <c r="E394" s="5"/>
      <c r="F394" s="5"/>
      <c r="G394" s="5"/>
      <c r="H394" s="5"/>
      <c r="I394" s="5"/>
      <c r="J394" s="5"/>
      <c r="K394" s="14"/>
    </row>
    <row r="395" spans="2:11">
      <c r="B395" s="42">
        <v>301</v>
      </c>
      <c r="C395" s="21" t="s">
        <v>220</v>
      </c>
      <c r="D395" s="327" t="s">
        <v>335</v>
      </c>
      <c r="E395" s="323" t="s">
        <v>872</v>
      </c>
      <c r="F395" s="323"/>
      <c r="G395" s="320" t="s">
        <v>107</v>
      </c>
      <c r="H395" s="5"/>
      <c r="I395" s="5"/>
      <c r="J395" s="5"/>
      <c r="K395" s="14"/>
    </row>
    <row r="396" spans="2:11">
      <c r="B396" s="42">
        <v>304</v>
      </c>
      <c r="C396" s="21" t="s">
        <v>223</v>
      </c>
      <c r="D396" s="327" t="s">
        <v>463</v>
      </c>
      <c r="E396" s="323" t="s">
        <v>872</v>
      </c>
      <c r="F396" s="5"/>
      <c r="G396" s="320" t="s">
        <v>207</v>
      </c>
      <c r="H396" s="5"/>
      <c r="I396" s="5"/>
      <c r="J396" s="5"/>
      <c r="K396" s="14"/>
    </row>
    <row r="397" spans="2:11">
      <c r="B397" s="42">
        <v>294</v>
      </c>
      <c r="C397" s="21" t="s">
        <v>213</v>
      </c>
      <c r="D397" s="327" t="s">
        <v>462</v>
      </c>
      <c r="E397" s="323" t="s">
        <v>872</v>
      </c>
      <c r="F397" s="5"/>
      <c r="G397" s="320" t="s">
        <v>217</v>
      </c>
      <c r="H397" s="5"/>
      <c r="I397" s="5"/>
      <c r="J397" s="5"/>
      <c r="K397" s="14"/>
    </row>
    <row r="398" spans="2:11">
      <c r="B398" s="42">
        <v>232</v>
      </c>
      <c r="C398" s="21" t="s">
        <v>151</v>
      </c>
      <c r="D398" s="327" t="s">
        <v>450</v>
      </c>
      <c r="E398" s="323" t="s">
        <v>872</v>
      </c>
      <c r="F398" s="324"/>
      <c r="G398" s="324" t="s">
        <v>317</v>
      </c>
      <c r="H398" s="5"/>
      <c r="I398" s="5"/>
      <c r="J398" s="5"/>
      <c r="K398" s="14"/>
    </row>
    <row r="399" spans="2:11">
      <c r="B399" s="42">
        <v>233</v>
      </c>
      <c r="C399" s="21" t="s">
        <v>152</v>
      </c>
      <c r="D399" s="327" t="s">
        <v>437</v>
      </c>
      <c r="E399" s="323" t="s">
        <v>872</v>
      </c>
      <c r="F399" s="5"/>
      <c r="G399" s="320" t="s">
        <v>1036</v>
      </c>
      <c r="H399" s="5"/>
      <c r="I399" s="5"/>
      <c r="J399" s="5"/>
      <c r="K399" s="14"/>
    </row>
    <row r="400" spans="2:11">
      <c r="B400" s="213">
        <v>282</v>
      </c>
      <c r="C400" s="214" t="s">
        <v>201</v>
      </c>
      <c r="D400" s="267" t="s">
        <v>454</v>
      </c>
      <c r="E400" s="199"/>
      <c r="F400" s="216"/>
      <c r="G400" s="216"/>
      <c r="H400" s="199"/>
      <c r="I400" s="216"/>
      <c r="J400" s="216"/>
      <c r="K400" s="217"/>
    </row>
    <row r="401" spans="2:11">
      <c r="B401" s="213">
        <v>283</v>
      </c>
      <c r="C401" s="214" t="s">
        <v>202</v>
      </c>
      <c r="D401" s="267" t="s">
        <v>454</v>
      </c>
      <c r="E401" s="199"/>
      <c r="F401" s="216"/>
      <c r="G401" s="216"/>
      <c r="H401" s="199"/>
      <c r="I401" s="216"/>
      <c r="J401" s="216"/>
      <c r="K401" s="217"/>
    </row>
    <row r="402" spans="2:11">
      <c r="B402" s="213">
        <v>284</v>
      </c>
      <c r="C402" s="214" t="s">
        <v>203</v>
      </c>
      <c r="D402" s="267" t="s">
        <v>454</v>
      </c>
      <c r="E402" s="199"/>
      <c r="F402" s="216"/>
      <c r="G402" s="216"/>
      <c r="H402" s="199"/>
      <c r="I402" s="216"/>
      <c r="J402" s="216"/>
      <c r="K402" s="217"/>
    </row>
    <row r="403" spans="2:11">
      <c r="B403" s="213">
        <v>285</v>
      </c>
      <c r="C403" s="214" t="s">
        <v>204</v>
      </c>
      <c r="D403" s="267" t="s">
        <v>454</v>
      </c>
      <c r="E403" s="199"/>
      <c r="F403" s="216"/>
      <c r="G403" s="216"/>
      <c r="H403" s="199"/>
      <c r="I403" s="216"/>
      <c r="J403" s="216"/>
      <c r="K403" s="217"/>
    </row>
    <row r="404" spans="2:11">
      <c r="B404" s="197">
        <v>335</v>
      </c>
      <c r="C404" s="198" t="s">
        <v>254</v>
      </c>
      <c r="D404" s="201" t="s">
        <v>454</v>
      </c>
      <c r="E404" s="199"/>
      <c r="F404" s="199"/>
      <c r="G404" s="199"/>
      <c r="H404" s="199"/>
      <c r="I404" s="199"/>
      <c r="J404" s="199"/>
      <c r="K404" s="200"/>
    </row>
    <row r="405" spans="2:11" ht="16.5" thickBot="1">
      <c r="B405" s="288">
        <v>99</v>
      </c>
      <c r="C405" s="289" t="s">
        <v>11</v>
      </c>
      <c r="D405" s="295" t="s">
        <v>454</v>
      </c>
      <c r="E405" s="290"/>
      <c r="F405" s="290"/>
      <c r="G405" s="290"/>
      <c r="H405" s="290"/>
      <c r="I405" s="290"/>
      <c r="J405" s="290"/>
      <c r="K405" s="291"/>
    </row>
  </sheetData>
  <sortState ref="B6:K405">
    <sortCondition ref="D6:D405"/>
  </sortState>
  <mergeCells count="11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</mergeCells>
  <conditionalFormatting sqref="B404:D405 F405:K405 F404:G404 I404:K404">
    <cfRule type="expression" dxfId="898" priority="214">
      <formula>MOD(ROW(),2)=0</formula>
    </cfRule>
  </conditionalFormatting>
  <conditionalFormatting sqref="F313 F315 F374 F376 B6:D403 F155:G155 F248:G248 F398:G398 F399 F249 F156 F395:F397 F342:F372 F245:F247 F296:F311 F221:F222 F152:F154 F286:F293 F213:F218 F219:G220 F205:F210 F211:G212 F197:F202 F203:G204 F189:F194 F195:G196 F377:G394 F316:G341 F227:G244 F400:G403 F250:G285 F157:G188 F375:G375 F314:G314 F224 F223:G223 F126 F124 F125:G125 F373:G373 F312:G312 F121:F122 F123:G123 F127:G151 I6:K403 F14:G15 F6:F13 F86:G120 F16:F85">
    <cfRule type="expression" dxfId="897" priority="213">
      <formula>MOD(ROW(),2)=0</formula>
    </cfRule>
  </conditionalFormatting>
  <conditionalFormatting sqref="F225:F226">
    <cfRule type="expression" dxfId="896" priority="207">
      <formula>MOD(ROW(),2)=0</formula>
    </cfRule>
  </conditionalFormatting>
  <conditionalFormatting sqref="F294:F295">
    <cfRule type="expression" dxfId="895" priority="206">
      <formula>MOD(ROW(),2)=0</formula>
    </cfRule>
  </conditionalFormatting>
  <conditionalFormatting sqref="G221:G222">
    <cfRule type="expression" dxfId="894" priority="204">
      <formula>MOD(ROW(),2)=0</formula>
    </cfRule>
  </conditionalFormatting>
  <conditionalFormatting sqref="G310:G311">
    <cfRule type="expression" dxfId="893" priority="203">
      <formula>MOD(ROW(),2)=0</formula>
    </cfRule>
  </conditionalFormatting>
  <conditionalFormatting sqref="G371:G372">
    <cfRule type="expression" dxfId="892" priority="202">
      <formula>MOD(ROW(),2)=0</formula>
    </cfRule>
  </conditionalFormatting>
  <conditionalFormatting sqref="G224">
    <cfRule type="expression" dxfId="891" priority="198">
      <formula>MOD(ROW(),2)=0</formula>
    </cfRule>
  </conditionalFormatting>
  <conditionalFormatting sqref="G226">
    <cfRule type="expression" dxfId="890" priority="197">
      <formula>MOD(ROW(),2)=0</formula>
    </cfRule>
  </conditionalFormatting>
  <conditionalFormatting sqref="G313">
    <cfRule type="expression" dxfId="889" priority="194">
      <formula>MOD(ROW(),2)=0</formula>
    </cfRule>
  </conditionalFormatting>
  <conditionalFormatting sqref="G315">
    <cfRule type="expression" dxfId="888" priority="193">
      <formula>MOD(ROW(),2)=0</formula>
    </cfRule>
  </conditionalFormatting>
  <conditionalFormatting sqref="G156">
    <cfRule type="expression" dxfId="887" priority="188">
      <formula>MOD(ROW(),2)=0</formula>
    </cfRule>
  </conditionalFormatting>
  <conditionalFormatting sqref="G249">
    <cfRule type="expression" dxfId="886" priority="187">
      <formula>MOD(ROW(),2)=0</formula>
    </cfRule>
  </conditionalFormatting>
  <conditionalFormatting sqref="G346">
    <cfRule type="expression" dxfId="885" priority="186">
      <formula>MOD(ROW(),2)=0</formula>
    </cfRule>
  </conditionalFormatting>
  <conditionalFormatting sqref="G245">
    <cfRule type="expression" dxfId="884" priority="143">
      <formula>MOD(ROW(),2)=0</formula>
    </cfRule>
  </conditionalFormatting>
  <conditionalFormatting sqref="G342">
    <cfRule type="expression" dxfId="883" priority="142">
      <formula>MOD(ROW(),2)=0</formula>
    </cfRule>
  </conditionalFormatting>
  <conditionalFormatting sqref="E81:E85">
    <cfRule type="expression" dxfId="882" priority="116">
      <formula>MOD(ROW(),2)=0</formula>
    </cfRule>
  </conditionalFormatting>
  <conditionalFormatting sqref="E51:E55">
    <cfRule type="expression" dxfId="881" priority="114">
      <formula>MOD(ROW(),2)=0</formula>
    </cfRule>
  </conditionalFormatting>
  <conditionalFormatting sqref="E61:E65">
    <cfRule type="expression" dxfId="880" priority="112">
      <formula>MOD(ROW(),2)=0</formula>
    </cfRule>
  </conditionalFormatting>
  <conditionalFormatting sqref="E404:E405">
    <cfRule type="expression" dxfId="879" priority="129">
      <formula>MOD(ROW(),2)=0</formula>
    </cfRule>
  </conditionalFormatting>
  <conditionalFormatting sqref="E6:E45 E314 E375 E227:E293 E88 E90 E92:E115 E121:E224 E296:E312 E316:E373 E377:E403">
    <cfRule type="expression" dxfId="878" priority="128">
      <formula>MOD(ROW(),2)=0</formula>
    </cfRule>
  </conditionalFormatting>
  <conditionalFormatting sqref="E225">
    <cfRule type="expression" dxfId="877" priority="127">
      <formula>MOD(ROW(),2)=0</formula>
    </cfRule>
  </conditionalFormatting>
  <conditionalFormatting sqref="E294:E295">
    <cfRule type="expression" dxfId="876" priority="126">
      <formula>MOD(ROW(),2)=0</formula>
    </cfRule>
  </conditionalFormatting>
  <conditionalFormatting sqref="E66:E70">
    <cfRule type="expression" dxfId="875" priority="119">
      <formula>MOD(ROW(),2)=0</formula>
    </cfRule>
  </conditionalFormatting>
  <conditionalFormatting sqref="E71:E75">
    <cfRule type="expression" dxfId="874" priority="118">
      <formula>MOD(ROW(),2)=0</formula>
    </cfRule>
  </conditionalFormatting>
  <conditionalFormatting sqref="E76:E80">
    <cfRule type="expression" dxfId="873" priority="117">
      <formula>MOD(ROW(),2)=0</formula>
    </cfRule>
  </conditionalFormatting>
  <conditionalFormatting sqref="E46:E50">
    <cfRule type="expression" dxfId="872" priority="115">
      <formula>MOD(ROW(),2)=0</formula>
    </cfRule>
  </conditionalFormatting>
  <conditionalFormatting sqref="E56:E60">
    <cfRule type="expression" dxfId="871" priority="113">
      <formula>MOD(ROW(),2)=0</formula>
    </cfRule>
  </conditionalFormatting>
  <conditionalFormatting sqref="H404">
    <cfRule type="expression" dxfId="870" priority="111">
      <formula>MOD(ROW(),2)=0</formula>
    </cfRule>
  </conditionalFormatting>
  <conditionalFormatting sqref="H90:H109 H134:H403">
    <cfRule type="expression" dxfId="869" priority="110">
      <formula>MOD(ROW(),2)=0</formula>
    </cfRule>
  </conditionalFormatting>
  <conditionalFormatting sqref="H6:H45">
    <cfRule type="expression" dxfId="868" priority="109">
      <formula>MOD(ROW(),2)=0</formula>
    </cfRule>
  </conditionalFormatting>
  <conditionalFormatting sqref="H86:H89">
    <cfRule type="expression" dxfId="867" priority="108">
      <formula>MOD(ROW(),2)=0</formula>
    </cfRule>
  </conditionalFormatting>
  <conditionalFormatting sqref="H110:H133">
    <cfRule type="expression" dxfId="866" priority="107">
      <formula>MOD(ROW(),2)=0</formula>
    </cfRule>
  </conditionalFormatting>
  <conditionalFormatting sqref="H47:H65">
    <cfRule type="expression" dxfId="865" priority="106">
      <formula>MOD(ROW(),2)=0</formula>
    </cfRule>
  </conditionalFormatting>
  <conditionalFormatting sqref="H67:H85">
    <cfRule type="expression" dxfId="864" priority="105">
      <formula>MOD(ROW(),2)=0</formula>
    </cfRule>
  </conditionalFormatting>
  <conditionalFormatting sqref="H66">
    <cfRule type="expression" dxfId="863" priority="104">
      <formula>MOD(ROW(),2)=0</formula>
    </cfRule>
  </conditionalFormatting>
  <conditionalFormatting sqref="H46">
    <cfRule type="expression" dxfId="862" priority="103">
      <formula>MOD(ROW(),2)=0</formula>
    </cfRule>
  </conditionalFormatting>
  <conditionalFormatting sqref="G12:G13">
    <cfRule type="expression" dxfId="861" priority="102">
      <formula>MOD(ROW(),2)=0</formula>
    </cfRule>
  </conditionalFormatting>
  <conditionalFormatting sqref="G10:G11">
    <cfRule type="expression" dxfId="860" priority="101">
      <formula>MOD(ROW(),2)=0</formula>
    </cfRule>
  </conditionalFormatting>
  <conditionalFormatting sqref="G8:G9">
    <cfRule type="expression" dxfId="859" priority="100">
      <formula>MOD(ROW(),2)=0</formula>
    </cfRule>
  </conditionalFormatting>
  <conditionalFormatting sqref="G6:G7">
    <cfRule type="expression" dxfId="858" priority="99">
      <formula>MOD(ROW(),2)=0</formula>
    </cfRule>
  </conditionalFormatting>
  <conditionalFormatting sqref="G24:G25">
    <cfRule type="expression" dxfId="857" priority="98">
      <formula>MOD(ROW(),2)=0</formula>
    </cfRule>
  </conditionalFormatting>
  <conditionalFormatting sqref="G22:G23">
    <cfRule type="expression" dxfId="856" priority="97">
      <formula>MOD(ROW(),2)=0</formula>
    </cfRule>
  </conditionalFormatting>
  <conditionalFormatting sqref="G20:G21">
    <cfRule type="expression" dxfId="855" priority="96">
      <formula>MOD(ROW(),2)=0</formula>
    </cfRule>
  </conditionalFormatting>
  <conditionalFormatting sqref="G18:G19">
    <cfRule type="expression" dxfId="854" priority="95">
      <formula>MOD(ROW(),2)=0</formula>
    </cfRule>
  </conditionalFormatting>
  <conditionalFormatting sqref="G16:G17">
    <cfRule type="expression" dxfId="853" priority="94">
      <formula>MOD(ROW(),2)=0</formula>
    </cfRule>
  </conditionalFormatting>
  <conditionalFormatting sqref="G34:G35">
    <cfRule type="expression" dxfId="852" priority="93">
      <formula>MOD(ROW(),2)=0</formula>
    </cfRule>
  </conditionalFormatting>
  <conditionalFormatting sqref="G32:G33">
    <cfRule type="expression" dxfId="851" priority="92">
      <formula>MOD(ROW(),2)=0</formula>
    </cfRule>
  </conditionalFormatting>
  <conditionalFormatting sqref="G30:G31">
    <cfRule type="expression" dxfId="850" priority="91">
      <formula>MOD(ROW(),2)=0</formula>
    </cfRule>
  </conditionalFormatting>
  <conditionalFormatting sqref="G28:G29">
    <cfRule type="expression" dxfId="849" priority="90">
      <formula>MOD(ROW(),2)=0</formula>
    </cfRule>
  </conditionalFormatting>
  <conditionalFormatting sqref="G26:G27">
    <cfRule type="expression" dxfId="848" priority="89">
      <formula>MOD(ROW(),2)=0</formula>
    </cfRule>
  </conditionalFormatting>
  <conditionalFormatting sqref="G44:G45">
    <cfRule type="expression" dxfId="847" priority="88">
      <formula>MOD(ROW(),2)=0</formula>
    </cfRule>
  </conditionalFormatting>
  <conditionalFormatting sqref="G42:G43">
    <cfRule type="expression" dxfId="846" priority="87">
      <formula>MOD(ROW(),2)=0</formula>
    </cfRule>
  </conditionalFormatting>
  <conditionalFormatting sqref="G40:G41">
    <cfRule type="expression" dxfId="845" priority="86">
      <formula>MOD(ROW(),2)=0</formula>
    </cfRule>
  </conditionalFormatting>
  <conditionalFormatting sqref="G38:G39">
    <cfRule type="expression" dxfId="844" priority="85">
      <formula>MOD(ROW(),2)=0</formula>
    </cfRule>
  </conditionalFormatting>
  <conditionalFormatting sqref="G36:G37">
    <cfRule type="expression" dxfId="843" priority="84">
      <formula>MOD(ROW(),2)=0</formula>
    </cfRule>
  </conditionalFormatting>
  <conditionalFormatting sqref="G54:G55">
    <cfRule type="expression" dxfId="842" priority="83">
      <formula>MOD(ROW(),2)=0</formula>
    </cfRule>
  </conditionalFormatting>
  <conditionalFormatting sqref="G52:G53">
    <cfRule type="expression" dxfId="841" priority="82">
      <formula>MOD(ROW(),2)=0</formula>
    </cfRule>
  </conditionalFormatting>
  <conditionalFormatting sqref="G50:G51">
    <cfRule type="expression" dxfId="840" priority="81">
      <formula>MOD(ROW(),2)=0</formula>
    </cfRule>
  </conditionalFormatting>
  <conditionalFormatting sqref="G48:G49">
    <cfRule type="expression" dxfId="839" priority="80">
      <formula>MOD(ROW(),2)=0</formula>
    </cfRule>
  </conditionalFormatting>
  <conditionalFormatting sqref="G46:G47">
    <cfRule type="expression" dxfId="838" priority="79">
      <formula>MOD(ROW(),2)=0</formula>
    </cfRule>
  </conditionalFormatting>
  <conditionalFormatting sqref="G64:G65">
    <cfRule type="expression" dxfId="837" priority="78">
      <formula>MOD(ROW(),2)=0</formula>
    </cfRule>
  </conditionalFormatting>
  <conditionalFormatting sqref="G62:G63">
    <cfRule type="expression" dxfId="836" priority="77">
      <formula>MOD(ROW(),2)=0</formula>
    </cfRule>
  </conditionalFormatting>
  <conditionalFormatting sqref="G60:G61">
    <cfRule type="expression" dxfId="835" priority="76">
      <formula>MOD(ROW(),2)=0</formula>
    </cfRule>
  </conditionalFormatting>
  <conditionalFormatting sqref="G58:G59">
    <cfRule type="expression" dxfId="834" priority="75">
      <formula>MOD(ROW(),2)=0</formula>
    </cfRule>
  </conditionalFormatting>
  <conditionalFormatting sqref="G56:G57">
    <cfRule type="expression" dxfId="833" priority="74">
      <formula>MOD(ROW(),2)=0</formula>
    </cfRule>
  </conditionalFormatting>
  <conditionalFormatting sqref="G74:G75">
    <cfRule type="expression" dxfId="832" priority="73">
      <formula>MOD(ROW(),2)=0</formula>
    </cfRule>
  </conditionalFormatting>
  <conditionalFormatting sqref="G72:G73">
    <cfRule type="expression" dxfId="831" priority="72">
      <formula>MOD(ROW(),2)=0</formula>
    </cfRule>
  </conditionalFormatting>
  <conditionalFormatting sqref="G70:G71">
    <cfRule type="expression" dxfId="830" priority="71">
      <formula>MOD(ROW(),2)=0</formula>
    </cfRule>
  </conditionalFormatting>
  <conditionalFormatting sqref="G68:G69">
    <cfRule type="expression" dxfId="829" priority="70">
      <formula>MOD(ROW(),2)=0</formula>
    </cfRule>
  </conditionalFormatting>
  <conditionalFormatting sqref="G66:G67">
    <cfRule type="expression" dxfId="828" priority="69">
      <formula>MOD(ROW(),2)=0</formula>
    </cfRule>
  </conditionalFormatting>
  <conditionalFormatting sqref="G84:G85">
    <cfRule type="expression" dxfId="827" priority="68">
      <formula>MOD(ROW(),2)=0</formula>
    </cfRule>
  </conditionalFormatting>
  <conditionalFormatting sqref="G82:G83">
    <cfRule type="expression" dxfId="826" priority="67">
      <formula>MOD(ROW(),2)=0</formula>
    </cfRule>
  </conditionalFormatting>
  <conditionalFormatting sqref="G80:G81">
    <cfRule type="expression" dxfId="825" priority="66">
      <formula>MOD(ROW(),2)=0</formula>
    </cfRule>
  </conditionalFormatting>
  <conditionalFormatting sqref="G78:G79">
    <cfRule type="expression" dxfId="824" priority="65">
      <formula>MOD(ROW(),2)=0</formula>
    </cfRule>
  </conditionalFormatting>
  <conditionalFormatting sqref="G76:G77">
    <cfRule type="expression" dxfId="823" priority="64">
      <formula>MOD(ROW(),2)=0</formula>
    </cfRule>
  </conditionalFormatting>
  <conditionalFormatting sqref="G193:G194">
    <cfRule type="expression" dxfId="822" priority="63">
      <formula>MOD(ROW(),2)=0</formula>
    </cfRule>
  </conditionalFormatting>
  <conditionalFormatting sqref="G191:G192">
    <cfRule type="expression" dxfId="821" priority="62">
      <formula>MOD(ROW(),2)=0</formula>
    </cfRule>
  </conditionalFormatting>
  <conditionalFormatting sqref="G189:G190">
    <cfRule type="expression" dxfId="820" priority="61">
      <formula>MOD(ROW(),2)=0</formula>
    </cfRule>
  </conditionalFormatting>
  <conditionalFormatting sqref="G201:G202">
    <cfRule type="expression" dxfId="819" priority="60">
      <formula>MOD(ROW(),2)=0</formula>
    </cfRule>
  </conditionalFormatting>
  <conditionalFormatting sqref="G199:G200">
    <cfRule type="expression" dxfId="818" priority="59">
      <formula>MOD(ROW(),2)=0</formula>
    </cfRule>
  </conditionalFormatting>
  <conditionalFormatting sqref="G197:G198">
    <cfRule type="expression" dxfId="817" priority="58">
      <formula>MOD(ROW(),2)=0</formula>
    </cfRule>
  </conditionalFormatting>
  <conditionalFormatting sqref="G209:G210">
    <cfRule type="expression" dxfId="816" priority="57">
      <formula>MOD(ROW(),2)=0</formula>
    </cfRule>
  </conditionalFormatting>
  <conditionalFormatting sqref="G207:G208">
    <cfRule type="expression" dxfId="815" priority="56">
      <formula>MOD(ROW(),2)=0</formula>
    </cfRule>
  </conditionalFormatting>
  <conditionalFormatting sqref="G205:G206">
    <cfRule type="expression" dxfId="814" priority="55">
      <formula>MOD(ROW(),2)=0</formula>
    </cfRule>
  </conditionalFormatting>
  <conditionalFormatting sqref="G217:G218">
    <cfRule type="expression" dxfId="813" priority="54">
      <formula>MOD(ROW(),2)=0</formula>
    </cfRule>
  </conditionalFormatting>
  <conditionalFormatting sqref="G215:G216">
    <cfRule type="expression" dxfId="812" priority="53">
      <formula>MOD(ROW(),2)=0</formula>
    </cfRule>
  </conditionalFormatting>
  <conditionalFormatting sqref="G213:G214">
    <cfRule type="expression" dxfId="811" priority="52">
      <formula>MOD(ROW(),2)=0</formula>
    </cfRule>
  </conditionalFormatting>
  <conditionalFormatting sqref="G290:G291">
    <cfRule type="expression" dxfId="810" priority="51">
      <formula>MOD(ROW(),2)=0</formula>
    </cfRule>
  </conditionalFormatting>
  <conditionalFormatting sqref="G288:G289">
    <cfRule type="expression" dxfId="809" priority="50">
      <formula>MOD(ROW(),2)=0</formula>
    </cfRule>
  </conditionalFormatting>
  <conditionalFormatting sqref="G286:G287">
    <cfRule type="expression" dxfId="808" priority="49">
      <formula>MOD(ROW(),2)=0</formula>
    </cfRule>
  </conditionalFormatting>
  <conditionalFormatting sqref="G296:G297">
    <cfRule type="expression" dxfId="807" priority="48">
      <formula>MOD(ROW(),2)=0</formula>
    </cfRule>
  </conditionalFormatting>
  <conditionalFormatting sqref="G294:G295">
    <cfRule type="expression" dxfId="806" priority="47">
      <formula>MOD(ROW(),2)=0</formula>
    </cfRule>
  </conditionalFormatting>
  <conditionalFormatting sqref="G292:G293">
    <cfRule type="expression" dxfId="805" priority="46">
      <formula>MOD(ROW(),2)=0</formula>
    </cfRule>
  </conditionalFormatting>
  <conditionalFormatting sqref="G302:G303">
    <cfRule type="expression" dxfId="804" priority="45">
      <formula>MOD(ROW(),2)=0</formula>
    </cfRule>
  </conditionalFormatting>
  <conditionalFormatting sqref="G300:G301">
    <cfRule type="expression" dxfId="803" priority="44">
      <formula>MOD(ROW(),2)=0</formula>
    </cfRule>
  </conditionalFormatting>
  <conditionalFormatting sqref="G298:G299">
    <cfRule type="expression" dxfId="802" priority="43">
      <formula>MOD(ROW(),2)=0</formula>
    </cfRule>
  </conditionalFormatting>
  <conditionalFormatting sqref="G308:G309">
    <cfRule type="expression" dxfId="801" priority="42">
      <formula>MOD(ROW(),2)=0</formula>
    </cfRule>
  </conditionalFormatting>
  <conditionalFormatting sqref="G306:G307">
    <cfRule type="expression" dxfId="800" priority="41">
      <formula>MOD(ROW(),2)=0</formula>
    </cfRule>
  </conditionalFormatting>
  <conditionalFormatting sqref="G304:G305">
    <cfRule type="expression" dxfId="799" priority="40">
      <formula>MOD(ROW(),2)=0</formula>
    </cfRule>
  </conditionalFormatting>
  <conditionalFormatting sqref="G351:G352">
    <cfRule type="expression" dxfId="798" priority="39">
      <formula>MOD(ROW(),2)=0</formula>
    </cfRule>
  </conditionalFormatting>
  <conditionalFormatting sqref="G349:G350">
    <cfRule type="expression" dxfId="797" priority="38">
      <formula>MOD(ROW(),2)=0</formula>
    </cfRule>
  </conditionalFormatting>
  <conditionalFormatting sqref="G347:G348">
    <cfRule type="expression" dxfId="796" priority="37">
      <formula>MOD(ROW(),2)=0</formula>
    </cfRule>
  </conditionalFormatting>
  <conditionalFormatting sqref="G357:G358">
    <cfRule type="expression" dxfId="795" priority="36">
      <formula>MOD(ROW(),2)=0</formula>
    </cfRule>
  </conditionalFormatting>
  <conditionalFormatting sqref="G355:G356">
    <cfRule type="expression" dxfId="794" priority="35">
      <formula>MOD(ROW(),2)=0</formula>
    </cfRule>
  </conditionalFormatting>
  <conditionalFormatting sqref="G353:G354">
    <cfRule type="expression" dxfId="793" priority="34">
      <formula>MOD(ROW(),2)=0</formula>
    </cfRule>
  </conditionalFormatting>
  <conditionalFormatting sqref="G363:G364">
    <cfRule type="expression" dxfId="792" priority="33">
      <formula>MOD(ROW(),2)=0</formula>
    </cfRule>
  </conditionalFormatting>
  <conditionalFormatting sqref="G361:G362">
    <cfRule type="expression" dxfId="791" priority="32">
      <formula>MOD(ROW(),2)=0</formula>
    </cfRule>
  </conditionalFormatting>
  <conditionalFormatting sqref="G359:G360">
    <cfRule type="expression" dxfId="790" priority="31">
      <formula>MOD(ROW(),2)=0</formula>
    </cfRule>
  </conditionalFormatting>
  <conditionalFormatting sqref="G369:G370">
    <cfRule type="expression" dxfId="789" priority="30">
      <formula>MOD(ROW(),2)=0</formula>
    </cfRule>
  </conditionalFormatting>
  <conditionalFormatting sqref="G367:G368">
    <cfRule type="expression" dxfId="788" priority="29">
      <formula>MOD(ROW(),2)=0</formula>
    </cfRule>
  </conditionalFormatting>
  <conditionalFormatting sqref="G365:G366">
    <cfRule type="expression" dxfId="787" priority="28">
      <formula>MOD(ROW(),2)=0</formula>
    </cfRule>
  </conditionalFormatting>
  <conditionalFormatting sqref="G344">
    <cfRule type="expression" dxfId="786" priority="27">
      <formula>MOD(ROW(),2)=0</formula>
    </cfRule>
  </conditionalFormatting>
  <conditionalFormatting sqref="G153:G154">
    <cfRule type="expression" dxfId="785" priority="26">
      <formula>MOD(ROW(),2)=0</formula>
    </cfRule>
  </conditionalFormatting>
  <conditionalFormatting sqref="G152">
    <cfRule type="expression" dxfId="784" priority="25">
      <formula>MOD(ROW(),2)=0</formula>
    </cfRule>
  </conditionalFormatting>
  <conditionalFormatting sqref="G124">
    <cfRule type="expression" dxfId="783" priority="24">
      <formula>MOD(ROW(),2)=0</formula>
    </cfRule>
  </conditionalFormatting>
  <conditionalFormatting sqref="G126">
    <cfRule type="expression" dxfId="782" priority="23">
      <formula>MOD(ROW(),2)=0</formula>
    </cfRule>
  </conditionalFormatting>
  <conditionalFormatting sqref="G121:G122">
    <cfRule type="expression" dxfId="781" priority="22">
      <formula>MOD(ROW(),2)=0</formula>
    </cfRule>
  </conditionalFormatting>
  <conditionalFormatting sqref="E86">
    <cfRule type="expression" dxfId="780" priority="21">
      <formula>MOD(ROW(),2)=0</formula>
    </cfRule>
  </conditionalFormatting>
  <conditionalFormatting sqref="E87">
    <cfRule type="expression" dxfId="779" priority="20">
      <formula>MOD(ROW(),2)=0</formula>
    </cfRule>
  </conditionalFormatting>
  <conditionalFormatting sqref="E89">
    <cfRule type="expression" dxfId="778" priority="19">
      <formula>MOD(ROW(),2)=0</formula>
    </cfRule>
  </conditionalFormatting>
  <conditionalFormatting sqref="E91">
    <cfRule type="expression" dxfId="777" priority="18">
      <formula>MOD(ROW(),2)=0</formula>
    </cfRule>
  </conditionalFormatting>
  <conditionalFormatting sqref="E116">
    <cfRule type="expression" dxfId="776" priority="17">
      <formula>MOD(ROW(),2)=0</formula>
    </cfRule>
  </conditionalFormatting>
  <conditionalFormatting sqref="E117">
    <cfRule type="expression" dxfId="775" priority="16">
      <formula>MOD(ROW(),2)=0</formula>
    </cfRule>
  </conditionalFormatting>
  <conditionalFormatting sqref="E118">
    <cfRule type="expression" dxfId="774" priority="15">
      <formula>MOD(ROW(),2)=0</formula>
    </cfRule>
  </conditionalFormatting>
  <conditionalFormatting sqref="E119">
    <cfRule type="expression" dxfId="773" priority="14">
      <formula>MOD(ROW(),2)=0</formula>
    </cfRule>
  </conditionalFormatting>
  <conditionalFormatting sqref="E120">
    <cfRule type="expression" dxfId="772" priority="13">
      <formula>MOD(ROW(),2)=0</formula>
    </cfRule>
  </conditionalFormatting>
  <conditionalFormatting sqref="E226">
    <cfRule type="expression" dxfId="771" priority="12">
      <formula>MOD(ROW(),2)=0</formula>
    </cfRule>
  </conditionalFormatting>
  <conditionalFormatting sqref="G247">
    <cfRule type="expression" dxfId="770" priority="11">
      <formula>MOD(ROW(),2)=0</formula>
    </cfRule>
  </conditionalFormatting>
  <conditionalFormatting sqref="G246">
    <cfRule type="expression" dxfId="769" priority="10">
      <formula>MOD(ROW(),2)=0</formula>
    </cfRule>
  </conditionalFormatting>
  <conditionalFormatting sqref="E313">
    <cfRule type="expression" dxfId="768" priority="9">
      <formula>MOD(ROW(),2)=0</formula>
    </cfRule>
  </conditionalFormatting>
  <conditionalFormatting sqref="E315">
    <cfRule type="expression" dxfId="767" priority="8">
      <formula>MOD(ROW(),2)=0</formula>
    </cfRule>
  </conditionalFormatting>
  <conditionalFormatting sqref="E374">
    <cfRule type="expression" dxfId="766" priority="7">
      <formula>MOD(ROW(),2)=0</formula>
    </cfRule>
  </conditionalFormatting>
  <conditionalFormatting sqref="E376">
    <cfRule type="expression" dxfId="765" priority="6">
      <formula>MOD(ROW(),2)=0</formula>
    </cfRule>
  </conditionalFormatting>
  <conditionalFormatting sqref="G396:G397">
    <cfRule type="expression" dxfId="764" priority="5">
      <formula>MOD(ROW(),2)=0</formula>
    </cfRule>
  </conditionalFormatting>
  <conditionalFormatting sqref="G399">
    <cfRule type="expression" dxfId="763" priority="4">
      <formula>MOD(ROW(),2)=0</formula>
    </cfRule>
  </conditionalFormatting>
  <conditionalFormatting sqref="G395">
    <cfRule type="expression" dxfId="762" priority="3">
      <formula>MOD(ROW(),2)=0</formula>
    </cfRule>
  </conditionalFormatting>
  <conditionalFormatting sqref="G374">
    <cfRule type="expression" dxfId="761" priority="2">
      <formula>MOD(ROW(),2)=0</formula>
    </cfRule>
  </conditionalFormatting>
  <conditionalFormatting sqref="G376">
    <cfRule type="expression" dxfId="760" priority="1">
      <formula>MOD(ROW(),2)=0</formula>
    </cfRule>
  </conditionalFormatting>
  <hyperlinks>
    <hyperlink ref="AL17" location="'0'!A1" tooltip="X stave 0, Front" display="'0'!A1"/>
    <hyperlink ref="AJ17" location="'1'!A1" tooltip="X stave 1, Back" display="'1'!A1"/>
    <hyperlink ref="AH17" location="'2'!A1" tooltip="Stereo stave 0, Back" display="'2'!A1"/>
    <hyperlink ref="AF17" location="'3'!A1" tooltip="Stereo stave 0, Front" display="'3'!A1"/>
    <hyperlink ref="AD17" location="'4'!A1" tooltip="X stave 1, Front" display="'4'!A1"/>
    <hyperlink ref="AB17" location="'5'!A1" tooltip="X stave 1, Back" display="'5'!A1"/>
    <hyperlink ref="Z17" location="'6'!A1" tooltip="Stereo stave 1, Back" display="'6'!A1"/>
    <hyperlink ref="X17" location="'7'!A1" tooltip="Stereo stave 1, Front" display="'7'!A1"/>
    <hyperlink ref="V17" location="'8'!A1" tooltip="X stave 2, Front" display="'8'!A1"/>
    <hyperlink ref="T17" location="'9'!A1" tooltip="X stave 2, Back" display="'9'!A1"/>
    <hyperlink ref="R17" location="'10'!A1" tooltip="Stereo stave 2, Back" display="'10'!A1"/>
    <hyperlink ref="P17" location="'11'!A1" tooltip="Stereo stave 2, Front" display="'11'!A1"/>
    <hyperlink ref="AL18" location="'0'!A1" tooltip="X stave 0, Front" display="'0'!A1"/>
    <hyperlink ref="AJ18" location="'1'!A1" tooltip="X stave 1, Back" display="'1'!A1"/>
    <hyperlink ref="AH18" location="'2'!A1" tooltip="Stereo stave 0, Back" display="'2'!A1"/>
    <hyperlink ref="AF18" location="'3'!A1" tooltip="Stereo stave 0, Front" display="'3'!A1"/>
    <hyperlink ref="AD18" location="'4'!A1" tooltip="X stave 1, Front" display="'4'!A1"/>
    <hyperlink ref="AB18" location="'5'!A1" tooltip="X stave 1, Back" display="'5'!A1"/>
    <hyperlink ref="Z18" location="'6'!A1" tooltip="Stereo stave 1, Back" display="'6'!A1"/>
    <hyperlink ref="X18" location="'7'!A1" tooltip="Stereo stave 1, Front" display="'7'!A1"/>
    <hyperlink ref="V18" location="'8'!A1" tooltip="X stave 2, Front" display="'8'!A1"/>
    <hyperlink ref="T18" location="'9'!A1" tooltip="X stave 2, Back" display="'9'!A1"/>
    <hyperlink ref="R18" location="'10'!A1" tooltip="Stereo stave 2, Back" display="'10'!A1"/>
    <hyperlink ref="P18" location="'11'!A1" tooltip="Stereo stave 2, Front" display="'11'!A1"/>
  </hyperlinks>
  <pageMargins left="0.75" right="0.75" top="1" bottom="1" header="0.5" footer="0.5"/>
  <pageSetup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AV405"/>
  <sheetViews>
    <sheetView zoomScale="85" zoomScaleNormal="85" workbookViewId="0">
      <selection activeCell="AD18" sqref="AD18"/>
    </sheetView>
  </sheetViews>
  <sheetFormatPr defaultColWidth="11" defaultRowHeight="15.75"/>
  <cols>
    <col min="1" max="1" width="2.875" style="3" customWidth="1"/>
    <col min="2" max="2" width="6.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75" style="1" customWidth="1"/>
    <col min="7" max="7" width="7.875" style="1" bestFit="1" customWidth="1"/>
    <col min="8" max="10" width="7.875" style="1" customWidth="1"/>
    <col min="11" max="11" width="7.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5" thickBot="1"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/>
    </row>
    <row r="2" spans="2:44" s="4" customFormat="1" ht="16.5">
      <c r="D2" s="43" t="s">
        <v>855</v>
      </c>
      <c r="E2" s="551" t="s">
        <v>957</v>
      </c>
      <c r="F2" s="551"/>
      <c r="G2" s="552" t="s">
        <v>832</v>
      </c>
      <c r="H2" s="552"/>
      <c r="I2" s="552"/>
      <c r="J2" s="40"/>
      <c r="L2" s="177"/>
      <c r="M2" s="178"/>
      <c r="N2" s="180"/>
      <c r="O2" s="179"/>
      <c r="P2" s="180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80"/>
      <c r="AM2" s="180"/>
      <c r="AN2" s="180"/>
      <c r="AO2" s="181"/>
      <c r="AP2" s="177"/>
      <c r="AQ2" s="182"/>
      <c r="AR2"/>
    </row>
    <row r="3" spans="2:44" s="1" customFormat="1">
      <c r="D3"/>
      <c r="E3" s="40"/>
      <c r="F3" s="40"/>
      <c r="G3" s="40"/>
      <c r="H3" s="40"/>
      <c r="I3" s="40"/>
      <c r="J3" s="40"/>
      <c r="L3" s="177"/>
      <c r="M3" s="183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5"/>
      <c r="AP3" s="177"/>
      <c r="AQ3" s="186"/>
      <c r="AR3"/>
    </row>
    <row r="4" spans="2:44" s="6" customFormat="1" ht="16.5" thickBot="1">
      <c r="B4" s="553" t="s">
        <v>722</v>
      </c>
      <c r="C4" s="554"/>
      <c r="D4" s="554"/>
      <c r="E4" s="554"/>
      <c r="F4" s="554"/>
      <c r="G4" s="554"/>
      <c r="H4" s="554"/>
      <c r="I4" s="554"/>
      <c r="J4" s="554"/>
      <c r="K4" s="555"/>
      <c r="L4" s="177"/>
      <c r="M4" s="187"/>
      <c r="N4" s="184"/>
      <c r="O4" s="184"/>
      <c r="P4" s="184"/>
      <c r="Q4" s="184"/>
      <c r="R4" s="16" t="s">
        <v>13</v>
      </c>
      <c r="S4" s="16"/>
      <c r="T4" s="16" t="s">
        <v>14</v>
      </c>
      <c r="U4" s="16"/>
      <c r="V4" s="16" t="s">
        <v>13</v>
      </c>
      <c r="W4" s="16"/>
      <c r="X4" s="16" t="s">
        <v>14</v>
      </c>
      <c r="Y4" s="16"/>
      <c r="Z4" s="16" t="s">
        <v>13</v>
      </c>
      <c r="AA4" s="16"/>
      <c r="AB4" s="16" t="s">
        <v>14</v>
      </c>
      <c r="AC4" s="16"/>
      <c r="AD4" s="16" t="s">
        <v>13</v>
      </c>
      <c r="AE4" s="16"/>
      <c r="AF4" s="16" t="s">
        <v>14</v>
      </c>
      <c r="AG4" s="16"/>
      <c r="AH4" s="16" t="s">
        <v>13</v>
      </c>
      <c r="AI4" s="16"/>
      <c r="AJ4" s="16" t="s">
        <v>14</v>
      </c>
      <c r="AK4" s="16"/>
      <c r="AL4" s="16" t="s">
        <v>13</v>
      </c>
      <c r="AM4" s="16"/>
      <c r="AN4" s="16" t="s">
        <v>14</v>
      </c>
      <c r="AO4" s="185"/>
      <c r="AP4" s="177"/>
      <c r="AQ4" s="182" t="s">
        <v>710</v>
      </c>
      <c r="AR4"/>
    </row>
    <row r="5" spans="2:44" s="12" customFormat="1" ht="32.25" thickBot="1">
      <c r="B5" s="41" t="s">
        <v>19</v>
      </c>
      <c r="C5" s="7" t="s">
        <v>442</v>
      </c>
      <c r="D5" s="8" t="s">
        <v>2</v>
      </c>
      <c r="E5" s="8" t="s">
        <v>1</v>
      </c>
      <c r="F5" s="9"/>
      <c r="G5" s="9" t="s">
        <v>953</v>
      </c>
      <c r="H5" s="10" t="s">
        <v>3</v>
      </c>
      <c r="I5" s="10"/>
      <c r="J5" s="10"/>
      <c r="K5" s="11"/>
      <c r="L5" s="177"/>
      <c r="M5" s="187"/>
      <c r="N5" s="184"/>
      <c r="O5" s="184"/>
      <c r="P5" s="184"/>
      <c r="Q5" s="188"/>
      <c r="R5" s="175">
        <v>5</v>
      </c>
      <c r="S5" s="175"/>
      <c r="T5" s="175">
        <v>5</v>
      </c>
      <c r="U5" s="175"/>
      <c r="V5" s="175">
        <v>4</v>
      </c>
      <c r="W5" s="175"/>
      <c r="X5" s="175">
        <v>4</v>
      </c>
      <c r="Y5" s="175"/>
      <c r="Z5" s="175">
        <v>3</v>
      </c>
      <c r="AA5" s="175"/>
      <c r="AB5" s="175">
        <v>3</v>
      </c>
      <c r="AC5" s="175"/>
      <c r="AD5" s="175">
        <v>2</v>
      </c>
      <c r="AE5" s="175"/>
      <c r="AF5" s="175">
        <v>2</v>
      </c>
      <c r="AG5" s="175"/>
      <c r="AH5" s="175">
        <v>1</v>
      </c>
      <c r="AI5" s="175"/>
      <c r="AJ5" s="175">
        <v>1</v>
      </c>
      <c r="AK5" s="175"/>
      <c r="AL5" s="175">
        <v>0</v>
      </c>
      <c r="AM5" s="175"/>
      <c r="AN5" s="175">
        <v>0</v>
      </c>
      <c r="AO5" s="185"/>
      <c r="AP5" s="177"/>
      <c r="AQ5" s="254" t="s">
        <v>711</v>
      </c>
      <c r="AR5"/>
    </row>
    <row r="6" spans="2:44" ht="16.5" thickBot="1">
      <c r="B6" s="42">
        <v>199</v>
      </c>
      <c r="C6" s="293" t="s">
        <v>118</v>
      </c>
      <c r="D6" s="294" t="s">
        <v>677</v>
      </c>
      <c r="E6" s="296" t="s">
        <v>871</v>
      </c>
      <c r="F6" s="296"/>
      <c r="G6" s="389" t="s">
        <v>201</v>
      </c>
      <c r="H6" s="384" t="s">
        <v>935</v>
      </c>
      <c r="I6" s="296"/>
      <c r="J6" s="296"/>
      <c r="K6" s="297"/>
      <c r="L6" s="177"/>
      <c r="M6" s="187"/>
      <c r="N6" s="184"/>
      <c r="O6" s="184"/>
      <c r="P6" s="184"/>
      <c r="Q6" s="184"/>
      <c r="R6" s="189"/>
      <c r="S6" s="184"/>
      <c r="T6" s="189"/>
      <c r="U6" s="184"/>
      <c r="V6" s="189"/>
      <c r="W6" s="184"/>
      <c r="X6" s="265"/>
      <c r="Y6" s="184"/>
      <c r="Z6" s="189"/>
      <c r="AA6" s="184"/>
      <c r="AB6" s="265"/>
      <c r="AC6" s="184"/>
      <c r="AD6" s="189"/>
      <c r="AE6" s="184"/>
      <c r="AF6" s="265"/>
      <c r="AG6" s="184"/>
      <c r="AH6" s="189"/>
      <c r="AI6" s="184"/>
      <c r="AJ6" s="189"/>
      <c r="AK6" s="184"/>
      <c r="AL6" s="189"/>
      <c r="AM6" s="184"/>
      <c r="AN6" s="189"/>
      <c r="AO6" s="185"/>
      <c r="AP6" s="177"/>
      <c r="AQ6" s="186"/>
      <c r="AR6"/>
    </row>
    <row r="7" spans="2:44" ht="16.5" thickBot="1">
      <c r="B7" s="42">
        <v>200</v>
      </c>
      <c r="C7" s="21" t="s">
        <v>119</v>
      </c>
      <c r="D7" s="22" t="s">
        <v>699</v>
      </c>
      <c r="E7" s="5" t="s">
        <v>871</v>
      </c>
      <c r="F7" s="5"/>
      <c r="G7" s="389" t="s">
        <v>211</v>
      </c>
      <c r="H7" s="317" t="s">
        <v>935</v>
      </c>
      <c r="I7" s="5"/>
      <c r="J7" s="5"/>
      <c r="K7" s="14"/>
      <c r="L7" s="177"/>
      <c r="M7" s="187"/>
      <c r="N7" s="184"/>
      <c r="O7" s="184"/>
      <c r="P7" s="184"/>
      <c r="Q7" s="184"/>
      <c r="R7" s="191"/>
      <c r="S7" s="184"/>
      <c r="T7" s="191"/>
      <c r="U7" s="184"/>
      <c r="V7" s="191"/>
      <c r="W7" s="184"/>
      <c r="X7" s="266"/>
      <c r="Y7" s="184"/>
      <c r="Z7" s="191"/>
      <c r="AA7" s="184"/>
      <c r="AB7" s="266"/>
      <c r="AC7" s="184"/>
      <c r="AD7" s="191"/>
      <c r="AE7" s="184"/>
      <c r="AF7" s="266"/>
      <c r="AG7" s="184"/>
      <c r="AH7" s="191"/>
      <c r="AI7" s="184"/>
      <c r="AJ7" s="191"/>
      <c r="AK7" s="184"/>
      <c r="AL7" s="191"/>
      <c r="AM7" s="184"/>
      <c r="AN7" s="191"/>
      <c r="AO7" s="185"/>
      <c r="AP7" s="177"/>
      <c r="AQ7" s="186"/>
      <c r="AR7"/>
    </row>
    <row r="8" spans="2:44" ht="16.5" thickBot="1">
      <c r="B8" s="42">
        <v>207</v>
      </c>
      <c r="C8" s="21" t="s">
        <v>126</v>
      </c>
      <c r="D8" s="22" t="s">
        <v>632</v>
      </c>
      <c r="E8" s="5" t="s">
        <v>871</v>
      </c>
      <c r="F8" s="5"/>
      <c r="G8" s="389" t="s">
        <v>220</v>
      </c>
      <c r="H8" s="317" t="s">
        <v>935</v>
      </c>
      <c r="I8" s="5"/>
      <c r="J8" s="5"/>
      <c r="K8" s="14"/>
      <c r="L8" s="177"/>
      <c r="M8" s="187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5"/>
      <c r="AP8" s="177"/>
      <c r="AQ8" s="186"/>
      <c r="AR8"/>
    </row>
    <row r="9" spans="2:44" ht="16.5" thickBot="1">
      <c r="B9" s="42">
        <v>208</v>
      </c>
      <c r="C9" s="21" t="s">
        <v>127</v>
      </c>
      <c r="D9" s="22" t="s">
        <v>655</v>
      </c>
      <c r="E9" s="5" t="s">
        <v>871</v>
      </c>
      <c r="F9" s="5"/>
      <c r="G9" s="389" t="s">
        <v>230</v>
      </c>
      <c r="H9" s="317" t="s">
        <v>935</v>
      </c>
      <c r="I9" s="5"/>
      <c r="J9" s="5"/>
      <c r="K9" s="14"/>
      <c r="L9" s="177"/>
      <c r="M9" s="187"/>
      <c r="N9" s="184"/>
      <c r="O9" s="184"/>
      <c r="P9" s="184"/>
      <c r="Q9" s="184"/>
      <c r="R9" s="189"/>
      <c r="S9" s="184"/>
      <c r="T9" s="189"/>
      <c r="U9" s="184"/>
      <c r="V9" s="189"/>
      <c r="W9" s="184"/>
      <c r="X9" s="265"/>
      <c r="Y9" s="184"/>
      <c r="Z9" s="189"/>
      <c r="AA9" s="184"/>
      <c r="AB9" s="265"/>
      <c r="AC9" s="184"/>
      <c r="AD9" s="189"/>
      <c r="AE9" s="184"/>
      <c r="AF9" s="265"/>
      <c r="AG9" s="184"/>
      <c r="AH9" s="189"/>
      <c r="AI9" s="184"/>
      <c r="AJ9" s="189"/>
      <c r="AK9" s="184"/>
      <c r="AL9" s="189"/>
      <c r="AM9" s="184"/>
      <c r="AN9" s="189"/>
      <c r="AO9" s="185"/>
      <c r="AP9" s="177"/>
      <c r="AQ9" s="186"/>
      <c r="AR9"/>
    </row>
    <row r="10" spans="2:44" ht="16.5" thickBot="1">
      <c r="B10" s="42">
        <v>228</v>
      </c>
      <c r="C10" s="21" t="s">
        <v>147</v>
      </c>
      <c r="D10" s="22" t="s">
        <v>657</v>
      </c>
      <c r="E10" s="5" t="s">
        <v>871</v>
      </c>
      <c r="F10" s="5"/>
      <c r="G10" s="389" t="s">
        <v>180</v>
      </c>
      <c r="H10" s="317" t="s">
        <v>935</v>
      </c>
      <c r="I10" s="5"/>
      <c r="J10" s="5"/>
      <c r="K10" s="14"/>
      <c r="L10" s="177"/>
      <c r="M10" s="187"/>
      <c r="N10" s="184"/>
      <c r="O10" s="184"/>
      <c r="P10" s="184"/>
      <c r="Q10" s="184"/>
      <c r="R10" s="191"/>
      <c r="S10" s="184"/>
      <c r="T10" s="191"/>
      <c r="U10" s="184"/>
      <c r="V10" s="191"/>
      <c r="W10" s="184"/>
      <c r="X10" s="266"/>
      <c r="Y10" s="184"/>
      <c r="Z10" s="191"/>
      <c r="AA10" s="184"/>
      <c r="AB10" s="266"/>
      <c r="AC10" s="184"/>
      <c r="AD10" s="191"/>
      <c r="AE10" s="184"/>
      <c r="AF10" s="266"/>
      <c r="AG10" s="184"/>
      <c r="AH10" s="191"/>
      <c r="AI10" s="184"/>
      <c r="AJ10" s="191"/>
      <c r="AK10" s="184"/>
      <c r="AL10" s="191"/>
      <c r="AM10" s="184"/>
      <c r="AN10" s="191"/>
      <c r="AO10" s="192"/>
      <c r="AP10" s="177"/>
      <c r="AQ10" s="186"/>
      <c r="AR10"/>
    </row>
    <row r="11" spans="2:44" ht="16.5" thickBot="1">
      <c r="B11" s="42">
        <v>227</v>
      </c>
      <c r="C11" s="21" t="s">
        <v>146</v>
      </c>
      <c r="D11" s="22" t="s">
        <v>634</v>
      </c>
      <c r="E11" s="5" t="s">
        <v>871</v>
      </c>
      <c r="F11" s="5"/>
      <c r="G11" s="389" t="s">
        <v>190</v>
      </c>
      <c r="H11" s="317" t="s">
        <v>935</v>
      </c>
      <c r="I11" s="5"/>
      <c r="J11" s="5"/>
      <c r="K11" s="14"/>
      <c r="L11" s="177"/>
      <c r="M11" s="187"/>
      <c r="N11" s="184"/>
      <c r="O11" s="184"/>
      <c r="P11" s="184"/>
      <c r="Q11" s="184"/>
      <c r="R11" s="556">
        <v>11</v>
      </c>
      <c r="S11" s="556"/>
      <c r="T11" s="556">
        <v>10</v>
      </c>
      <c r="U11" s="556"/>
      <c r="V11" s="184">
        <v>9</v>
      </c>
      <c r="W11" s="184"/>
      <c r="X11" s="184">
        <v>8</v>
      </c>
      <c r="Y11" s="184"/>
      <c r="Z11" s="184">
        <v>7</v>
      </c>
      <c r="AA11" s="184"/>
      <c r="AB11" s="184">
        <v>6</v>
      </c>
      <c r="AC11" s="184"/>
      <c r="AD11" s="184">
        <v>5</v>
      </c>
      <c r="AE11" s="184"/>
      <c r="AF11" s="184">
        <v>4</v>
      </c>
      <c r="AG11" s="184"/>
      <c r="AH11" s="249">
        <v>3</v>
      </c>
      <c r="AI11" s="249"/>
      <c r="AJ11" s="249">
        <v>2</v>
      </c>
      <c r="AK11" s="250"/>
      <c r="AL11" s="251">
        <v>1</v>
      </c>
      <c r="AM11" s="249"/>
      <c r="AN11" s="249">
        <v>0</v>
      </c>
      <c r="AO11" s="192"/>
      <c r="AP11" s="177"/>
      <c r="AQ11" s="186"/>
      <c r="AR11"/>
    </row>
    <row r="12" spans="2:44" ht="16.5" thickBot="1">
      <c r="B12" s="213">
        <v>189</v>
      </c>
      <c r="C12" s="214" t="s">
        <v>108</v>
      </c>
      <c r="D12" s="215" t="s">
        <v>676</v>
      </c>
      <c r="E12" s="199"/>
      <c r="F12" s="216"/>
      <c r="G12" s="359"/>
      <c r="H12" s="317"/>
      <c r="I12" s="216"/>
      <c r="J12" s="216"/>
      <c r="K12" s="217"/>
      <c r="L12" s="177"/>
      <c r="M12" s="187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92"/>
      <c r="AP12" s="193"/>
      <c r="AQ12" s="186"/>
      <c r="AR12"/>
    </row>
    <row r="13" spans="2:44" ht="16.5" thickBot="1">
      <c r="B13" s="213">
        <v>190</v>
      </c>
      <c r="C13" s="214" t="s">
        <v>109</v>
      </c>
      <c r="D13" s="215" t="s">
        <v>698</v>
      </c>
      <c r="E13" s="199"/>
      <c r="F13" s="216"/>
      <c r="G13" s="359"/>
      <c r="H13" s="317"/>
      <c r="I13" s="216"/>
      <c r="J13" s="216"/>
      <c r="K13" s="217"/>
      <c r="L13" s="177"/>
      <c r="M13" s="187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92"/>
      <c r="AP13" s="193"/>
      <c r="AQ13" s="186"/>
      <c r="AR13"/>
    </row>
    <row r="14" spans="2:44" ht="16.5" thickBot="1">
      <c r="B14" s="213">
        <v>179</v>
      </c>
      <c r="C14" s="214" t="s">
        <v>98</v>
      </c>
      <c r="D14" s="215" t="s">
        <v>675</v>
      </c>
      <c r="E14" s="199"/>
      <c r="F14" s="216"/>
      <c r="G14" s="359"/>
      <c r="H14" s="317"/>
      <c r="I14" s="216"/>
      <c r="J14" s="216"/>
      <c r="K14" s="217"/>
      <c r="L14" s="177"/>
      <c r="M14" s="187"/>
      <c r="N14" s="184"/>
      <c r="O14" s="184"/>
      <c r="P14" s="16" t="s">
        <v>13</v>
      </c>
      <c r="Q14" s="16"/>
      <c r="R14" s="16" t="s">
        <v>13</v>
      </c>
      <c r="S14" s="16"/>
      <c r="T14" s="16" t="s">
        <v>14</v>
      </c>
      <c r="U14" s="16"/>
      <c r="V14" s="16" t="s">
        <v>14</v>
      </c>
      <c r="W14" s="16"/>
      <c r="X14" s="16" t="s">
        <v>13</v>
      </c>
      <c r="Y14" s="16"/>
      <c r="Z14" s="16" t="s">
        <v>13</v>
      </c>
      <c r="AA14" s="16"/>
      <c r="AB14" s="16" t="s">
        <v>14</v>
      </c>
      <c r="AC14" s="16"/>
      <c r="AD14" s="16" t="s">
        <v>14</v>
      </c>
      <c r="AE14" s="16"/>
      <c r="AF14" s="16" t="s">
        <v>13</v>
      </c>
      <c r="AG14" s="16"/>
      <c r="AH14" s="16" t="s">
        <v>13</v>
      </c>
      <c r="AI14" s="16"/>
      <c r="AJ14" s="16" t="s">
        <v>14</v>
      </c>
      <c r="AK14" s="16"/>
      <c r="AL14" s="16" t="s">
        <v>14</v>
      </c>
      <c r="AM14" s="184"/>
      <c r="AN14" s="184"/>
      <c r="AO14" s="192"/>
      <c r="AP14" s="193"/>
      <c r="AQ14" s="182" t="s">
        <v>710</v>
      </c>
      <c r="AR14"/>
    </row>
    <row r="15" spans="2:44" ht="16.5" thickBot="1">
      <c r="B15" s="213">
        <v>180</v>
      </c>
      <c r="C15" s="214" t="s">
        <v>99</v>
      </c>
      <c r="D15" s="215" t="s">
        <v>697</v>
      </c>
      <c r="E15" s="199"/>
      <c r="F15" s="216"/>
      <c r="G15" s="359"/>
      <c r="H15" s="317"/>
      <c r="I15" s="216"/>
      <c r="J15" s="216"/>
      <c r="K15" s="217"/>
      <c r="L15" s="177"/>
      <c r="M15" s="187"/>
      <c r="N15" s="184"/>
      <c r="O15" s="184"/>
      <c r="P15" s="16">
        <v>2</v>
      </c>
      <c r="Q15" s="16"/>
      <c r="R15" s="16">
        <v>2</v>
      </c>
      <c r="S15" s="16"/>
      <c r="T15" s="16">
        <v>2</v>
      </c>
      <c r="U15" s="16"/>
      <c r="V15" s="16">
        <v>2</v>
      </c>
      <c r="W15" s="16"/>
      <c r="X15" s="16">
        <v>1</v>
      </c>
      <c r="Y15" s="16"/>
      <c r="Z15" s="16">
        <v>1</v>
      </c>
      <c r="AA15" s="16"/>
      <c r="AB15" s="16">
        <v>1</v>
      </c>
      <c r="AC15" s="16"/>
      <c r="AD15" s="16">
        <v>1</v>
      </c>
      <c r="AE15" s="16"/>
      <c r="AF15" s="16">
        <v>0</v>
      </c>
      <c r="AG15" s="16"/>
      <c r="AH15" s="16">
        <v>0</v>
      </c>
      <c r="AI15" s="16"/>
      <c r="AJ15" s="16">
        <v>0</v>
      </c>
      <c r="AK15" s="16"/>
      <c r="AL15" s="16">
        <v>0</v>
      </c>
      <c r="AM15" s="184"/>
      <c r="AN15" s="184"/>
      <c r="AO15" s="192"/>
      <c r="AP15" s="193"/>
      <c r="AQ15" s="182" t="s">
        <v>713</v>
      </c>
      <c r="AR15"/>
    </row>
    <row r="16" spans="2:44" ht="16.5" thickBot="1">
      <c r="B16" s="42">
        <v>197</v>
      </c>
      <c r="C16" s="21" t="s">
        <v>116</v>
      </c>
      <c r="D16" s="22" t="s">
        <v>631</v>
      </c>
      <c r="E16" s="5" t="s">
        <v>871</v>
      </c>
      <c r="F16" s="5"/>
      <c r="G16" s="389" t="s">
        <v>222</v>
      </c>
      <c r="H16" s="317" t="s">
        <v>935</v>
      </c>
      <c r="I16" s="5"/>
      <c r="J16" s="5"/>
      <c r="K16" s="14"/>
      <c r="L16" s="177"/>
      <c r="M16" s="187"/>
      <c r="N16" s="184"/>
      <c r="O16" s="184"/>
      <c r="P16" s="16" t="s">
        <v>17</v>
      </c>
      <c r="Q16" s="16"/>
      <c r="R16" s="16" t="s">
        <v>13</v>
      </c>
      <c r="S16" s="16"/>
      <c r="T16" s="16" t="s">
        <v>13</v>
      </c>
      <c r="U16" s="16"/>
      <c r="V16" s="16" t="s">
        <v>17</v>
      </c>
      <c r="W16" s="16"/>
      <c r="X16" s="16" t="s">
        <v>17</v>
      </c>
      <c r="Y16" s="16"/>
      <c r="Z16" s="16" t="s">
        <v>13</v>
      </c>
      <c r="AA16" s="16"/>
      <c r="AB16" s="16" t="s">
        <v>13</v>
      </c>
      <c r="AC16" s="16"/>
      <c r="AD16" s="16" t="s">
        <v>17</v>
      </c>
      <c r="AE16" s="16"/>
      <c r="AF16" s="16" t="s">
        <v>17</v>
      </c>
      <c r="AG16" s="16"/>
      <c r="AH16" s="16" t="s">
        <v>13</v>
      </c>
      <c r="AI16" s="16"/>
      <c r="AJ16" s="16" t="s">
        <v>13</v>
      </c>
      <c r="AK16" s="16"/>
      <c r="AL16" s="16" t="s">
        <v>17</v>
      </c>
      <c r="AM16" s="184"/>
      <c r="AN16" s="184"/>
      <c r="AO16" s="192"/>
      <c r="AP16" s="193"/>
      <c r="AQ16" s="182" t="s">
        <v>954</v>
      </c>
      <c r="AR16"/>
    </row>
    <row r="17" spans="2:44" ht="16.5" thickBot="1">
      <c r="B17" s="42">
        <v>198</v>
      </c>
      <c r="C17" s="21" t="s">
        <v>117</v>
      </c>
      <c r="D17" s="22" t="s">
        <v>654</v>
      </c>
      <c r="E17" s="5" t="s">
        <v>871</v>
      </c>
      <c r="F17" s="5"/>
      <c r="G17" s="389" t="s">
        <v>232</v>
      </c>
      <c r="H17" s="317" t="s">
        <v>935</v>
      </c>
      <c r="I17" s="5"/>
      <c r="J17" s="5"/>
      <c r="K17" s="14"/>
      <c r="L17" s="177"/>
      <c r="M17" s="187"/>
      <c r="N17" s="184"/>
      <c r="O17" s="16"/>
      <c r="P17" s="244">
        <v>11</v>
      </c>
      <c r="Q17" s="35"/>
      <c r="R17" s="244">
        <v>10</v>
      </c>
      <c r="S17" s="35"/>
      <c r="T17" s="244">
        <v>9</v>
      </c>
      <c r="U17" s="35"/>
      <c r="V17" s="244">
        <v>8</v>
      </c>
      <c r="W17" s="35"/>
      <c r="X17" s="244">
        <v>7</v>
      </c>
      <c r="Y17" s="35"/>
      <c r="Z17" s="244">
        <v>6</v>
      </c>
      <c r="AA17" s="35"/>
      <c r="AB17" s="255">
        <v>5</v>
      </c>
      <c r="AC17" s="35"/>
      <c r="AD17" s="244">
        <v>4</v>
      </c>
      <c r="AE17" s="35"/>
      <c r="AF17" s="244">
        <v>3</v>
      </c>
      <c r="AG17" s="35"/>
      <c r="AH17" s="244">
        <v>2</v>
      </c>
      <c r="AI17" s="35"/>
      <c r="AJ17" s="244">
        <v>1</v>
      </c>
      <c r="AK17" s="35"/>
      <c r="AL17" s="244">
        <v>0</v>
      </c>
      <c r="AM17" s="184"/>
      <c r="AN17" s="184"/>
      <c r="AO17" s="192"/>
      <c r="AP17" s="193"/>
      <c r="AQ17" s="182" t="s">
        <v>964</v>
      </c>
      <c r="AR17"/>
    </row>
    <row r="18" spans="2:44" s="1" customFormat="1" ht="16.5" thickBot="1">
      <c r="B18" s="42">
        <v>210</v>
      </c>
      <c r="C18" s="21" t="s">
        <v>129</v>
      </c>
      <c r="D18" s="22" t="s">
        <v>700</v>
      </c>
      <c r="E18" s="5" t="s">
        <v>871</v>
      </c>
      <c r="F18" s="5"/>
      <c r="G18" s="389" t="s">
        <v>182</v>
      </c>
      <c r="H18" s="317" t="s">
        <v>935</v>
      </c>
      <c r="I18" s="5"/>
      <c r="J18" s="5"/>
      <c r="K18" s="14"/>
      <c r="L18" s="177"/>
      <c r="M18" s="187"/>
      <c r="N18" s="184"/>
      <c r="O18" s="16"/>
      <c r="P18" s="246">
        <v>11</v>
      </c>
      <c r="Q18" s="35"/>
      <c r="R18" s="246">
        <v>10</v>
      </c>
      <c r="S18" s="35"/>
      <c r="T18" s="246">
        <v>9</v>
      </c>
      <c r="U18" s="35"/>
      <c r="V18" s="246">
        <v>8</v>
      </c>
      <c r="W18" s="35"/>
      <c r="X18" s="246">
        <v>7</v>
      </c>
      <c r="Y18" s="35"/>
      <c r="Z18" s="246">
        <v>6</v>
      </c>
      <c r="AA18" s="35"/>
      <c r="AB18" s="256">
        <v>5</v>
      </c>
      <c r="AC18" s="35"/>
      <c r="AD18" s="246">
        <v>4</v>
      </c>
      <c r="AE18" s="35"/>
      <c r="AF18" s="246">
        <v>3</v>
      </c>
      <c r="AG18" s="35"/>
      <c r="AH18" s="246">
        <v>2</v>
      </c>
      <c r="AI18" s="35"/>
      <c r="AJ18" s="246">
        <v>1</v>
      </c>
      <c r="AK18" s="35"/>
      <c r="AL18" s="246">
        <v>0</v>
      </c>
      <c r="AM18" s="184"/>
      <c r="AN18" s="184"/>
      <c r="AO18" s="192"/>
      <c r="AP18" s="193"/>
      <c r="AQ18" s="186"/>
      <c r="AR18"/>
    </row>
    <row r="19" spans="2:44" s="1" customFormat="1" ht="16.5" thickBot="1">
      <c r="B19" s="42">
        <v>209</v>
      </c>
      <c r="C19" s="21" t="s">
        <v>128</v>
      </c>
      <c r="D19" s="22" t="s">
        <v>678</v>
      </c>
      <c r="E19" s="5" t="s">
        <v>871</v>
      </c>
      <c r="F19" s="5"/>
      <c r="G19" s="389" t="s">
        <v>192</v>
      </c>
      <c r="H19" s="317" t="s">
        <v>935</v>
      </c>
      <c r="I19" s="5"/>
      <c r="J19" s="5"/>
      <c r="K19" s="14"/>
      <c r="L19" s="177"/>
      <c r="M19" s="194"/>
      <c r="N19" s="195"/>
      <c r="O19" s="195"/>
      <c r="P19" s="563">
        <v>11</v>
      </c>
      <c r="Q19" s="563"/>
      <c r="R19" s="563">
        <v>10</v>
      </c>
      <c r="S19" s="563"/>
      <c r="T19" s="195">
        <v>9</v>
      </c>
      <c r="U19" s="195"/>
      <c r="V19" s="195">
        <v>8</v>
      </c>
      <c r="W19" s="195"/>
      <c r="X19" s="195">
        <v>7</v>
      </c>
      <c r="Y19" s="195"/>
      <c r="Z19" s="195">
        <v>6</v>
      </c>
      <c r="AA19" s="195"/>
      <c r="AB19" s="195">
        <v>5</v>
      </c>
      <c r="AC19" s="195"/>
      <c r="AD19" s="195">
        <v>4</v>
      </c>
      <c r="AE19" s="195"/>
      <c r="AF19" s="195">
        <v>3</v>
      </c>
      <c r="AG19" s="195"/>
      <c r="AH19" s="195">
        <v>2</v>
      </c>
      <c r="AI19" s="195"/>
      <c r="AJ19" s="253">
        <v>1</v>
      </c>
      <c r="AK19" s="253"/>
      <c r="AL19" s="253">
        <v>0</v>
      </c>
      <c r="AM19" s="253"/>
      <c r="AN19" s="195"/>
      <c r="AO19" s="196"/>
      <c r="AP19" s="193"/>
      <c r="AQ19" s="186"/>
      <c r="AR19"/>
    </row>
    <row r="20" spans="2:44" s="1" customFormat="1" ht="16.5" thickBot="1">
      <c r="B20" s="42">
        <v>217</v>
      </c>
      <c r="C20" s="21" t="s">
        <v>136</v>
      </c>
      <c r="D20" s="22" t="s">
        <v>633</v>
      </c>
      <c r="E20" s="5" t="s">
        <v>871</v>
      </c>
      <c r="F20" s="5"/>
      <c r="G20" s="389" t="s">
        <v>241</v>
      </c>
      <c r="H20" s="317" t="s">
        <v>935</v>
      </c>
      <c r="I20" s="5"/>
      <c r="J20" s="5"/>
      <c r="K20" s="14"/>
      <c r="L20" s="558" t="s">
        <v>864</v>
      </c>
      <c r="M20" s="559"/>
      <c r="N20" s="559"/>
      <c r="O20" s="559"/>
      <c r="P20" s="559"/>
      <c r="Q20" s="559"/>
      <c r="R20" s="559"/>
      <c r="S20" s="559"/>
      <c r="T20" s="559"/>
      <c r="U20" s="559"/>
      <c r="V20" s="559"/>
      <c r="W20" s="559"/>
      <c r="X20" s="559"/>
      <c r="Y20" s="559"/>
      <c r="Z20" s="559"/>
      <c r="AA20" s="559"/>
      <c r="AB20" s="559"/>
      <c r="AC20" s="559"/>
      <c r="AD20" s="559"/>
      <c r="AE20" s="559"/>
      <c r="AF20" s="559"/>
      <c r="AG20" s="559"/>
      <c r="AH20" s="559"/>
      <c r="AI20" s="559"/>
      <c r="AJ20" s="559"/>
      <c r="AK20" s="559"/>
      <c r="AL20" s="559"/>
      <c r="AM20" s="559"/>
      <c r="AN20" s="559"/>
      <c r="AO20" s="559"/>
      <c r="AP20" s="559"/>
      <c r="AQ20" s="186"/>
      <c r="AR20"/>
    </row>
    <row r="21" spans="2:44" s="1" customFormat="1" ht="16.5" thickBot="1">
      <c r="B21" s="42">
        <v>218</v>
      </c>
      <c r="C21" s="21" t="s">
        <v>137</v>
      </c>
      <c r="D21" s="22" t="s">
        <v>656</v>
      </c>
      <c r="E21" s="5" t="s">
        <v>871</v>
      </c>
      <c r="F21" s="5"/>
      <c r="G21" s="389" t="s">
        <v>251</v>
      </c>
      <c r="H21" s="317" t="s">
        <v>935</v>
      </c>
      <c r="I21" s="5"/>
      <c r="J21" s="5"/>
      <c r="K21" s="14"/>
      <c r="L21" s="560" t="s">
        <v>721</v>
      </c>
      <c r="M21" s="561"/>
      <c r="N21" s="561"/>
      <c r="O21" s="561"/>
      <c r="P21" s="561"/>
      <c r="Q21" s="561"/>
      <c r="R21" s="561"/>
      <c r="S21" s="561"/>
      <c r="T21" s="561"/>
      <c r="U21" s="561"/>
      <c r="V21" s="561"/>
      <c r="W21" s="561"/>
      <c r="X21" s="561"/>
      <c r="Y21" s="561"/>
      <c r="Z21" s="561"/>
      <c r="AA21" s="561"/>
      <c r="AB21" s="561"/>
      <c r="AC21" s="561"/>
      <c r="AD21" s="561"/>
      <c r="AE21" s="561"/>
      <c r="AF21" s="561"/>
      <c r="AG21" s="561"/>
      <c r="AH21" s="561"/>
      <c r="AI21" s="561"/>
      <c r="AJ21" s="561"/>
      <c r="AK21" s="561"/>
      <c r="AL21" s="561"/>
      <c r="AM21" s="561"/>
      <c r="AN21" s="561"/>
      <c r="AO21" s="561"/>
      <c r="AP21" s="561"/>
      <c r="AQ21" s="193"/>
      <c r="AR21"/>
    </row>
    <row r="22" spans="2:44" s="1" customFormat="1" ht="16.5" thickBot="1">
      <c r="B22" s="213">
        <v>177</v>
      </c>
      <c r="C22" s="214" t="s">
        <v>96</v>
      </c>
      <c r="D22" s="215" t="s">
        <v>629</v>
      </c>
      <c r="E22" s="199"/>
      <c r="F22" s="216"/>
      <c r="G22" s="359"/>
      <c r="H22" s="317"/>
      <c r="I22" s="216"/>
      <c r="J22" s="216"/>
      <c r="K22" s="217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 ht="16.5" thickBot="1">
      <c r="B23" s="213">
        <v>187</v>
      </c>
      <c r="C23" s="214" t="s">
        <v>106</v>
      </c>
      <c r="D23" s="215" t="s">
        <v>630</v>
      </c>
      <c r="E23" s="199"/>
      <c r="F23" s="216"/>
      <c r="G23" s="359"/>
      <c r="H23" s="317"/>
      <c r="I23" s="216"/>
      <c r="J23" s="216"/>
      <c r="K23" s="217"/>
      <c r="L23"/>
      <c r="M23" s="562" t="s">
        <v>836</v>
      </c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2"/>
      <c r="AP23"/>
      <c r="AQ23"/>
      <c r="AR23"/>
    </row>
    <row r="24" spans="2:44" s="1" customFormat="1" ht="16.5" thickBot="1">
      <c r="B24" s="213">
        <v>178</v>
      </c>
      <c r="C24" s="214" t="s">
        <v>97</v>
      </c>
      <c r="D24" s="215" t="s">
        <v>652</v>
      </c>
      <c r="E24" s="199"/>
      <c r="F24" s="216"/>
      <c r="G24" s="359"/>
      <c r="H24" s="317"/>
      <c r="I24" s="216"/>
      <c r="J24" s="216"/>
      <c r="K24" s="217"/>
      <c r="L24"/>
      <c r="M24" s="557" t="s">
        <v>883</v>
      </c>
      <c r="N24" s="557"/>
      <c r="O24" s="557"/>
      <c r="P24" s="557"/>
      <c r="Q24" s="557"/>
      <c r="R24" s="557"/>
      <c r="S24" s="557"/>
      <c r="T24" s="557"/>
      <c r="U24" s="557"/>
      <c r="V24" s="557"/>
      <c r="W24" s="557"/>
      <c r="X24" s="557"/>
      <c r="Y24" s="557"/>
      <c r="Z24" s="557"/>
      <c r="AA24" s="557"/>
      <c r="AB24" s="557"/>
      <c r="AC24" s="557"/>
      <c r="AD24" s="557"/>
      <c r="AE24" s="557"/>
      <c r="AF24" s="557"/>
      <c r="AG24" s="557"/>
      <c r="AH24" s="557"/>
      <c r="AI24" s="557"/>
      <c r="AJ24" s="557"/>
      <c r="AK24" s="557"/>
      <c r="AL24" s="557"/>
      <c r="AM24" s="557"/>
      <c r="AN24" s="557"/>
      <c r="AO24" s="557"/>
      <c r="AP24"/>
      <c r="AQ24"/>
      <c r="AR24"/>
    </row>
    <row r="25" spans="2:44" s="1" customFormat="1" ht="16.5" thickBot="1">
      <c r="B25" s="213">
        <v>188</v>
      </c>
      <c r="C25" s="214" t="s">
        <v>107</v>
      </c>
      <c r="D25" s="215" t="s">
        <v>653</v>
      </c>
      <c r="E25" s="199"/>
      <c r="F25" s="216"/>
      <c r="G25" s="359"/>
      <c r="H25" s="317"/>
      <c r="I25" s="216"/>
      <c r="J25" s="216"/>
      <c r="K25" s="217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 ht="16.5" thickBot="1">
      <c r="B26" s="42">
        <v>277</v>
      </c>
      <c r="C26" s="21" t="s">
        <v>196</v>
      </c>
      <c r="D26" s="22" t="s">
        <v>635</v>
      </c>
      <c r="E26" s="5" t="s">
        <v>871</v>
      </c>
      <c r="F26" s="5"/>
      <c r="G26" s="389" t="s">
        <v>184</v>
      </c>
      <c r="H26" s="317" t="s">
        <v>935</v>
      </c>
      <c r="I26" s="5"/>
      <c r="J26" s="5"/>
      <c r="K26" s="14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 ht="16.5" thickBot="1">
      <c r="B27" s="42">
        <v>278</v>
      </c>
      <c r="C27" s="21" t="s">
        <v>197</v>
      </c>
      <c r="D27" s="22" t="s">
        <v>658</v>
      </c>
      <c r="E27" s="5" t="s">
        <v>871</v>
      </c>
      <c r="F27" s="5"/>
      <c r="G27" s="389" t="s">
        <v>194</v>
      </c>
      <c r="H27" s="317" t="s">
        <v>935</v>
      </c>
      <c r="I27" s="5"/>
      <c r="J27" s="5"/>
      <c r="K27" s="14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 ht="16.5" thickBot="1">
      <c r="B28" s="42">
        <v>287</v>
      </c>
      <c r="C28" s="21" t="s">
        <v>206</v>
      </c>
      <c r="D28" s="22" t="s">
        <v>636</v>
      </c>
      <c r="E28" s="5" t="s">
        <v>871</v>
      </c>
      <c r="F28" s="5"/>
      <c r="G28" s="389" t="s">
        <v>243</v>
      </c>
      <c r="H28" s="317" t="s">
        <v>935</v>
      </c>
      <c r="I28" s="5"/>
      <c r="J28" s="5"/>
      <c r="K28" s="14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 ht="16.5" thickBot="1">
      <c r="B29" s="42">
        <v>288</v>
      </c>
      <c r="C29" s="21" t="s">
        <v>207</v>
      </c>
      <c r="D29" s="22" t="s">
        <v>659</v>
      </c>
      <c r="E29" s="5" t="s">
        <v>871</v>
      </c>
      <c r="F29" s="5"/>
      <c r="G29" s="389" t="s">
        <v>253</v>
      </c>
      <c r="H29" s="317" t="s">
        <v>935</v>
      </c>
      <c r="I29" s="5"/>
      <c r="J29" s="5"/>
      <c r="K29" s="14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 ht="16.5" thickBot="1">
      <c r="B30" s="42">
        <v>297</v>
      </c>
      <c r="C30" s="21" t="s">
        <v>216</v>
      </c>
      <c r="D30" s="22" t="s">
        <v>637</v>
      </c>
      <c r="E30" s="5" t="s">
        <v>871</v>
      </c>
      <c r="F30" s="5"/>
      <c r="G30" s="389" t="s">
        <v>203</v>
      </c>
      <c r="H30" s="317" t="s">
        <v>935</v>
      </c>
      <c r="I30" s="5"/>
      <c r="J30" s="5"/>
      <c r="K30" s="14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 ht="16.5" thickBot="1">
      <c r="B31" s="42">
        <v>298</v>
      </c>
      <c r="C31" s="21" t="s">
        <v>217</v>
      </c>
      <c r="D31" s="22" t="s">
        <v>660</v>
      </c>
      <c r="E31" s="5" t="s">
        <v>871</v>
      </c>
      <c r="F31" s="5"/>
      <c r="G31" s="389" t="s">
        <v>213</v>
      </c>
      <c r="H31" s="317" t="s">
        <v>935</v>
      </c>
      <c r="I31" s="5"/>
      <c r="J31" s="5"/>
      <c r="K31" s="14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 ht="16.5" thickBot="1">
      <c r="B32" s="213">
        <v>307</v>
      </c>
      <c r="C32" s="214" t="s">
        <v>226</v>
      </c>
      <c r="D32" s="215" t="s">
        <v>638</v>
      </c>
      <c r="E32" s="199"/>
      <c r="F32" s="216"/>
      <c r="G32" s="359"/>
      <c r="H32" s="317"/>
      <c r="I32" s="216"/>
      <c r="J32" s="216"/>
      <c r="K32" s="217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8" s="1" customFormat="1" ht="16.5" thickBot="1">
      <c r="B33" s="213">
        <v>308</v>
      </c>
      <c r="C33" s="214" t="s">
        <v>227</v>
      </c>
      <c r="D33" s="215" t="s">
        <v>661</v>
      </c>
      <c r="E33" s="199"/>
      <c r="F33" s="216"/>
      <c r="G33" s="359"/>
      <c r="H33" s="317"/>
      <c r="I33" s="216"/>
      <c r="J33" s="216"/>
      <c r="K33" s="217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8" s="1" customFormat="1" ht="16.5" thickBot="1">
      <c r="B34" s="213">
        <v>317</v>
      </c>
      <c r="C34" s="214" t="s">
        <v>236</v>
      </c>
      <c r="D34" s="215" t="s">
        <v>639</v>
      </c>
      <c r="E34" s="199"/>
      <c r="F34" s="216"/>
      <c r="G34" s="359"/>
      <c r="H34" s="317"/>
      <c r="I34" s="216"/>
      <c r="J34" s="216"/>
      <c r="K34" s="217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8" s="1" customFormat="1" ht="16.5" thickBot="1">
      <c r="B35" s="213">
        <v>318</v>
      </c>
      <c r="C35" s="214" t="s">
        <v>237</v>
      </c>
      <c r="D35" s="215" t="s">
        <v>662</v>
      </c>
      <c r="E35" s="199"/>
      <c r="F35" s="216"/>
      <c r="G35" s="359"/>
      <c r="H35" s="317"/>
      <c r="I35" s="216"/>
      <c r="J35" s="216"/>
      <c r="K35" s="217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8" s="1" customFormat="1" ht="16.5" thickBot="1">
      <c r="B36" s="42">
        <v>279</v>
      </c>
      <c r="C36" s="21" t="s">
        <v>198</v>
      </c>
      <c r="D36" s="22" t="s">
        <v>679</v>
      </c>
      <c r="E36" s="5" t="s">
        <v>871</v>
      </c>
      <c r="F36" s="5"/>
      <c r="G36" s="389" t="s">
        <v>245</v>
      </c>
      <c r="H36" s="317" t="s">
        <v>935</v>
      </c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8" s="1" customFormat="1" ht="16.5" thickBot="1">
      <c r="B37" s="42">
        <v>280</v>
      </c>
      <c r="C37" s="21" t="s">
        <v>199</v>
      </c>
      <c r="D37" s="22" t="s">
        <v>701</v>
      </c>
      <c r="E37" s="5" t="s">
        <v>871</v>
      </c>
      <c r="F37" s="5"/>
      <c r="G37" s="389" t="s">
        <v>255</v>
      </c>
      <c r="H37" s="317" t="s">
        <v>935</v>
      </c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8" s="1" customFormat="1" ht="16.5" thickBot="1">
      <c r="B38" s="42">
        <v>289</v>
      </c>
      <c r="C38" s="21" t="s">
        <v>208</v>
      </c>
      <c r="D38" s="22" t="s">
        <v>680</v>
      </c>
      <c r="E38" s="5" t="s">
        <v>871</v>
      </c>
      <c r="F38" s="5"/>
      <c r="G38" s="389" t="s">
        <v>205</v>
      </c>
      <c r="H38" s="317" t="s">
        <v>935</v>
      </c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8" s="1" customFormat="1" ht="16.5" thickBot="1">
      <c r="B39" s="42">
        <v>290</v>
      </c>
      <c r="C39" s="21" t="s">
        <v>209</v>
      </c>
      <c r="D39" s="22" t="s">
        <v>702</v>
      </c>
      <c r="E39" s="5" t="s">
        <v>871</v>
      </c>
      <c r="F39" s="5"/>
      <c r="G39" s="389" t="s">
        <v>215</v>
      </c>
      <c r="H39" s="317" t="s">
        <v>935</v>
      </c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8" s="1" customFormat="1" ht="16.5" thickBot="1">
      <c r="B40" s="42">
        <v>299</v>
      </c>
      <c r="C40" s="21" t="s">
        <v>218</v>
      </c>
      <c r="D40" s="22" t="s">
        <v>681</v>
      </c>
      <c r="E40" s="5" t="s">
        <v>871</v>
      </c>
      <c r="F40" s="5"/>
      <c r="G40" s="389" t="s">
        <v>224</v>
      </c>
      <c r="H40" s="317" t="s">
        <v>935</v>
      </c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8" s="1" customFormat="1">
      <c r="B41" s="42">
        <v>300</v>
      </c>
      <c r="C41" s="21" t="s">
        <v>219</v>
      </c>
      <c r="D41" s="22" t="s">
        <v>703</v>
      </c>
      <c r="E41" s="5" t="s">
        <v>871</v>
      </c>
      <c r="F41" s="5"/>
      <c r="G41" s="389" t="s">
        <v>234</v>
      </c>
      <c r="H41" s="317" t="s">
        <v>935</v>
      </c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8" s="1" customFormat="1">
      <c r="B42" s="213">
        <v>309</v>
      </c>
      <c r="C42" s="214" t="s">
        <v>228</v>
      </c>
      <c r="D42" s="215" t="s">
        <v>682</v>
      </c>
      <c r="E42" s="199"/>
      <c r="F42" s="216"/>
      <c r="G42" s="216"/>
      <c r="H42" s="199"/>
      <c r="I42" s="216"/>
      <c r="J42" s="216"/>
      <c r="K42" s="217"/>
      <c r="L42" s="3"/>
    </row>
    <row r="43" spans="2:48" s="1" customFormat="1">
      <c r="B43" s="213">
        <v>310</v>
      </c>
      <c r="C43" s="214" t="s">
        <v>229</v>
      </c>
      <c r="D43" s="215" t="s">
        <v>704</v>
      </c>
      <c r="E43" s="199"/>
      <c r="F43" s="216"/>
      <c r="G43" s="216"/>
      <c r="H43" s="199"/>
      <c r="I43" s="216"/>
      <c r="J43" s="216"/>
      <c r="K43" s="217"/>
      <c r="L43" s="3"/>
    </row>
    <row r="44" spans="2:48" s="1" customFormat="1">
      <c r="B44" s="213">
        <v>319</v>
      </c>
      <c r="C44" s="214" t="s">
        <v>238</v>
      </c>
      <c r="D44" s="215" t="s">
        <v>683</v>
      </c>
      <c r="E44" s="199"/>
      <c r="F44" s="216"/>
      <c r="G44" s="216"/>
      <c r="H44" s="199"/>
      <c r="I44" s="216"/>
      <c r="J44" s="216"/>
      <c r="K44" s="217"/>
      <c r="L44" s="3"/>
    </row>
    <row r="45" spans="2:48" s="1" customFormat="1">
      <c r="B45" s="213">
        <v>320</v>
      </c>
      <c r="C45" s="214" t="s">
        <v>239</v>
      </c>
      <c r="D45" s="215" t="s">
        <v>705</v>
      </c>
      <c r="E45" s="199"/>
      <c r="F45" s="216"/>
      <c r="G45" s="216"/>
      <c r="H45" s="199"/>
      <c r="I45" s="216"/>
      <c r="J45" s="216"/>
      <c r="K45" s="217"/>
      <c r="L45" s="3"/>
    </row>
    <row r="46" spans="2:48" s="1" customFormat="1">
      <c r="B46" s="260">
        <v>37</v>
      </c>
      <c r="C46" s="261" t="s">
        <v>373</v>
      </c>
      <c r="D46" s="262" t="s">
        <v>622</v>
      </c>
      <c r="E46" s="325" t="s">
        <v>867</v>
      </c>
      <c r="F46" s="344"/>
      <c r="G46" s="325" t="s">
        <v>41</v>
      </c>
      <c r="H46" s="338" t="s">
        <v>906</v>
      </c>
      <c r="I46" s="212"/>
      <c r="J46" s="212"/>
      <c r="K46" s="263"/>
      <c r="L46" s="3"/>
      <c r="AQ46"/>
      <c r="AR46"/>
      <c r="AS46"/>
      <c r="AT46"/>
      <c r="AU46"/>
      <c r="AV46"/>
    </row>
    <row r="47" spans="2:48" s="1" customFormat="1">
      <c r="B47" s="260">
        <v>27</v>
      </c>
      <c r="C47" s="261" t="s">
        <v>363</v>
      </c>
      <c r="D47" s="262" t="s">
        <v>623</v>
      </c>
      <c r="E47" s="325" t="s">
        <v>867</v>
      </c>
      <c r="F47" s="344"/>
      <c r="G47" s="325" t="s">
        <v>51</v>
      </c>
      <c r="H47" s="303" t="s">
        <v>906</v>
      </c>
      <c r="I47" s="212"/>
      <c r="J47" s="212"/>
      <c r="K47" s="263"/>
      <c r="L47" s="3"/>
      <c r="AQ47"/>
      <c r="AR47"/>
      <c r="AS47"/>
      <c r="AT47"/>
      <c r="AU47"/>
      <c r="AV47"/>
    </row>
    <row r="48" spans="2:48">
      <c r="B48" s="260">
        <v>18</v>
      </c>
      <c r="C48" s="261" t="s">
        <v>354</v>
      </c>
      <c r="D48" s="262" t="s">
        <v>643</v>
      </c>
      <c r="E48" s="325" t="s">
        <v>867</v>
      </c>
      <c r="F48" s="344"/>
      <c r="G48" s="325" t="s">
        <v>60</v>
      </c>
      <c r="H48" s="303" t="s">
        <v>906</v>
      </c>
      <c r="I48" s="212"/>
      <c r="J48" s="212"/>
      <c r="K48" s="263"/>
      <c r="AQ48"/>
      <c r="AR48"/>
      <c r="AS48"/>
      <c r="AT48"/>
      <c r="AU48"/>
      <c r="AV48"/>
    </row>
    <row r="49" spans="2:48">
      <c r="B49" s="260">
        <v>8</v>
      </c>
      <c r="C49" s="261" t="s">
        <v>344</v>
      </c>
      <c r="D49" s="262" t="s">
        <v>644</v>
      </c>
      <c r="E49" s="325" t="s">
        <v>867</v>
      </c>
      <c r="F49" s="344"/>
      <c r="G49" s="325" t="s">
        <v>70</v>
      </c>
      <c r="H49" s="303" t="s">
        <v>906</v>
      </c>
      <c r="I49" s="212"/>
      <c r="J49" s="212"/>
      <c r="K49" s="263"/>
      <c r="AQ49"/>
      <c r="AR49"/>
      <c r="AS49"/>
      <c r="AT49"/>
      <c r="AU49"/>
      <c r="AV49"/>
    </row>
    <row r="50" spans="2:48">
      <c r="B50" s="260">
        <v>10</v>
      </c>
      <c r="C50" s="261" t="s">
        <v>346</v>
      </c>
      <c r="D50" s="262" t="s">
        <v>666</v>
      </c>
      <c r="E50" s="325" t="s">
        <v>867</v>
      </c>
      <c r="F50" s="344"/>
      <c r="G50" s="325" t="s">
        <v>20</v>
      </c>
      <c r="H50" s="303" t="s">
        <v>906</v>
      </c>
      <c r="I50" s="212"/>
      <c r="J50" s="212"/>
      <c r="K50" s="263"/>
      <c r="AQ50"/>
      <c r="AR50"/>
      <c r="AS50"/>
      <c r="AT50"/>
      <c r="AU50"/>
      <c r="AV50"/>
    </row>
    <row r="51" spans="2:48">
      <c r="B51" s="260">
        <v>9</v>
      </c>
      <c r="C51" s="261" t="s">
        <v>345</v>
      </c>
      <c r="D51" s="262" t="s">
        <v>688</v>
      </c>
      <c r="E51" s="325" t="s">
        <v>867</v>
      </c>
      <c r="F51" s="344"/>
      <c r="G51" s="325" t="s">
        <v>30</v>
      </c>
      <c r="H51" s="303" t="s">
        <v>906</v>
      </c>
      <c r="I51" s="212"/>
      <c r="J51" s="212"/>
      <c r="K51" s="263"/>
      <c r="AQ51"/>
      <c r="AR51"/>
      <c r="AS51"/>
      <c r="AT51"/>
      <c r="AU51"/>
      <c r="AV51"/>
    </row>
    <row r="52" spans="2:48">
      <c r="B52" s="213">
        <v>7</v>
      </c>
      <c r="C52" s="214" t="s">
        <v>343</v>
      </c>
      <c r="D52" s="215" t="s">
        <v>621</v>
      </c>
      <c r="E52" s="359"/>
      <c r="F52" s="347"/>
      <c r="G52" s="359"/>
      <c r="H52" s="303"/>
      <c r="I52" s="216"/>
      <c r="J52" s="216"/>
      <c r="K52" s="217"/>
      <c r="AQ52"/>
      <c r="AR52"/>
      <c r="AS52"/>
      <c r="AT52"/>
      <c r="AU52"/>
      <c r="AV52"/>
    </row>
    <row r="53" spans="2:48">
      <c r="B53" s="213">
        <v>17</v>
      </c>
      <c r="C53" s="214" t="s">
        <v>353</v>
      </c>
      <c r="D53" s="215" t="s">
        <v>620</v>
      </c>
      <c r="E53" s="359"/>
      <c r="F53" s="347"/>
      <c r="G53" s="359"/>
      <c r="H53" s="303"/>
      <c r="I53" s="216"/>
      <c r="J53" s="216"/>
      <c r="K53" s="217"/>
      <c r="AQ53"/>
      <c r="AR53"/>
      <c r="AS53"/>
      <c r="AT53"/>
      <c r="AU53"/>
      <c r="AV53"/>
    </row>
    <row r="54" spans="2:48">
      <c r="B54" s="213">
        <v>6</v>
      </c>
      <c r="C54" s="214" t="s">
        <v>342</v>
      </c>
      <c r="D54" s="215" t="s">
        <v>611</v>
      </c>
      <c r="E54" s="359"/>
      <c r="F54" s="347"/>
      <c r="G54" s="359"/>
      <c r="H54" s="303"/>
      <c r="I54" s="216"/>
      <c r="J54" s="216"/>
      <c r="K54" s="217"/>
      <c r="AQ54"/>
      <c r="AR54"/>
      <c r="AS54"/>
      <c r="AT54"/>
      <c r="AU54"/>
      <c r="AV54"/>
    </row>
    <row r="55" spans="2:48">
      <c r="B55" s="213">
        <v>16</v>
      </c>
      <c r="C55" s="214" t="s">
        <v>352</v>
      </c>
      <c r="D55" s="215" t="s">
        <v>610</v>
      </c>
      <c r="E55" s="359"/>
      <c r="F55" s="347"/>
      <c r="G55" s="359"/>
      <c r="H55" s="303"/>
      <c r="I55" s="216"/>
      <c r="J55" s="216"/>
      <c r="K55" s="217"/>
      <c r="AQ55"/>
      <c r="AR55"/>
      <c r="AS55"/>
      <c r="AT55"/>
      <c r="AU55"/>
      <c r="AV55"/>
    </row>
    <row r="56" spans="2:48">
      <c r="B56" s="260">
        <v>60</v>
      </c>
      <c r="C56" s="261" t="s">
        <v>396</v>
      </c>
      <c r="D56" s="264" t="s">
        <v>669</v>
      </c>
      <c r="E56" s="325" t="s">
        <v>867</v>
      </c>
      <c r="F56" s="344"/>
      <c r="G56" s="325" t="s">
        <v>62</v>
      </c>
      <c r="H56" s="303" t="s">
        <v>906</v>
      </c>
      <c r="I56" s="212"/>
      <c r="J56" s="212"/>
      <c r="K56" s="263"/>
      <c r="AQ56"/>
      <c r="AR56"/>
      <c r="AS56"/>
      <c r="AT56"/>
      <c r="AU56"/>
      <c r="AV56"/>
    </row>
    <row r="57" spans="2:48">
      <c r="B57" s="260">
        <v>59</v>
      </c>
      <c r="C57" s="261" t="s">
        <v>395</v>
      </c>
      <c r="D57" s="264" t="s">
        <v>691</v>
      </c>
      <c r="E57" s="325" t="s">
        <v>867</v>
      </c>
      <c r="F57" s="344"/>
      <c r="G57" s="325" t="s">
        <v>72</v>
      </c>
      <c r="H57" s="303" t="s">
        <v>906</v>
      </c>
      <c r="I57" s="212"/>
      <c r="J57" s="212"/>
      <c r="K57" s="263"/>
      <c r="AQ57"/>
      <c r="AR57"/>
      <c r="AS57"/>
      <c r="AT57"/>
      <c r="AU57"/>
      <c r="AV57"/>
    </row>
    <row r="58" spans="2:48">
      <c r="B58" s="260">
        <v>28</v>
      </c>
      <c r="C58" s="261" t="s">
        <v>364</v>
      </c>
      <c r="D58" s="262" t="s">
        <v>646</v>
      </c>
      <c r="E58" s="325" t="s">
        <v>867</v>
      </c>
      <c r="F58" s="344"/>
      <c r="G58" s="325" t="s">
        <v>22</v>
      </c>
      <c r="H58" s="303" t="s">
        <v>906</v>
      </c>
      <c r="I58" s="212"/>
      <c r="J58" s="212"/>
      <c r="K58" s="263"/>
      <c r="AQ58"/>
      <c r="AR58"/>
      <c r="AS58"/>
      <c r="AT58"/>
      <c r="AU58"/>
      <c r="AV58"/>
    </row>
    <row r="59" spans="2:48">
      <c r="B59" s="260">
        <v>38</v>
      </c>
      <c r="C59" s="261" t="s">
        <v>374</v>
      </c>
      <c r="D59" s="262" t="s">
        <v>645</v>
      </c>
      <c r="E59" s="325" t="s">
        <v>867</v>
      </c>
      <c r="F59" s="344"/>
      <c r="G59" s="325" t="s">
        <v>32</v>
      </c>
      <c r="H59" s="303" t="s">
        <v>906</v>
      </c>
      <c r="I59" s="212"/>
      <c r="J59" s="212"/>
      <c r="K59" s="263"/>
      <c r="AQ59"/>
      <c r="AR59"/>
      <c r="AS59"/>
      <c r="AT59"/>
      <c r="AU59"/>
      <c r="AV59"/>
    </row>
    <row r="60" spans="2:48">
      <c r="B60" s="260">
        <v>49</v>
      </c>
      <c r="C60" s="261" t="s">
        <v>385</v>
      </c>
      <c r="D60" s="264" t="s">
        <v>690</v>
      </c>
      <c r="E60" s="325" t="s">
        <v>867</v>
      </c>
      <c r="F60" s="344"/>
      <c r="G60" s="325" t="s">
        <v>81</v>
      </c>
      <c r="H60" s="303" t="s">
        <v>906</v>
      </c>
      <c r="I60" s="212"/>
      <c r="J60" s="212"/>
      <c r="K60" s="263"/>
      <c r="AQ60"/>
      <c r="AR60"/>
      <c r="AS60"/>
      <c r="AT60"/>
      <c r="AU60"/>
      <c r="AV60"/>
    </row>
    <row r="61" spans="2:48">
      <c r="B61" s="260">
        <v>50</v>
      </c>
      <c r="C61" s="261" t="s">
        <v>386</v>
      </c>
      <c r="D61" s="264" t="s">
        <v>668</v>
      </c>
      <c r="E61" s="325" t="s">
        <v>867</v>
      </c>
      <c r="F61" s="344"/>
      <c r="G61" s="325" t="s">
        <v>91</v>
      </c>
      <c r="H61" s="303" t="s">
        <v>906</v>
      </c>
      <c r="I61" s="212"/>
      <c r="J61" s="212"/>
      <c r="K61" s="263"/>
      <c r="AQ61"/>
      <c r="AR61"/>
      <c r="AS61"/>
      <c r="AT61"/>
      <c r="AU61"/>
      <c r="AV61"/>
    </row>
    <row r="62" spans="2:48">
      <c r="B62" s="213">
        <v>19</v>
      </c>
      <c r="C62" s="214" t="s">
        <v>355</v>
      </c>
      <c r="D62" s="215" t="s">
        <v>689</v>
      </c>
      <c r="E62" s="359"/>
      <c r="F62" s="347"/>
      <c r="G62" s="359"/>
      <c r="H62" s="303"/>
      <c r="I62" s="216"/>
      <c r="J62" s="216"/>
      <c r="K62" s="217"/>
      <c r="AQ62"/>
      <c r="AR62"/>
      <c r="AS62"/>
      <c r="AT62"/>
      <c r="AU62"/>
      <c r="AV62"/>
    </row>
    <row r="63" spans="2:48">
      <c r="B63" s="213">
        <v>20</v>
      </c>
      <c r="C63" s="214" t="s">
        <v>356</v>
      </c>
      <c r="D63" s="215" t="s">
        <v>667</v>
      </c>
      <c r="E63" s="359"/>
      <c r="F63" s="347"/>
      <c r="G63" s="359"/>
      <c r="H63" s="303"/>
      <c r="I63" s="216"/>
      <c r="J63" s="216"/>
      <c r="K63" s="217"/>
      <c r="AQ63"/>
      <c r="AR63"/>
      <c r="AS63"/>
      <c r="AT63"/>
      <c r="AU63"/>
      <c r="AV63"/>
    </row>
    <row r="64" spans="2:48">
      <c r="B64" s="213">
        <v>26</v>
      </c>
      <c r="C64" s="214" t="s">
        <v>362</v>
      </c>
      <c r="D64" s="215" t="s">
        <v>613</v>
      </c>
      <c r="E64" s="359"/>
      <c r="F64" s="347"/>
      <c r="G64" s="359"/>
      <c r="H64" s="303"/>
      <c r="I64" s="216"/>
      <c r="J64" s="216"/>
      <c r="K64" s="217"/>
      <c r="AQ64"/>
      <c r="AR64"/>
      <c r="AS64"/>
      <c r="AT64"/>
      <c r="AU64"/>
      <c r="AV64"/>
    </row>
    <row r="65" spans="2:48">
      <c r="B65" s="213">
        <v>36</v>
      </c>
      <c r="C65" s="214" t="s">
        <v>372</v>
      </c>
      <c r="D65" s="215" t="s">
        <v>612</v>
      </c>
      <c r="E65" s="359"/>
      <c r="F65" s="347"/>
      <c r="G65" s="359"/>
      <c r="H65" s="303"/>
      <c r="I65" s="216"/>
      <c r="J65" s="216"/>
      <c r="K65" s="217"/>
      <c r="AQ65"/>
      <c r="AR65"/>
      <c r="AS65"/>
      <c r="AT65"/>
      <c r="AU65"/>
      <c r="AV65"/>
    </row>
    <row r="66" spans="2:48">
      <c r="B66" s="260">
        <v>118</v>
      </c>
      <c r="C66" s="261" t="s">
        <v>37</v>
      </c>
      <c r="D66" s="262" t="s">
        <v>624</v>
      </c>
      <c r="E66" s="325" t="s">
        <v>867</v>
      </c>
      <c r="F66" s="344"/>
      <c r="G66" s="325" t="s">
        <v>24</v>
      </c>
      <c r="H66" s="303" t="s">
        <v>906</v>
      </c>
      <c r="I66" s="212"/>
      <c r="J66" s="212"/>
      <c r="K66" s="263"/>
      <c r="AQ66"/>
      <c r="AR66"/>
      <c r="AS66"/>
      <c r="AT66"/>
      <c r="AU66"/>
      <c r="AV66"/>
    </row>
    <row r="67" spans="2:48">
      <c r="B67" s="260">
        <v>117</v>
      </c>
      <c r="C67" s="261" t="s">
        <v>36</v>
      </c>
      <c r="D67" s="262" t="s">
        <v>647</v>
      </c>
      <c r="E67" s="325" t="s">
        <v>867</v>
      </c>
      <c r="F67" s="344"/>
      <c r="G67" s="325" t="s">
        <v>34</v>
      </c>
      <c r="H67" s="303" t="s">
        <v>906</v>
      </c>
      <c r="I67" s="212"/>
      <c r="J67" s="212"/>
      <c r="K67" s="263"/>
      <c r="AQ67"/>
      <c r="AR67"/>
      <c r="AS67"/>
      <c r="AT67"/>
      <c r="AU67"/>
      <c r="AV67"/>
    </row>
    <row r="68" spans="2:48">
      <c r="B68" s="260">
        <v>148</v>
      </c>
      <c r="C68" s="261" t="s">
        <v>67</v>
      </c>
      <c r="D68" s="262" t="s">
        <v>626</v>
      </c>
      <c r="E68" s="325" t="s">
        <v>867</v>
      </c>
      <c r="F68" s="344"/>
      <c r="G68" s="325" t="s">
        <v>83</v>
      </c>
      <c r="H68" s="303" t="s">
        <v>906</v>
      </c>
      <c r="I68" s="212"/>
      <c r="J68" s="212"/>
      <c r="K68" s="263"/>
      <c r="AQ68"/>
      <c r="AR68"/>
      <c r="AS68"/>
      <c r="AT68"/>
      <c r="AU68"/>
      <c r="AV68"/>
    </row>
    <row r="69" spans="2:48">
      <c r="B69" s="260">
        <v>147</v>
      </c>
      <c r="C69" s="261" t="s">
        <v>66</v>
      </c>
      <c r="D69" s="262" t="s">
        <v>649</v>
      </c>
      <c r="E69" s="325" t="s">
        <v>867</v>
      </c>
      <c r="F69" s="344"/>
      <c r="G69" s="325" t="s">
        <v>93</v>
      </c>
      <c r="H69" s="303" t="s">
        <v>906</v>
      </c>
      <c r="I69" s="212"/>
      <c r="J69" s="212"/>
      <c r="K69" s="263"/>
      <c r="AQ69"/>
      <c r="AR69"/>
      <c r="AS69"/>
      <c r="AT69"/>
      <c r="AU69"/>
      <c r="AV69"/>
    </row>
    <row r="70" spans="2:48">
      <c r="B70" s="260">
        <v>168</v>
      </c>
      <c r="C70" s="261" t="s">
        <v>87</v>
      </c>
      <c r="D70" s="262" t="s">
        <v>628</v>
      </c>
      <c r="E70" s="325" t="s">
        <v>867</v>
      </c>
      <c r="F70" s="344"/>
      <c r="G70" s="325" t="s">
        <v>43</v>
      </c>
      <c r="H70" s="303" t="s">
        <v>906</v>
      </c>
      <c r="I70" s="212"/>
      <c r="J70" s="212"/>
      <c r="K70" s="263"/>
      <c r="AQ70"/>
      <c r="AR70"/>
      <c r="AS70"/>
      <c r="AT70"/>
      <c r="AU70"/>
      <c r="AV70"/>
    </row>
    <row r="71" spans="2:48">
      <c r="B71" s="260">
        <v>167</v>
      </c>
      <c r="C71" s="261" t="s">
        <v>86</v>
      </c>
      <c r="D71" s="262" t="s">
        <v>651</v>
      </c>
      <c r="E71" s="325" t="s">
        <v>867</v>
      </c>
      <c r="F71" s="344"/>
      <c r="G71" s="325" t="s">
        <v>53</v>
      </c>
      <c r="H71" s="303" t="s">
        <v>906</v>
      </c>
      <c r="I71" s="212"/>
      <c r="J71" s="212"/>
      <c r="K71" s="263"/>
      <c r="AQ71"/>
      <c r="AR71"/>
      <c r="AS71"/>
      <c r="AT71"/>
      <c r="AU71"/>
      <c r="AV71"/>
    </row>
    <row r="72" spans="2:48">
      <c r="B72" s="213">
        <v>170</v>
      </c>
      <c r="C72" s="214" t="s">
        <v>89</v>
      </c>
      <c r="D72" s="215" t="s">
        <v>674</v>
      </c>
      <c r="E72" s="359"/>
      <c r="F72" s="347"/>
      <c r="G72" s="359"/>
      <c r="H72" s="303"/>
      <c r="I72" s="216"/>
      <c r="J72" s="216"/>
      <c r="K72" s="217"/>
      <c r="AQ72"/>
      <c r="AR72"/>
      <c r="AS72"/>
      <c r="AT72"/>
      <c r="AU72"/>
      <c r="AV72"/>
    </row>
    <row r="73" spans="2:48">
      <c r="B73" s="213">
        <v>169</v>
      </c>
      <c r="C73" s="214" t="s">
        <v>88</v>
      </c>
      <c r="D73" s="215" t="s">
        <v>696</v>
      </c>
      <c r="E73" s="359"/>
      <c r="F73" s="347"/>
      <c r="G73" s="359"/>
      <c r="H73" s="303"/>
      <c r="I73" s="216"/>
      <c r="J73" s="216"/>
      <c r="K73" s="217"/>
      <c r="AQ73"/>
      <c r="AR73"/>
      <c r="AS73"/>
      <c r="AT73"/>
      <c r="AU73"/>
      <c r="AV73"/>
    </row>
    <row r="74" spans="2:48">
      <c r="B74" s="213">
        <v>158</v>
      </c>
      <c r="C74" s="214" t="s">
        <v>77</v>
      </c>
      <c r="D74" s="215" t="s">
        <v>627</v>
      </c>
      <c r="E74" s="359"/>
      <c r="F74" s="347"/>
      <c r="G74" s="359"/>
      <c r="H74" s="303"/>
      <c r="I74" s="216"/>
      <c r="J74" s="216"/>
      <c r="K74" s="217"/>
      <c r="AQ74"/>
      <c r="AR74"/>
      <c r="AS74"/>
      <c r="AT74"/>
      <c r="AU74"/>
      <c r="AV74"/>
    </row>
    <row r="75" spans="2:48">
      <c r="B75" s="213">
        <v>157</v>
      </c>
      <c r="C75" s="214" t="s">
        <v>76</v>
      </c>
      <c r="D75" s="215" t="s">
        <v>650</v>
      </c>
      <c r="E75" s="359"/>
      <c r="F75" s="347"/>
      <c r="G75" s="359"/>
      <c r="H75" s="303"/>
      <c r="I75" s="216"/>
      <c r="J75" s="216"/>
      <c r="K75" s="217"/>
      <c r="AQ75"/>
      <c r="AR75"/>
      <c r="AS75"/>
      <c r="AT75"/>
      <c r="AU75"/>
      <c r="AV75"/>
    </row>
    <row r="76" spans="2:48">
      <c r="B76" s="260">
        <v>129</v>
      </c>
      <c r="C76" s="261" t="s">
        <v>48</v>
      </c>
      <c r="D76" s="262" t="s">
        <v>692</v>
      </c>
      <c r="E76" s="325" t="s">
        <v>867</v>
      </c>
      <c r="F76" s="344"/>
      <c r="G76" s="325" t="s">
        <v>85</v>
      </c>
      <c r="H76" s="303" t="s">
        <v>906</v>
      </c>
      <c r="I76" s="212"/>
      <c r="J76" s="212"/>
      <c r="K76" s="263"/>
      <c r="AQ76"/>
      <c r="AR76"/>
      <c r="AS76"/>
      <c r="AT76"/>
      <c r="AU76"/>
      <c r="AV76"/>
    </row>
    <row r="77" spans="2:48">
      <c r="B77" s="260">
        <v>130</v>
      </c>
      <c r="C77" s="261" t="s">
        <v>49</v>
      </c>
      <c r="D77" s="262" t="s">
        <v>670</v>
      </c>
      <c r="E77" s="325" t="s">
        <v>867</v>
      </c>
      <c r="F77" s="344"/>
      <c r="G77" s="325" t="s">
        <v>95</v>
      </c>
      <c r="H77" s="303" t="s">
        <v>906</v>
      </c>
      <c r="I77" s="212"/>
      <c r="J77" s="212"/>
      <c r="K77" s="263"/>
      <c r="AQ77"/>
      <c r="AR77"/>
      <c r="AS77"/>
      <c r="AT77"/>
      <c r="AU77"/>
      <c r="AV77"/>
    </row>
    <row r="78" spans="2:48">
      <c r="B78" s="260">
        <v>139</v>
      </c>
      <c r="C78" s="261" t="s">
        <v>58</v>
      </c>
      <c r="D78" s="262" t="s">
        <v>693</v>
      </c>
      <c r="E78" s="325" t="s">
        <v>867</v>
      </c>
      <c r="F78" s="344"/>
      <c r="G78" s="325" t="s">
        <v>45</v>
      </c>
      <c r="H78" s="303" t="s">
        <v>906</v>
      </c>
      <c r="I78" s="212"/>
      <c r="J78" s="212"/>
      <c r="K78" s="263"/>
      <c r="AQ78"/>
      <c r="AR78"/>
      <c r="AS78"/>
      <c r="AT78"/>
      <c r="AU78"/>
      <c r="AV78"/>
    </row>
    <row r="79" spans="2:48">
      <c r="B79" s="260">
        <v>140</v>
      </c>
      <c r="C79" s="261" t="s">
        <v>59</v>
      </c>
      <c r="D79" s="262" t="s">
        <v>671</v>
      </c>
      <c r="E79" s="325" t="s">
        <v>867</v>
      </c>
      <c r="F79" s="344"/>
      <c r="G79" s="325" t="s">
        <v>55</v>
      </c>
      <c r="H79" s="303" t="s">
        <v>906</v>
      </c>
      <c r="I79" s="212"/>
      <c r="J79" s="212"/>
      <c r="K79" s="263"/>
      <c r="AQ79"/>
      <c r="AR79"/>
      <c r="AS79"/>
      <c r="AT79"/>
      <c r="AU79"/>
      <c r="AV79"/>
    </row>
    <row r="80" spans="2:48">
      <c r="B80" s="260">
        <v>138</v>
      </c>
      <c r="C80" s="261" t="s">
        <v>57</v>
      </c>
      <c r="D80" s="262" t="s">
        <v>625</v>
      </c>
      <c r="E80" s="325" t="s">
        <v>867</v>
      </c>
      <c r="F80" s="344"/>
      <c r="G80" s="325" t="s">
        <v>64</v>
      </c>
      <c r="H80" s="303" t="s">
        <v>906</v>
      </c>
      <c r="I80" s="212"/>
      <c r="J80" s="212"/>
      <c r="K80" s="263"/>
      <c r="AQ80"/>
      <c r="AR80"/>
      <c r="AS80"/>
      <c r="AT80"/>
      <c r="AU80"/>
      <c r="AV80"/>
    </row>
    <row r="81" spans="2:48">
      <c r="B81" s="260">
        <v>137</v>
      </c>
      <c r="C81" s="261" t="s">
        <v>56</v>
      </c>
      <c r="D81" s="262" t="s">
        <v>648</v>
      </c>
      <c r="E81" s="325" t="s">
        <v>867</v>
      </c>
      <c r="F81" s="344"/>
      <c r="G81" s="325" t="s">
        <v>74</v>
      </c>
      <c r="H81" s="303" t="s">
        <v>906</v>
      </c>
      <c r="I81" s="212"/>
      <c r="J81" s="212"/>
      <c r="K81" s="263"/>
      <c r="AQ81"/>
      <c r="AR81"/>
      <c r="AS81"/>
      <c r="AT81"/>
      <c r="AU81"/>
      <c r="AV81"/>
    </row>
    <row r="82" spans="2:48">
      <c r="B82" s="213">
        <v>150</v>
      </c>
      <c r="C82" s="214" t="s">
        <v>69</v>
      </c>
      <c r="D82" s="215" t="s">
        <v>672</v>
      </c>
      <c r="E82" s="199"/>
      <c r="F82" s="216"/>
      <c r="G82" s="216"/>
      <c r="H82" s="199"/>
      <c r="I82" s="216"/>
      <c r="J82" s="216"/>
      <c r="K82" s="217"/>
    </row>
    <row r="83" spans="2:48">
      <c r="B83" s="213">
        <v>149</v>
      </c>
      <c r="C83" s="214" t="s">
        <v>68</v>
      </c>
      <c r="D83" s="215" t="s">
        <v>694</v>
      </c>
      <c r="E83" s="199"/>
      <c r="F83" s="216"/>
      <c r="G83" s="216"/>
      <c r="H83" s="199"/>
      <c r="I83" s="216"/>
      <c r="J83" s="216"/>
      <c r="K83" s="217"/>
    </row>
    <row r="84" spans="2:48">
      <c r="B84" s="213">
        <v>160</v>
      </c>
      <c r="C84" s="214" t="s">
        <v>79</v>
      </c>
      <c r="D84" s="215" t="s">
        <v>673</v>
      </c>
      <c r="E84" s="199"/>
      <c r="F84" s="216"/>
      <c r="G84" s="216"/>
      <c r="H84" s="199"/>
      <c r="I84" s="216"/>
      <c r="J84" s="216"/>
      <c r="K84" s="217"/>
    </row>
    <row r="85" spans="2:48">
      <c r="B85" s="213">
        <v>159</v>
      </c>
      <c r="C85" s="214" t="s">
        <v>78</v>
      </c>
      <c r="D85" s="215" t="s">
        <v>695</v>
      </c>
      <c r="E85" s="199"/>
      <c r="F85" s="216"/>
      <c r="G85" s="216"/>
      <c r="H85" s="199"/>
      <c r="I85" s="216"/>
      <c r="J85" s="216"/>
      <c r="K85" s="217"/>
    </row>
    <row r="86" spans="2:48">
      <c r="B86" s="260">
        <v>128</v>
      </c>
      <c r="C86" s="261" t="s">
        <v>47</v>
      </c>
      <c r="D86" s="262" t="s">
        <v>507</v>
      </c>
      <c r="E86" s="325" t="s">
        <v>867</v>
      </c>
      <c r="F86" s="212"/>
      <c r="G86" s="325" t="s">
        <v>266</v>
      </c>
      <c r="H86" s="212"/>
      <c r="I86" s="212"/>
      <c r="J86" s="212"/>
      <c r="K86" s="263"/>
    </row>
    <row r="87" spans="2:48">
      <c r="B87" s="260">
        <v>127</v>
      </c>
      <c r="C87" s="261" t="s">
        <v>46</v>
      </c>
      <c r="D87" s="262" t="s">
        <v>497</v>
      </c>
      <c r="E87" s="325" t="s">
        <v>867</v>
      </c>
      <c r="F87" s="212"/>
      <c r="G87" s="325" t="s">
        <v>276</v>
      </c>
      <c r="H87" s="212"/>
      <c r="I87" s="212"/>
      <c r="J87" s="212"/>
      <c r="K87" s="263"/>
    </row>
    <row r="88" spans="2:48">
      <c r="B88" s="260">
        <v>79</v>
      </c>
      <c r="C88" s="261" t="s">
        <v>415</v>
      </c>
      <c r="D88" s="264" t="s">
        <v>490</v>
      </c>
      <c r="E88" s="212"/>
      <c r="F88" s="212"/>
      <c r="G88" s="212"/>
      <c r="H88" s="212"/>
      <c r="I88" s="212"/>
      <c r="J88" s="212"/>
      <c r="K88" s="263"/>
    </row>
    <row r="89" spans="2:48">
      <c r="B89" s="260">
        <v>78</v>
      </c>
      <c r="C89" s="261" t="s">
        <v>414</v>
      </c>
      <c r="D89" s="264" t="s">
        <v>498</v>
      </c>
      <c r="E89" s="325" t="s">
        <v>867</v>
      </c>
      <c r="F89" s="325"/>
      <c r="G89" s="325" t="s">
        <v>1040</v>
      </c>
      <c r="H89" s="212"/>
      <c r="I89" s="212"/>
      <c r="J89" s="212"/>
      <c r="K89" s="263"/>
    </row>
    <row r="90" spans="2:48">
      <c r="B90" s="260">
        <v>88</v>
      </c>
      <c r="C90" s="261" t="s">
        <v>424</v>
      </c>
      <c r="D90" s="262" t="s">
        <v>499</v>
      </c>
      <c r="E90" s="212"/>
      <c r="F90" s="212"/>
      <c r="G90" s="212"/>
      <c r="H90" s="212"/>
      <c r="I90" s="212"/>
      <c r="J90" s="212"/>
      <c r="K90" s="263"/>
    </row>
    <row r="91" spans="2:48">
      <c r="B91" s="260">
        <v>89</v>
      </c>
      <c r="C91" s="261" t="s">
        <v>425</v>
      </c>
      <c r="D91" s="262" t="s">
        <v>491</v>
      </c>
      <c r="E91" s="325" t="s">
        <v>867</v>
      </c>
      <c r="F91" s="325"/>
      <c r="G91" s="325" t="s">
        <v>10</v>
      </c>
      <c r="H91" s="212"/>
      <c r="I91" s="212"/>
      <c r="J91" s="212"/>
      <c r="K91" s="263"/>
    </row>
    <row r="92" spans="2:48">
      <c r="B92" s="260">
        <v>47</v>
      </c>
      <c r="C92" s="261" t="s">
        <v>383</v>
      </c>
      <c r="D92" s="264" t="s">
        <v>474</v>
      </c>
      <c r="E92" s="212"/>
      <c r="F92" s="212"/>
      <c r="G92" s="212"/>
      <c r="H92" s="212"/>
      <c r="I92" s="212"/>
      <c r="J92" s="212"/>
      <c r="K92" s="263"/>
    </row>
    <row r="93" spans="2:48">
      <c r="B93" s="260">
        <v>57</v>
      </c>
      <c r="C93" s="261" t="s">
        <v>393</v>
      </c>
      <c r="D93" s="264" t="s">
        <v>474</v>
      </c>
      <c r="E93" s="212"/>
      <c r="F93" s="212"/>
      <c r="G93" s="212"/>
      <c r="H93" s="212"/>
      <c r="I93" s="212"/>
      <c r="J93" s="212"/>
      <c r="K93" s="263"/>
    </row>
    <row r="94" spans="2:48">
      <c r="B94" s="260">
        <v>67</v>
      </c>
      <c r="C94" s="261" t="s">
        <v>403</v>
      </c>
      <c r="D94" s="264" t="s">
        <v>474</v>
      </c>
      <c r="E94" s="212"/>
      <c r="F94" s="212"/>
      <c r="G94" s="212"/>
      <c r="H94" s="212"/>
      <c r="I94" s="212"/>
      <c r="J94" s="212"/>
      <c r="K94" s="263"/>
    </row>
    <row r="95" spans="2:48">
      <c r="B95" s="260">
        <v>77</v>
      </c>
      <c r="C95" s="261" t="s">
        <v>413</v>
      </c>
      <c r="D95" s="264" t="s">
        <v>474</v>
      </c>
      <c r="E95" s="212"/>
      <c r="F95" s="212"/>
      <c r="G95" s="212"/>
      <c r="H95" s="212"/>
      <c r="I95" s="212"/>
      <c r="J95" s="212"/>
      <c r="K95" s="263"/>
    </row>
    <row r="96" spans="2:48">
      <c r="B96" s="260">
        <v>87</v>
      </c>
      <c r="C96" s="261" t="s">
        <v>423</v>
      </c>
      <c r="D96" s="262" t="s">
        <v>474</v>
      </c>
      <c r="E96" s="212"/>
      <c r="F96" s="212"/>
      <c r="G96" s="212"/>
      <c r="H96" s="212"/>
      <c r="I96" s="212"/>
      <c r="J96" s="212"/>
      <c r="K96" s="263"/>
    </row>
    <row r="97" spans="2:11">
      <c r="B97" s="260">
        <v>48</v>
      </c>
      <c r="C97" s="261" t="s">
        <v>384</v>
      </c>
      <c r="D97" s="264" t="s">
        <v>474</v>
      </c>
      <c r="E97" s="212"/>
      <c r="F97" s="212"/>
      <c r="G97" s="212"/>
      <c r="H97" s="212"/>
      <c r="I97" s="212"/>
      <c r="J97" s="212"/>
      <c r="K97" s="263"/>
    </row>
    <row r="98" spans="2:11">
      <c r="B98" s="260">
        <v>58</v>
      </c>
      <c r="C98" s="261" t="s">
        <v>394</v>
      </c>
      <c r="D98" s="264" t="s">
        <v>474</v>
      </c>
      <c r="E98" s="212"/>
      <c r="F98" s="212"/>
      <c r="G98" s="212"/>
      <c r="H98" s="212"/>
      <c r="I98" s="212"/>
      <c r="J98" s="212"/>
      <c r="K98" s="263"/>
    </row>
    <row r="99" spans="2:11">
      <c r="B99" s="260">
        <v>68</v>
      </c>
      <c r="C99" s="261" t="s">
        <v>404</v>
      </c>
      <c r="D99" s="264" t="s">
        <v>474</v>
      </c>
      <c r="E99" s="212"/>
      <c r="F99" s="212"/>
      <c r="G99" s="212"/>
      <c r="H99" s="212"/>
      <c r="I99" s="212"/>
      <c r="J99" s="212"/>
      <c r="K99" s="263"/>
    </row>
    <row r="100" spans="2:11">
      <c r="B100" s="260">
        <v>69</v>
      </c>
      <c r="C100" s="261" t="s">
        <v>405</v>
      </c>
      <c r="D100" s="264" t="s">
        <v>474</v>
      </c>
      <c r="E100" s="212"/>
      <c r="F100" s="212"/>
      <c r="G100" s="212"/>
      <c r="H100" s="212"/>
      <c r="I100" s="212"/>
      <c r="J100" s="212"/>
      <c r="K100" s="263"/>
    </row>
    <row r="101" spans="2:11">
      <c r="B101" s="260">
        <v>70</v>
      </c>
      <c r="C101" s="261" t="s">
        <v>406</v>
      </c>
      <c r="D101" s="264" t="s">
        <v>508</v>
      </c>
      <c r="E101" s="212"/>
      <c r="F101" s="212"/>
      <c r="G101" s="212"/>
      <c r="H101" s="212"/>
      <c r="I101" s="212"/>
      <c r="J101" s="212"/>
      <c r="K101" s="263"/>
    </row>
    <row r="102" spans="2:11">
      <c r="B102" s="260">
        <v>80</v>
      </c>
      <c r="C102" s="261" t="s">
        <v>416</v>
      </c>
      <c r="D102" s="264" t="s">
        <v>510</v>
      </c>
      <c r="E102" s="212"/>
      <c r="F102" s="212"/>
      <c r="G102" s="212"/>
      <c r="H102" s="212"/>
      <c r="I102" s="212"/>
      <c r="J102" s="212"/>
      <c r="K102" s="263"/>
    </row>
    <row r="103" spans="2:11">
      <c r="B103" s="260">
        <v>90</v>
      </c>
      <c r="C103" s="261" t="s">
        <v>426</v>
      </c>
      <c r="D103" s="262" t="s">
        <v>509</v>
      </c>
      <c r="E103" s="212"/>
      <c r="F103" s="212"/>
      <c r="G103" s="212"/>
      <c r="H103" s="212"/>
      <c r="I103" s="212"/>
      <c r="J103" s="212"/>
      <c r="K103" s="263"/>
    </row>
    <row r="104" spans="2:11">
      <c r="B104" s="260">
        <v>106</v>
      </c>
      <c r="C104" s="261" t="s">
        <v>25</v>
      </c>
      <c r="D104" s="262" t="s">
        <v>482</v>
      </c>
      <c r="E104" s="212"/>
      <c r="F104" s="212"/>
      <c r="G104" s="212"/>
      <c r="H104" s="212"/>
      <c r="I104" s="212"/>
      <c r="J104" s="212"/>
      <c r="K104" s="263"/>
    </row>
    <row r="105" spans="2:11">
      <c r="B105" s="260">
        <v>116</v>
      </c>
      <c r="C105" s="261" t="s">
        <v>35</v>
      </c>
      <c r="D105" s="262" t="s">
        <v>482</v>
      </c>
      <c r="E105" s="212"/>
      <c r="F105" s="212"/>
      <c r="G105" s="212"/>
      <c r="H105" s="212"/>
      <c r="I105" s="212"/>
      <c r="J105" s="212"/>
      <c r="K105" s="263"/>
    </row>
    <row r="106" spans="2:11">
      <c r="B106" s="260">
        <v>126</v>
      </c>
      <c r="C106" s="261" t="s">
        <v>45</v>
      </c>
      <c r="D106" s="262" t="s">
        <v>482</v>
      </c>
      <c r="E106" s="212"/>
      <c r="F106" s="212"/>
      <c r="G106" s="212"/>
      <c r="H106" s="212"/>
      <c r="I106" s="212"/>
      <c r="J106" s="212"/>
      <c r="K106" s="263"/>
    </row>
    <row r="107" spans="2:11">
      <c r="B107" s="260">
        <v>136</v>
      </c>
      <c r="C107" s="261" t="s">
        <v>55</v>
      </c>
      <c r="D107" s="262" t="s">
        <v>482</v>
      </c>
      <c r="E107" s="212"/>
      <c r="F107" s="212"/>
      <c r="G107" s="212"/>
      <c r="H107" s="212"/>
      <c r="I107" s="212"/>
      <c r="J107" s="212"/>
      <c r="K107" s="263"/>
    </row>
    <row r="108" spans="2:11">
      <c r="B108" s="260">
        <v>97</v>
      </c>
      <c r="C108" s="261" t="s">
        <v>9</v>
      </c>
      <c r="D108" s="262" t="s">
        <v>482</v>
      </c>
      <c r="E108" s="212"/>
      <c r="F108" s="212"/>
      <c r="G108" s="212"/>
      <c r="H108" s="212"/>
      <c r="I108" s="212"/>
      <c r="J108" s="212"/>
      <c r="K108" s="263"/>
    </row>
    <row r="109" spans="2:11">
      <c r="B109" s="260">
        <v>107</v>
      </c>
      <c r="C109" s="261" t="s">
        <v>26</v>
      </c>
      <c r="D109" s="262" t="s">
        <v>482</v>
      </c>
      <c r="E109" s="212"/>
      <c r="F109" s="212"/>
      <c r="G109" s="212"/>
      <c r="H109" s="212"/>
      <c r="I109" s="212"/>
      <c r="J109" s="212"/>
      <c r="K109" s="263"/>
    </row>
    <row r="110" spans="2:11">
      <c r="B110" s="260">
        <v>98</v>
      </c>
      <c r="C110" s="261" t="s">
        <v>10</v>
      </c>
      <c r="D110" s="262" t="s">
        <v>482</v>
      </c>
      <c r="E110" s="212"/>
      <c r="F110" s="212"/>
      <c r="G110" s="212"/>
      <c r="H110" s="212"/>
      <c r="I110" s="212"/>
      <c r="J110" s="212"/>
      <c r="K110" s="263"/>
    </row>
    <row r="111" spans="2:11">
      <c r="B111" s="260">
        <v>108</v>
      </c>
      <c r="C111" s="261" t="s">
        <v>27</v>
      </c>
      <c r="D111" s="262" t="s">
        <v>482</v>
      </c>
      <c r="E111" s="212"/>
      <c r="F111" s="212"/>
      <c r="G111" s="212"/>
      <c r="H111" s="212"/>
      <c r="I111" s="212"/>
      <c r="J111" s="212"/>
      <c r="K111" s="263"/>
    </row>
    <row r="112" spans="2:11">
      <c r="B112" s="260">
        <v>109</v>
      </c>
      <c r="C112" s="261" t="s">
        <v>28</v>
      </c>
      <c r="D112" s="262" t="s">
        <v>482</v>
      </c>
      <c r="E112" s="212"/>
      <c r="F112" s="212"/>
      <c r="G112" s="212"/>
      <c r="H112" s="212"/>
      <c r="I112" s="212"/>
      <c r="J112" s="212"/>
      <c r="K112" s="263"/>
    </row>
    <row r="113" spans="2:11">
      <c r="B113" s="260">
        <v>100</v>
      </c>
      <c r="C113" s="261" t="s">
        <v>12</v>
      </c>
      <c r="D113" s="262" t="s">
        <v>482</v>
      </c>
      <c r="E113" s="212"/>
      <c r="F113" s="212"/>
      <c r="G113" s="212"/>
      <c r="H113" s="212"/>
      <c r="I113" s="212"/>
      <c r="J113" s="212"/>
      <c r="K113" s="263"/>
    </row>
    <row r="114" spans="2:11">
      <c r="B114" s="260">
        <v>110</v>
      </c>
      <c r="C114" s="261" t="s">
        <v>29</v>
      </c>
      <c r="D114" s="262" t="s">
        <v>482</v>
      </c>
      <c r="E114" s="212"/>
      <c r="F114" s="212"/>
      <c r="G114" s="212"/>
      <c r="H114" s="212"/>
      <c r="I114" s="212"/>
      <c r="J114" s="212"/>
      <c r="K114" s="263"/>
    </row>
    <row r="115" spans="2:11">
      <c r="B115" s="260">
        <v>30</v>
      </c>
      <c r="C115" s="261" t="s">
        <v>366</v>
      </c>
      <c r="D115" s="262" t="s">
        <v>511</v>
      </c>
      <c r="E115" s="212"/>
      <c r="F115" s="212"/>
      <c r="G115" s="212"/>
      <c r="H115" s="212"/>
      <c r="I115" s="212"/>
      <c r="J115" s="212"/>
      <c r="K115" s="263"/>
    </row>
    <row r="116" spans="2:11">
      <c r="B116" s="260">
        <v>29</v>
      </c>
      <c r="C116" s="261" t="s">
        <v>365</v>
      </c>
      <c r="D116" s="326" t="s">
        <v>500</v>
      </c>
      <c r="E116" s="325" t="s">
        <v>867</v>
      </c>
      <c r="F116" s="325"/>
      <c r="G116" s="325" t="s">
        <v>1039</v>
      </c>
      <c r="H116" s="212"/>
      <c r="I116" s="212"/>
      <c r="J116" s="212"/>
      <c r="K116" s="263"/>
    </row>
    <row r="117" spans="2:11">
      <c r="B117" s="260">
        <v>39</v>
      </c>
      <c r="C117" s="261" t="s">
        <v>375</v>
      </c>
      <c r="D117" s="326" t="s">
        <v>483</v>
      </c>
      <c r="E117" s="325" t="s">
        <v>867</v>
      </c>
      <c r="F117" s="212"/>
      <c r="G117" s="325" t="s">
        <v>972</v>
      </c>
      <c r="H117" s="212"/>
      <c r="I117" s="212"/>
      <c r="J117" s="212"/>
      <c r="K117" s="263"/>
    </row>
    <row r="118" spans="2:11">
      <c r="B118" s="260">
        <v>40</v>
      </c>
      <c r="C118" s="261" t="s">
        <v>376</v>
      </c>
      <c r="D118" s="326" t="s">
        <v>492</v>
      </c>
      <c r="E118" s="325" t="s">
        <v>867</v>
      </c>
      <c r="F118" s="212"/>
      <c r="G118" s="325" t="s">
        <v>973</v>
      </c>
      <c r="H118" s="212"/>
      <c r="I118" s="212"/>
      <c r="J118" s="212"/>
      <c r="K118" s="263"/>
    </row>
    <row r="119" spans="2:11">
      <c r="B119" s="260">
        <v>119</v>
      </c>
      <c r="C119" s="261" t="s">
        <v>38</v>
      </c>
      <c r="D119" s="326" t="s">
        <v>506</v>
      </c>
      <c r="E119" s="325" t="s">
        <v>867</v>
      </c>
      <c r="F119" s="325"/>
      <c r="G119" s="325"/>
      <c r="H119" s="212"/>
      <c r="I119" s="212"/>
      <c r="J119" s="212"/>
      <c r="K119" s="263"/>
    </row>
    <row r="120" spans="2:11">
      <c r="B120" s="260">
        <v>120</v>
      </c>
      <c r="C120" s="261" t="s">
        <v>39</v>
      </c>
      <c r="D120" s="326" t="s">
        <v>496</v>
      </c>
      <c r="E120" s="325" t="s">
        <v>867</v>
      </c>
      <c r="F120" s="212"/>
      <c r="G120" s="325" t="s">
        <v>287</v>
      </c>
      <c r="H120" s="212"/>
      <c r="I120" s="212"/>
      <c r="J120" s="212"/>
      <c r="K120" s="263"/>
    </row>
    <row r="121" spans="2:11">
      <c r="B121" s="42">
        <v>267</v>
      </c>
      <c r="C121" s="21" t="s">
        <v>186</v>
      </c>
      <c r="D121" s="22" t="s">
        <v>485</v>
      </c>
      <c r="E121" s="323" t="s">
        <v>871</v>
      </c>
      <c r="F121" s="5"/>
      <c r="G121" s="320" t="s">
        <v>978</v>
      </c>
      <c r="H121" s="5"/>
      <c r="I121" s="5"/>
      <c r="J121" s="5"/>
      <c r="K121" s="14"/>
    </row>
    <row r="122" spans="2:11">
      <c r="B122" s="42">
        <v>268</v>
      </c>
      <c r="C122" s="21" t="s">
        <v>187</v>
      </c>
      <c r="D122" s="22" t="s">
        <v>494</v>
      </c>
      <c r="E122" s="323" t="s">
        <v>871</v>
      </c>
      <c r="F122" s="5"/>
      <c r="G122" s="320" t="s">
        <v>979</v>
      </c>
      <c r="H122" s="5"/>
      <c r="I122" s="5"/>
      <c r="J122" s="5"/>
      <c r="K122" s="14"/>
    </row>
    <row r="123" spans="2:11">
      <c r="B123" s="42">
        <v>258</v>
      </c>
      <c r="C123" s="21" t="s">
        <v>177</v>
      </c>
      <c r="D123" s="22" t="s">
        <v>493</v>
      </c>
      <c r="E123" s="5"/>
      <c r="F123" s="5"/>
      <c r="G123" s="5"/>
      <c r="H123" s="5"/>
      <c r="I123" s="5"/>
      <c r="J123" s="5"/>
      <c r="K123" s="14"/>
    </row>
    <row r="124" spans="2:11">
      <c r="B124" s="42">
        <v>257</v>
      </c>
      <c r="C124" s="21" t="s">
        <v>176</v>
      </c>
      <c r="D124" s="22" t="s">
        <v>484</v>
      </c>
      <c r="E124" s="323" t="s">
        <v>871</v>
      </c>
      <c r="F124" s="323"/>
      <c r="G124" s="332" t="s">
        <v>87</v>
      </c>
      <c r="H124" s="5"/>
      <c r="I124" s="5"/>
      <c r="J124" s="5"/>
      <c r="K124" s="14"/>
    </row>
    <row r="125" spans="2:11">
      <c r="B125" s="42">
        <v>260</v>
      </c>
      <c r="C125" s="21" t="s">
        <v>179</v>
      </c>
      <c r="D125" s="22" t="s">
        <v>516</v>
      </c>
      <c r="E125" s="5"/>
      <c r="F125" s="5"/>
      <c r="G125" s="5"/>
      <c r="H125" s="5"/>
      <c r="I125" s="5"/>
      <c r="J125" s="5"/>
      <c r="K125" s="14"/>
    </row>
    <row r="126" spans="2:11">
      <c r="B126" s="42">
        <v>259</v>
      </c>
      <c r="C126" s="21" t="s">
        <v>178</v>
      </c>
      <c r="D126" s="22" t="s">
        <v>504</v>
      </c>
      <c r="E126" s="323" t="s">
        <v>871</v>
      </c>
      <c r="F126" s="323"/>
      <c r="G126" s="332" t="s">
        <v>97</v>
      </c>
      <c r="H126" s="5"/>
      <c r="I126" s="5"/>
      <c r="J126" s="5"/>
      <c r="K126" s="14"/>
    </row>
    <row r="127" spans="2:11">
      <c r="B127" s="42">
        <v>206</v>
      </c>
      <c r="C127" s="21" t="s">
        <v>125</v>
      </c>
      <c r="D127" s="22" t="s">
        <v>475</v>
      </c>
      <c r="E127" s="5"/>
      <c r="F127" s="5"/>
      <c r="G127" s="5"/>
      <c r="H127" s="5"/>
      <c r="I127" s="5"/>
      <c r="J127" s="5"/>
      <c r="K127" s="14"/>
    </row>
    <row r="128" spans="2:11">
      <c r="B128" s="42">
        <v>216</v>
      </c>
      <c r="C128" s="21" t="s">
        <v>135</v>
      </c>
      <c r="D128" s="22" t="s">
        <v>475</v>
      </c>
      <c r="E128" s="5"/>
      <c r="F128" s="5"/>
      <c r="G128" s="5"/>
      <c r="H128" s="5"/>
      <c r="I128" s="5"/>
      <c r="J128" s="5"/>
      <c r="K128" s="14"/>
    </row>
    <row r="129" spans="2:11">
      <c r="B129" s="42">
        <v>226</v>
      </c>
      <c r="C129" s="21" t="s">
        <v>145</v>
      </c>
      <c r="D129" s="22" t="s">
        <v>475</v>
      </c>
      <c r="E129" s="5"/>
      <c r="F129" s="5"/>
      <c r="G129" s="5"/>
      <c r="H129" s="5"/>
      <c r="I129" s="5"/>
      <c r="J129" s="5"/>
      <c r="K129" s="14"/>
    </row>
    <row r="130" spans="2:11">
      <c r="B130" s="42">
        <v>236</v>
      </c>
      <c r="C130" s="21" t="s">
        <v>155</v>
      </c>
      <c r="D130" s="22" t="s">
        <v>475</v>
      </c>
      <c r="E130" s="5"/>
      <c r="F130" s="5"/>
      <c r="G130" s="5"/>
      <c r="H130" s="5"/>
      <c r="I130" s="5"/>
      <c r="J130" s="5"/>
      <c r="K130" s="14"/>
    </row>
    <row r="131" spans="2:11">
      <c r="B131" s="42">
        <v>246</v>
      </c>
      <c r="C131" s="21" t="s">
        <v>165</v>
      </c>
      <c r="D131" s="22" t="s">
        <v>475</v>
      </c>
      <c r="E131" s="5"/>
      <c r="F131" s="5"/>
      <c r="G131" s="5"/>
      <c r="H131" s="5"/>
      <c r="I131" s="5"/>
      <c r="J131" s="5"/>
      <c r="K131" s="14"/>
    </row>
    <row r="132" spans="2:11">
      <c r="B132" s="42">
        <v>256</v>
      </c>
      <c r="C132" s="21" t="s">
        <v>175</v>
      </c>
      <c r="D132" s="22" t="s">
        <v>475</v>
      </c>
      <c r="E132" s="5"/>
      <c r="F132" s="5"/>
      <c r="G132" s="5"/>
      <c r="H132" s="5"/>
      <c r="I132" s="5"/>
      <c r="J132" s="5"/>
      <c r="K132" s="14"/>
    </row>
    <row r="133" spans="2:11">
      <c r="B133" s="42">
        <v>237</v>
      </c>
      <c r="C133" s="21" t="s">
        <v>156</v>
      </c>
      <c r="D133" s="22" t="s">
        <v>475</v>
      </c>
      <c r="E133" s="5"/>
      <c r="F133" s="5"/>
      <c r="G133" s="5"/>
      <c r="H133" s="5"/>
      <c r="I133" s="5"/>
      <c r="J133" s="5"/>
      <c r="K133" s="14"/>
    </row>
    <row r="134" spans="2:11">
      <c r="B134" s="42">
        <v>247</v>
      </c>
      <c r="C134" s="21" t="s">
        <v>166</v>
      </c>
      <c r="D134" s="22" t="s">
        <v>475</v>
      </c>
      <c r="E134" s="5"/>
      <c r="F134" s="5"/>
      <c r="G134" s="5"/>
      <c r="H134" s="5"/>
      <c r="I134" s="5"/>
      <c r="J134" s="5"/>
      <c r="K134" s="14"/>
    </row>
    <row r="135" spans="2:11">
      <c r="B135" s="42">
        <v>238</v>
      </c>
      <c r="C135" s="21" t="s">
        <v>157</v>
      </c>
      <c r="D135" s="22" t="s">
        <v>475</v>
      </c>
      <c r="E135" s="5"/>
      <c r="F135" s="5"/>
      <c r="G135" s="5"/>
      <c r="H135" s="5"/>
      <c r="I135" s="5"/>
      <c r="J135" s="5"/>
      <c r="K135" s="14"/>
    </row>
    <row r="136" spans="2:11">
      <c r="B136" s="42">
        <v>248</v>
      </c>
      <c r="C136" s="21" t="s">
        <v>167</v>
      </c>
      <c r="D136" s="22" t="s">
        <v>475</v>
      </c>
      <c r="E136" s="5"/>
      <c r="F136" s="5"/>
      <c r="G136" s="5"/>
      <c r="H136" s="5"/>
      <c r="I136" s="5"/>
      <c r="J136" s="5"/>
      <c r="K136" s="14"/>
    </row>
    <row r="137" spans="2:11">
      <c r="B137" s="42">
        <v>239</v>
      </c>
      <c r="C137" s="21" t="s">
        <v>158</v>
      </c>
      <c r="D137" s="22" t="s">
        <v>475</v>
      </c>
      <c r="E137" s="5"/>
      <c r="F137" s="5"/>
      <c r="G137" s="5"/>
      <c r="H137" s="5"/>
      <c r="I137" s="5"/>
      <c r="J137" s="5"/>
      <c r="K137" s="14"/>
    </row>
    <row r="138" spans="2:11">
      <c r="B138" s="42">
        <v>240</v>
      </c>
      <c r="C138" s="21" t="s">
        <v>159</v>
      </c>
      <c r="D138" s="22" t="s">
        <v>514</v>
      </c>
      <c r="E138" s="5"/>
      <c r="F138" s="5"/>
      <c r="G138" s="5"/>
      <c r="H138" s="5"/>
      <c r="I138" s="5"/>
      <c r="J138" s="5"/>
      <c r="K138" s="14"/>
    </row>
    <row r="139" spans="2:11">
      <c r="B139" s="42">
        <v>250</v>
      </c>
      <c r="C139" s="21" t="s">
        <v>169</v>
      </c>
      <c r="D139" s="22" t="s">
        <v>515</v>
      </c>
      <c r="E139" s="5"/>
      <c r="F139" s="5"/>
      <c r="G139" s="5"/>
      <c r="H139" s="5"/>
      <c r="I139" s="5"/>
      <c r="J139" s="5"/>
      <c r="K139" s="14"/>
    </row>
    <row r="140" spans="2:11">
      <c r="B140" s="42">
        <v>249</v>
      </c>
      <c r="C140" s="21" t="s">
        <v>168</v>
      </c>
      <c r="D140" s="22" t="s">
        <v>503</v>
      </c>
      <c r="E140" s="5"/>
      <c r="F140" s="5"/>
      <c r="G140" s="5"/>
      <c r="H140" s="5"/>
      <c r="I140" s="5"/>
      <c r="J140" s="5"/>
      <c r="K140" s="14"/>
    </row>
    <row r="141" spans="2:11">
      <c r="B141" s="42">
        <v>266</v>
      </c>
      <c r="C141" s="21" t="s">
        <v>185</v>
      </c>
      <c r="D141" s="22" t="s">
        <v>476</v>
      </c>
      <c r="E141" s="5"/>
      <c r="F141" s="5"/>
      <c r="G141" s="5"/>
      <c r="H141" s="5"/>
      <c r="I141" s="5"/>
      <c r="J141" s="5"/>
      <c r="K141" s="14"/>
    </row>
    <row r="142" spans="2:11">
      <c r="B142" s="42">
        <v>276</v>
      </c>
      <c r="C142" s="21" t="s">
        <v>195</v>
      </c>
      <c r="D142" s="22" t="s">
        <v>476</v>
      </c>
      <c r="E142" s="5"/>
      <c r="F142" s="5"/>
      <c r="G142" s="5"/>
      <c r="H142" s="5"/>
      <c r="I142" s="5"/>
      <c r="J142" s="5"/>
      <c r="K142" s="14"/>
    </row>
    <row r="143" spans="2:11">
      <c r="B143" s="42">
        <v>286</v>
      </c>
      <c r="C143" s="21" t="s">
        <v>205</v>
      </c>
      <c r="D143" s="22" t="s">
        <v>476</v>
      </c>
      <c r="E143" s="5"/>
      <c r="F143" s="5"/>
      <c r="G143" s="5"/>
      <c r="H143" s="5"/>
      <c r="I143" s="5"/>
      <c r="J143" s="5"/>
      <c r="K143" s="14"/>
    </row>
    <row r="144" spans="2:11">
      <c r="B144" s="42">
        <v>296</v>
      </c>
      <c r="C144" s="21" t="s">
        <v>215</v>
      </c>
      <c r="D144" s="22" t="s">
        <v>476</v>
      </c>
      <c r="E144" s="5"/>
      <c r="F144" s="5"/>
      <c r="G144" s="5"/>
      <c r="H144" s="5"/>
      <c r="I144" s="5"/>
      <c r="J144" s="5"/>
      <c r="K144" s="14"/>
    </row>
    <row r="145" spans="2:11">
      <c r="B145" s="42">
        <v>306</v>
      </c>
      <c r="C145" s="21" t="s">
        <v>225</v>
      </c>
      <c r="D145" s="22" t="s">
        <v>476</v>
      </c>
      <c r="E145" s="5"/>
      <c r="F145" s="5"/>
      <c r="G145" s="5"/>
      <c r="H145" s="5"/>
      <c r="I145" s="5"/>
      <c r="J145" s="5"/>
      <c r="K145" s="14"/>
    </row>
    <row r="146" spans="2:11">
      <c r="B146" s="42">
        <v>316</v>
      </c>
      <c r="C146" s="21" t="s">
        <v>235</v>
      </c>
      <c r="D146" s="22" t="s">
        <v>476</v>
      </c>
      <c r="E146" s="5"/>
      <c r="F146" s="5"/>
      <c r="G146" s="5"/>
      <c r="H146" s="5"/>
      <c r="I146" s="5"/>
      <c r="J146" s="5"/>
      <c r="K146" s="14"/>
    </row>
    <row r="147" spans="2:11">
      <c r="B147" s="42">
        <v>326</v>
      </c>
      <c r="C147" s="21" t="s">
        <v>245</v>
      </c>
      <c r="D147" s="22" t="s">
        <v>476</v>
      </c>
      <c r="E147" s="5"/>
      <c r="F147" s="5"/>
      <c r="G147" s="5"/>
      <c r="H147" s="5"/>
      <c r="I147" s="5"/>
      <c r="J147" s="5"/>
      <c r="K147" s="14"/>
    </row>
    <row r="148" spans="2:11">
      <c r="B148" s="42">
        <v>328</v>
      </c>
      <c r="C148" s="21" t="s">
        <v>247</v>
      </c>
      <c r="D148" s="22" t="s">
        <v>476</v>
      </c>
      <c r="E148" s="5"/>
      <c r="F148" s="5"/>
      <c r="G148" s="5"/>
      <c r="H148" s="5"/>
      <c r="I148" s="5"/>
      <c r="J148" s="5"/>
      <c r="K148" s="14"/>
    </row>
    <row r="149" spans="2:11">
      <c r="B149" s="42">
        <v>329</v>
      </c>
      <c r="C149" s="21" t="s">
        <v>248</v>
      </c>
      <c r="D149" s="22" t="s">
        <v>476</v>
      </c>
      <c r="E149" s="5"/>
      <c r="F149" s="5"/>
      <c r="G149" s="5"/>
      <c r="H149" s="5"/>
      <c r="I149" s="5"/>
      <c r="J149" s="5"/>
      <c r="K149" s="14"/>
    </row>
    <row r="150" spans="2:11">
      <c r="B150" s="42">
        <v>330</v>
      </c>
      <c r="C150" s="21" t="s">
        <v>249</v>
      </c>
      <c r="D150" s="22" t="s">
        <v>476</v>
      </c>
      <c r="E150" s="5"/>
      <c r="F150" s="5"/>
      <c r="G150" s="5"/>
      <c r="H150" s="5"/>
      <c r="I150" s="5"/>
      <c r="J150" s="5"/>
      <c r="K150" s="14"/>
    </row>
    <row r="151" spans="2:11">
      <c r="B151" s="42">
        <v>219</v>
      </c>
      <c r="C151" s="21" t="s">
        <v>138</v>
      </c>
      <c r="D151" s="22" t="s">
        <v>501</v>
      </c>
      <c r="E151" s="5"/>
      <c r="F151" s="5"/>
      <c r="G151" s="5"/>
      <c r="H151" s="5"/>
      <c r="I151" s="5"/>
      <c r="J151" s="5"/>
      <c r="K151" s="14"/>
    </row>
    <row r="152" spans="2:11">
      <c r="B152" s="42">
        <v>220</v>
      </c>
      <c r="C152" s="21" t="s">
        <v>139</v>
      </c>
      <c r="D152" s="327" t="s">
        <v>512</v>
      </c>
      <c r="E152" s="323" t="s">
        <v>871</v>
      </c>
      <c r="F152" s="323"/>
      <c r="G152" s="320" t="s">
        <v>27</v>
      </c>
      <c r="H152" s="5"/>
      <c r="I152" s="5"/>
      <c r="J152" s="5"/>
      <c r="K152" s="14"/>
    </row>
    <row r="153" spans="2:11">
      <c r="B153" s="42">
        <v>229</v>
      </c>
      <c r="C153" s="21" t="s">
        <v>148</v>
      </c>
      <c r="D153" s="22" t="s">
        <v>502</v>
      </c>
      <c r="E153" s="323" t="s">
        <v>871</v>
      </c>
      <c r="F153" s="13"/>
      <c r="G153" s="320" t="s">
        <v>1037</v>
      </c>
      <c r="H153" s="5"/>
      <c r="I153" s="5"/>
      <c r="J153" s="5"/>
      <c r="K153" s="14"/>
    </row>
    <row r="154" spans="2:11">
      <c r="B154" s="42">
        <v>230</v>
      </c>
      <c r="C154" s="21" t="s">
        <v>149</v>
      </c>
      <c r="D154" s="22" t="s">
        <v>513</v>
      </c>
      <c r="E154" s="323" t="s">
        <v>871</v>
      </c>
      <c r="F154" s="13"/>
      <c r="G154" s="332" t="s">
        <v>1038</v>
      </c>
      <c r="H154" s="5"/>
      <c r="I154" s="5"/>
      <c r="J154" s="5"/>
      <c r="K154" s="14"/>
    </row>
    <row r="155" spans="2:11">
      <c r="B155" s="42">
        <v>269</v>
      </c>
      <c r="C155" s="21" t="s">
        <v>188</v>
      </c>
      <c r="D155" s="327" t="s">
        <v>517</v>
      </c>
      <c r="E155" s="323" t="s">
        <v>871</v>
      </c>
      <c r="F155" s="13"/>
      <c r="G155" s="324" t="s">
        <v>317</v>
      </c>
      <c r="H155" s="5"/>
      <c r="I155" s="5"/>
      <c r="J155" s="5"/>
      <c r="K155" s="14"/>
    </row>
    <row r="156" spans="2:11">
      <c r="B156" s="42">
        <v>270</v>
      </c>
      <c r="C156" s="21" t="s">
        <v>189</v>
      </c>
      <c r="D156" s="327" t="s">
        <v>505</v>
      </c>
      <c r="E156" s="323" t="s">
        <v>871</v>
      </c>
      <c r="F156" s="5"/>
      <c r="G156" s="320" t="s">
        <v>974</v>
      </c>
      <c r="H156" s="5"/>
      <c r="I156" s="5"/>
      <c r="J156" s="5"/>
      <c r="K156" s="14"/>
    </row>
    <row r="157" spans="2:11">
      <c r="B157" s="197">
        <v>400</v>
      </c>
      <c r="C157" s="198" t="s">
        <v>319</v>
      </c>
      <c r="D157" s="292" t="s">
        <v>709</v>
      </c>
      <c r="E157" s="199"/>
      <c r="F157" s="199"/>
      <c r="G157" s="199"/>
      <c r="H157" s="199"/>
      <c r="I157" s="199"/>
      <c r="J157" s="199"/>
      <c r="K157" s="200"/>
    </row>
    <row r="158" spans="2:11">
      <c r="B158" s="197">
        <v>399</v>
      </c>
      <c r="C158" s="198" t="s">
        <v>318</v>
      </c>
      <c r="D158" s="292" t="s">
        <v>687</v>
      </c>
      <c r="E158" s="199"/>
      <c r="F158" s="199"/>
      <c r="G158" s="199"/>
      <c r="H158" s="199"/>
      <c r="I158" s="199"/>
      <c r="J158" s="199"/>
      <c r="K158" s="200"/>
    </row>
    <row r="159" spans="2:11">
      <c r="B159" s="197">
        <v>398</v>
      </c>
      <c r="C159" s="198" t="s">
        <v>317</v>
      </c>
      <c r="D159" s="292" t="s">
        <v>665</v>
      </c>
      <c r="E159" s="199"/>
      <c r="F159" s="199"/>
      <c r="G159" s="199"/>
      <c r="H159" s="199"/>
      <c r="I159" s="199"/>
      <c r="J159" s="199"/>
      <c r="K159" s="200"/>
    </row>
    <row r="160" spans="2:11">
      <c r="B160" s="197">
        <v>397</v>
      </c>
      <c r="C160" s="198" t="s">
        <v>316</v>
      </c>
      <c r="D160" s="292" t="s">
        <v>642</v>
      </c>
      <c r="E160" s="199"/>
      <c r="F160" s="199"/>
      <c r="G160" s="199"/>
      <c r="H160" s="199"/>
      <c r="I160" s="199"/>
      <c r="J160" s="199"/>
      <c r="K160" s="200"/>
    </row>
    <row r="161" spans="2:11">
      <c r="B161" s="197">
        <v>366</v>
      </c>
      <c r="C161" s="198" t="s">
        <v>285</v>
      </c>
      <c r="D161" s="292" t="s">
        <v>618</v>
      </c>
      <c r="E161" s="199"/>
      <c r="F161" s="199"/>
      <c r="G161" s="199"/>
      <c r="H161" s="199"/>
      <c r="I161" s="199"/>
      <c r="J161" s="199"/>
      <c r="K161" s="200"/>
    </row>
    <row r="162" spans="2:11">
      <c r="B162" s="197">
        <v>376</v>
      </c>
      <c r="C162" s="198" t="s">
        <v>295</v>
      </c>
      <c r="D162" s="292" t="s">
        <v>619</v>
      </c>
      <c r="E162" s="199"/>
      <c r="F162" s="199"/>
      <c r="G162" s="199"/>
      <c r="H162" s="199"/>
      <c r="I162" s="199"/>
      <c r="J162" s="199"/>
      <c r="K162" s="200"/>
    </row>
    <row r="163" spans="2:11">
      <c r="B163" s="197">
        <v>390</v>
      </c>
      <c r="C163" s="198" t="s">
        <v>309</v>
      </c>
      <c r="D163" s="292" t="s">
        <v>708</v>
      </c>
      <c r="E163" s="199"/>
      <c r="F163" s="199"/>
      <c r="G163" s="199"/>
      <c r="H163" s="199"/>
      <c r="I163" s="199"/>
      <c r="J163" s="199"/>
      <c r="K163" s="200"/>
    </row>
    <row r="164" spans="2:11">
      <c r="B164" s="197">
        <v>389</v>
      </c>
      <c r="C164" s="198" t="s">
        <v>308</v>
      </c>
      <c r="D164" s="292" t="s">
        <v>686</v>
      </c>
      <c r="E164" s="199"/>
      <c r="F164" s="199"/>
      <c r="G164" s="199"/>
      <c r="H164" s="199"/>
      <c r="I164" s="199"/>
      <c r="J164" s="199"/>
      <c r="K164" s="200"/>
    </row>
    <row r="165" spans="2:11">
      <c r="B165" s="197">
        <v>370</v>
      </c>
      <c r="C165" s="198" t="s">
        <v>289</v>
      </c>
      <c r="D165" s="292" t="s">
        <v>706</v>
      </c>
      <c r="E165" s="199"/>
      <c r="F165" s="199"/>
      <c r="G165" s="199"/>
      <c r="H165" s="199"/>
      <c r="I165" s="199"/>
      <c r="J165" s="199"/>
      <c r="K165" s="200"/>
    </row>
    <row r="166" spans="2:11">
      <c r="B166" s="197">
        <v>369</v>
      </c>
      <c r="C166" s="198" t="s">
        <v>288</v>
      </c>
      <c r="D166" s="292" t="s">
        <v>684</v>
      </c>
      <c r="E166" s="199"/>
      <c r="F166" s="199"/>
      <c r="G166" s="199"/>
      <c r="H166" s="199"/>
      <c r="I166" s="199"/>
      <c r="J166" s="199"/>
      <c r="K166" s="200"/>
    </row>
    <row r="167" spans="2:11">
      <c r="B167" s="197">
        <v>377</v>
      </c>
      <c r="C167" s="198" t="s">
        <v>296</v>
      </c>
      <c r="D167" s="292" t="s">
        <v>641</v>
      </c>
      <c r="E167" s="199"/>
      <c r="F167" s="199"/>
      <c r="G167" s="199"/>
      <c r="H167" s="199"/>
      <c r="I167" s="199"/>
      <c r="J167" s="199"/>
      <c r="K167" s="200"/>
    </row>
    <row r="168" spans="2:11">
      <c r="B168" s="197">
        <v>378</v>
      </c>
      <c r="C168" s="198" t="s">
        <v>297</v>
      </c>
      <c r="D168" s="292" t="s">
        <v>664</v>
      </c>
      <c r="E168" s="199"/>
      <c r="F168" s="199"/>
      <c r="G168" s="199"/>
      <c r="H168" s="199"/>
      <c r="I168" s="199"/>
      <c r="J168" s="199"/>
      <c r="K168" s="200"/>
    </row>
    <row r="169" spans="2:11">
      <c r="B169" s="197">
        <v>367</v>
      </c>
      <c r="C169" s="198" t="s">
        <v>286</v>
      </c>
      <c r="D169" s="292" t="s">
        <v>640</v>
      </c>
      <c r="E169" s="199"/>
      <c r="F169" s="199"/>
      <c r="G169" s="199"/>
      <c r="H169" s="199"/>
      <c r="I169" s="199"/>
      <c r="J169" s="199"/>
      <c r="K169" s="200"/>
    </row>
    <row r="170" spans="2:11">
      <c r="B170" s="197">
        <v>368</v>
      </c>
      <c r="C170" s="198" t="s">
        <v>287</v>
      </c>
      <c r="D170" s="292" t="s">
        <v>663</v>
      </c>
      <c r="E170" s="199"/>
      <c r="F170" s="199"/>
      <c r="G170" s="199"/>
      <c r="H170" s="199"/>
      <c r="I170" s="199"/>
      <c r="J170" s="199"/>
      <c r="K170" s="200"/>
    </row>
    <row r="171" spans="2:11">
      <c r="B171" s="197">
        <v>380</v>
      </c>
      <c r="C171" s="198" t="s">
        <v>299</v>
      </c>
      <c r="D171" s="292" t="s">
        <v>707</v>
      </c>
      <c r="E171" s="199"/>
      <c r="F171" s="199"/>
      <c r="G171" s="199"/>
      <c r="H171" s="199"/>
      <c r="I171" s="199"/>
      <c r="J171" s="199"/>
      <c r="K171" s="200"/>
    </row>
    <row r="172" spans="2:11">
      <c r="B172" s="197">
        <v>379</v>
      </c>
      <c r="C172" s="198" t="s">
        <v>298</v>
      </c>
      <c r="D172" s="292" t="s">
        <v>685</v>
      </c>
      <c r="E172" s="199"/>
      <c r="F172" s="199"/>
      <c r="G172" s="199"/>
      <c r="H172" s="199"/>
      <c r="I172" s="199"/>
      <c r="J172" s="199"/>
      <c r="K172" s="200"/>
    </row>
    <row r="173" spans="2:11">
      <c r="B173" s="197">
        <v>394</v>
      </c>
      <c r="C173" s="198" t="s">
        <v>313</v>
      </c>
      <c r="D173" s="292" t="s">
        <v>599</v>
      </c>
      <c r="E173" s="199"/>
      <c r="F173" s="199"/>
      <c r="G173" s="199"/>
      <c r="H173" s="199"/>
      <c r="I173" s="199"/>
      <c r="J173" s="199"/>
      <c r="K173" s="200"/>
    </row>
    <row r="174" spans="2:11">
      <c r="B174" s="197">
        <v>384</v>
      </c>
      <c r="C174" s="198" t="s">
        <v>303</v>
      </c>
      <c r="D174" s="292" t="s">
        <v>598</v>
      </c>
      <c r="E174" s="199"/>
      <c r="F174" s="199"/>
      <c r="G174" s="199"/>
      <c r="H174" s="199"/>
      <c r="I174" s="199"/>
      <c r="J174" s="199"/>
      <c r="K174" s="200"/>
    </row>
    <row r="175" spans="2:11">
      <c r="B175" s="197">
        <v>374</v>
      </c>
      <c r="C175" s="198" t="s">
        <v>293</v>
      </c>
      <c r="D175" s="292" t="s">
        <v>597</v>
      </c>
      <c r="E175" s="199"/>
      <c r="F175" s="199"/>
      <c r="G175" s="199"/>
      <c r="H175" s="199"/>
      <c r="I175" s="199"/>
      <c r="J175" s="199"/>
      <c r="K175" s="200"/>
    </row>
    <row r="176" spans="2:11">
      <c r="B176" s="197">
        <v>364</v>
      </c>
      <c r="C176" s="198" t="s">
        <v>283</v>
      </c>
      <c r="D176" s="292" t="s">
        <v>596</v>
      </c>
      <c r="E176" s="199"/>
      <c r="F176" s="199"/>
      <c r="G176" s="199"/>
      <c r="H176" s="199"/>
      <c r="I176" s="199"/>
      <c r="J176" s="199"/>
      <c r="K176" s="200"/>
    </row>
    <row r="177" spans="2:11">
      <c r="B177" s="197">
        <v>375</v>
      </c>
      <c r="C177" s="198" t="s">
        <v>294</v>
      </c>
      <c r="D177" s="292" t="s">
        <v>609</v>
      </c>
      <c r="E177" s="199"/>
      <c r="F177" s="199"/>
      <c r="G177" s="199"/>
      <c r="H177" s="199"/>
      <c r="I177" s="199"/>
      <c r="J177" s="199"/>
      <c r="K177" s="200"/>
    </row>
    <row r="178" spans="2:11">
      <c r="B178" s="197">
        <v>365</v>
      </c>
      <c r="C178" s="198" t="s">
        <v>284</v>
      </c>
      <c r="D178" s="292" t="s">
        <v>608</v>
      </c>
      <c r="E178" s="199"/>
      <c r="F178" s="199"/>
      <c r="G178" s="199"/>
      <c r="H178" s="199"/>
      <c r="I178" s="199"/>
      <c r="J178" s="199"/>
      <c r="K178" s="200"/>
    </row>
    <row r="179" spans="2:11">
      <c r="B179" s="197">
        <v>373</v>
      </c>
      <c r="C179" s="198" t="s">
        <v>292</v>
      </c>
      <c r="D179" s="292" t="s">
        <v>576</v>
      </c>
      <c r="E179" s="199"/>
      <c r="F179" s="199"/>
      <c r="G179" s="199"/>
      <c r="H179" s="199"/>
      <c r="I179" s="199"/>
      <c r="J179" s="199"/>
      <c r="K179" s="200"/>
    </row>
    <row r="180" spans="2:11">
      <c r="B180" s="197">
        <v>363</v>
      </c>
      <c r="C180" s="198" t="s">
        <v>282</v>
      </c>
      <c r="D180" s="292" t="s">
        <v>575</v>
      </c>
      <c r="E180" s="199"/>
      <c r="F180" s="199"/>
      <c r="G180" s="199"/>
      <c r="H180" s="199"/>
      <c r="I180" s="199"/>
      <c r="J180" s="199"/>
      <c r="K180" s="200"/>
    </row>
    <row r="181" spans="2:11">
      <c r="B181" s="197">
        <v>391</v>
      </c>
      <c r="C181" s="198" t="s">
        <v>310</v>
      </c>
      <c r="D181" s="292" t="s">
        <v>533</v>
      </c>
      <c r="E181" s="199"/>
      <c r="F181" s="199"/>
      <c r="G181" s="199"/>
      <c r="H181" s="199"/>
      <c r="I181" s="199"/>
      <c r="J181" s="199"/>
      <c r="K181" s="200"/>
    </row>
    <row r="182" spans="2:11">
      <c r="B182" s="197">
        <v>381</v>
      </c>
      <c r="C182" s="198" t="s">
        <v>300</v>
      </c>
      <c r="D182" s="292" t="s">
        <v>532</v>
      </c>
      <c r="E182" s="199"/>
      <c r="F182" s="199"/>
      <c r="G182" s="199"/>
      <c r="H182" s="199"/>
      <c r="I182" s="199"/>
      <c r="J182" s="199"/>
      <c r="K182" s="200"/>
    </row>
    <row r="183" spans="2:11">
      <c r="B183" s="197">
        <v>371</v>
      </c>
      <c r="C183" s="198" t="s">
        <v>290</v>
      </c>
      <c r="D183" s="292" t="s">
        <v>531</v>
      </c>
      <c r="E183" s="199"/>
      <c r="F183" s="199"/>
      <c r="G183" s="199"/>
      <c r="H183" s="199"/>
      <c r="I183" s="199"/>
      <c r="J183" s="199"/>
      <c r="K183" s="200"/>
    </row>
    <row r="184" spans="2:11">
      <c r="B184" s="197">
        <v>361</v>
      </c>
      <c r="C184" s="198" t="s">
        <v>280</v>
      </c>
      <c r="D184" s="292" t="s">
        <v>530</v>
      </c>
      <c r="E184" s="199"/>
      <c r="F184" s="199"/>
      <c r="G184" s="199"/>
      <c r="H184" s="199"/>
      <c r="I184" s="199"/>
      <c r="J184" s="199"/>
      <c r="K184" s="200"/>
    </row>
    <row r="185" spans="2:11">
      <c r="B185" s="197">
        <v>372</v>
      </c>
      <c r="C185" s="198" t="s">
        <v>291</v>
      </c>
      <c r="D185" s="292" t="s">
        <v>551</v>
      </c>
      <c r="E185" s="199"/>
      <c r="F185" s="199"/>
      <c r="G185" s="199"/>
      <c r="H185" s="199"/>
      <c r="I185" s="199"/>
      <c r="J185" s="199"/>
      <c r="K185" s="200"/>
    </row>
    <row r="186" spans="2:11">
      <c r="B186" s="197">
        <v>362</v>
      </c>
      <c r="C186" s="198" t="s">
        <v>281</v>
      </c>
      <c r="D186" s="292" t="s">
        <v>550</v>
      </c>
      <c r="E186" s="199"/>
      <c r="F186" s="199"/>
      <c r="G186" s="199"/>
      <c r="H186" s="199"/>
      <c r="I186" s="199"/>
      <c r="J186" s="199"/>
      <c r="K186" s="200"/>
    </row>
    <row r="187" spans="2:11">
      <c r="B187" s="197">
        <v>354</v>
      </c>
      <c r="C187" s="198" t="s">
        <v>273</v>
      </c>
      <c r="D187" s="292" t="s">
        <v>595</v>
      </c>
      <c r="E187" s="199"/>
      <c r="F187" s="199"/>
      <c r="G187" s="199"/>
      <c r="H187" s="199"/>
      <c r="I187" s="199"/>
      <c r="J187" s="199"/>
      <c r="K187" s="200"/>
    </row>
    <row r="188" spans="2:11">
      <c r="B188" s="197">
        <v>353</v>
      </c>
      <c r="C188" s="198" t="s">
        <v>272</v>
      </c>
      <c r="D188" s="292" t="s">
        <v>574</v>
      </c>
      <c r="E188" s="199"/>
      <c r="F188" s="199"/>
      <c r="G188" s="199"/>
      <c r="H188" s="199"/>
      <c r="I188" s="199"/>
      <c r="J188" s="199"/>
      <c r="K188" s="200"/>
    </row>
    <row r="189" spans="2:11">
      <c r="B189" s="42">
        <v>93</v>
      </c>
      <c r="C189" s="258" t="s">
        <v>5</v>
      </c>
      <c r="D189" s="257" t="s">
        <v>558</v>
      </c>
      <c r="E189" s="323" t="s">
        <v>872</v>
      </c>
      <c r="F189" s="13"/>
      <c r="G189" s="389" t="s">
        <v>281</v>
      </c>
      <c r="H189" s="338" t="s">
        <v>940</v>
      </c>
      <c r="I189" s="13"/>
      <c r="J189" s="13"/>
      <c r="K189" s="20"/>
    </row>
    <row r="190" spans="2:11">
      <c r="B190" s="42">
        <v>94</v>
      </c>
      <c r="C190" s="258" t="s">
        <v>6</v>
      </c>
      <c r="D190" s="257" t="s">
        <v>583</v>
      </c>
      <c r="E190" s="323" t="s">
        <v>872</v>
      </c>
      <c r="F190" s="13"/>
      <c r="G190" s="389" t="s">
        <v>291</v>
      </c>
      <c r="H190" s="312" t="s">
        <v>940</v>
      </c>
      <c r="I190" s="13"/>
      <c r="J190" s="13"/>
      <c r="K190" s="20"/>
    </row>
    <row r="191" spans="2:11">
      <c r="B191" s="42">
        <v>103</v>
      </c>
      <c r="C191" s="258" t="s">
        <v>22</v>
      </c>
      <c r="D191" s="257" t="s">
        <v>559</v>
      </c>
      <c r="E191" s="323" t="s">
        <v>872</v>
      </c>
      <c r="F191" s="13"/>
      <c r="G191" s="389" t="s">
        <v>300</v>
      </c>
      <c r="H191" s="312" t="s">
        <v>940</v>
      </c>
      <c r="I191" s="13"/>
      <c r="J191" s="13"/>
      <c r="K191" s="20"/>
    </row>
    <row r="192" spans="2:11">
      <c r="B192" s="42">
        <v>104</v>
      </c>
      <c r="C192" s="258" t="s">
        <v>23</v>
      </c>
      <c r="D192" s="257" t="s">
        <v>584</v>
      </c>
      <c r="E192" s="323" t="s">
        <v>872</v>
      </c>
      <c r="F192" s="13"/>
      <c r="G192" s="389" t="s">
        <v>310</v>
      </c>
      <c r="H192" s="312" t="s">
        <v>940</v>
      </c>
      <c r="I192" s="13"/>
      <c r="J192" s="13"/>
      <c r="K192" s="20"/>
    </row>
    <row r="193" spans="2:11">
      <c r="B193" s="42">
        <v>101</v>
      </c>
      <c r="C193" s="258" t="s">
        <v>20</v>
      </c>
      <c r="D193" s="257" t="s">
        <v>522</v>
      </c>
      <c r="E193" s="323" t="s">
        <v>872</v>
      </c>
      <c r="F193" s="13"/>
      <c r="G193" s="389" t="s">
        <v>260</v>
      </c>
      <c r="H193" s="312" t="s">
        <v>940</v>
      </c>
      <c r="I193" s="13"/>
      <c r="J193" s="13"/>
      <c r="K193" s="20"/>
    </row>
    <row r="194" spans="2:11">
      <c r="B194" s="42">
        <v>102</v>
      </c>
      <c r="C194" s="258" t="s">
        <v>21</v>
      </c>
      <c r="D194" s="257" t="s">
        <v>538</v>
      </c>
      <c r="E194" s="323" t="s">
        <v>872</v>
      </c>
      <c r="F194" s="13"/>
      <c r="G194" s="389" t="s">
        <v>270</v>
      </c>
      <c r="H194" s="312" t="s">
        <v>940</v>
      </c>
      <c r="I194" s="13"/>
      <c r="J194" s="13"/>
      <c r="K194" s="20"/>
    </row>
    <row r="195" spans="2:11">
      <c r="B195" s="213">
        <v>95</v>
      </c>
      <c r="C195" s="214" t="s">
        <v>7</v>
      </c>
      <c r="D195" s="215" t="s">
        <v>602</v>
      </c>
      <c r="E195" s="199"/>
      <c r="F195" s="216"/>
      <c r="G195" s="324"/>
      <c r="H195" s="312"/>
      <c r="I195" s="216"/>
      <c r="J195" s="216"/>
      <c r="K195" s="217"/>
    </row>
    <row r="196" spans="2:11">
      <c r="B196" s="213">
        <v>96</v>
      </c>
      <c r="C196" s="214" t="s">
        <v>8</v>
      </c>
      <c r="D196" s="215" t="s">
        <v>616</v>
      </c>
      <c r="E196" s="199"/>
      <c r="F196" s="216"/>
      <c r="G196" s="324"/>
      <c r="H196" s="312"/>
      <c r="I196" s="216"/>
      <c r="J196" s="216"/>
      <c r="K196" s="217"/>
    </row>
    <row r="197" spans="2:11">
      <c r="B197" s="42">
        <v>86</v>
      </c>
      <c r="C197" s="258" t="s">
        <v>422</v>
      </c>
      <c r="D197" s="257" t="s">
        <v>615</v>
      </c>
      <c r="E197" s="323" t="s">
        <v>872</v>
      </c>
      <c r="F197" s="13"/>
      <c r="G197" s="389" t="s">
        <v>302</v>
      </c>
      <c r="H197" s="312" t="s">
        <v>940</v>
      </c>
      <c r="I197" s="13"/>
      <c r="J197" s="13"/>
      <c r="K197" s="20"/>
    </row>
    <row r="198" spans="2:11">
      <c r="B198" s="42">
        <v>85</v>
      </c>
      <c r="C198" s="258" t="s">
        <v>421</v>
      </c>
      <c r="D198" s="257" t="s">
        <v>601</v>
      </c>
      <c r="E198" s="323" t="s">
        <v>872</v>
      </c>
      <c r="F198" s="13"/>
      <c r="G198" s="389" t="s">
        <v>312</v>
      </c>
      <c r="H198" s="312" t="s">
        <v>940</v>
      </c>
      <c r="I198" s="13"/>
      <c r="J198" s="13"/>
      <c r="K198" s="20"/>
    </row>
    <row r="199" spans="2:11">
      <c r="B199" s="42">
        <v>76</v>
      </c>
      <c r="C199" s="258" t="s">
        <v>412</v>
      </c>
      <c r="D199" s="271" t="s">
        <v>614</v>
      </c>
      <c r="E199" s="323" t="s">
        <v>872</v>
      </c>
      <c r="F199" s="13"/>
      <c r="G199" s="389" t="s">
        <v>262</v>
      </c>
      <c r="H199" s="312" t="s">
        <v>940</v>
      </c>
      <c r="I199" s="13"/>
      <c r="J199" s="13"/>
      <c r="K199" s="20"/>
    </row>
    <row r="200" spans="2:11">
      <c r="B200" s="42">
        <v>75</v>
      </c>
      <c r="C200" s="258" t="s">
        <v>411</v>
      </c>
      <c r="D200" s="271" t="s">
        <v>600</v>
      </c>
      <c r="E200" s="323" t="s">
        <v>872</v>
      </c>
      <c r="F200" s="13"/>
      <c r="G200" s="389" t="s">
        <v>272</v>
      </c>
      <c r="H200" s="312" t="s">
        <v>940</v>
      </c>
      <c r="I200" s="13"/>
      <c r="J200" s="13"/>
      <c r="K200" s="20"/>
    </row>
    <row r="201" spans="2:11">
      <c r="B201" s="42">
        <v>74</v>
      </c>
      <c r="C201" s="258" t="s">
        <v>410</v>
      </c>
      <c r="D201" s="271" t="s">
        <v>581</v>
      </c>
      <c r="E201" s="323" t="s">
        <v>872</v>
      </c>
      <c r="F201" s="13"/>
      <c r="G201" s="389" t="s">
        <v>1010</v>
      </c>
      <c r="H201" s="312" t="s">
        <v>940</v>
      </c>
      <c r="I201" s="13"/>
      <c r="J201" s="13"/>
      <c r="K201" s="20"/>
    </row>
    <row r="202" spans="2:11">
      <c r="B202" s="42">
        <v>73</v>
      </c>
      <c r="C202" s="258" t="s">
        <v>409</v>
      </c>
      <c r="D202" s="271" t="s">
        <v>556</v>
      </c>
      <c r="E202" s="323" t="s">
        <v>872</v>
      </c>
      <c r="F202" s="13"/>
      <c r="G202" s="389" t="s">
        <v>1011</v>
      </c>
      <c r="H202" s="312" t="s">
        <v>940</v>
      </c>
      <c r="I202" s="13"/>
      <c r="J202" s="13"/>
      <c r="K202" s="20"/>
    </row>
    <row r="203" spans="2:11">
      <c r="B203" s="213">
        <v>83</v>
      </c>
      <c r="C203" s="214" t="s">
        <v>419</v>
      </c>
      <c r="D203" s="215" t="s">
        <v>557</v>
      </c>
      <c r="E203" s="199"/>
      <c r="F203" s="216"/>
      <c r="G203" s="324"/>
      <c r="H203" s="312"/>
      <c r="I203" s="216"/>
      <c r="J203" s="216"/>
      <c r="K203" s="217"/>
    </row>
    <row r="204" spans="2:11">
      <c r="B204" s="213">
        <v>84</v>
      </c>
      <c r="C204" s="214" t="s">
        <v>420</v>
      </c>
      <c r="D204" s="215" t="s">
        <v>582</v>
      </c>
      <c r="E204" s="199"/>
      <c r="F204" s="216"/>
      <c r="G204" s="324"/>
      <c r="H204" s="312"/>
      <c r="I204" s="216"/>
      <c r="J204" s="216"/>
      <c r="K204" s="217"/>
    </row>
    <row r="205" spans="2:11">
      <c r="B205" s="42">
        <v>24</v>
      </c>
      <c r="C205" s="258" t="s">
        <v>360</v>
      </c>
      <c r="D205" s="257" t="s">
        <v>579</v>
      </c>
      <c r="E205" s="323" t="s">
        <v>872</v>
      </c>
      <c r="F205" s="13"/>
      <c r="G205" s="389" t="s">
        <v>264</v>
      </c>
      <c r="H205" s="312" t="s">
        <v>940</v>
      </c>
      <c r="I205" s="13"/>
      <c r="J205" s="13"/>
      <c r="K205" s="20"/>
    </row>
    <row r="206" spans="2:11">
      <c r="B206" s="42">
        <v>34</v>
      </c>
      <c r="C206" s="258" t="s">
        <v>370</v>
      </c>
      <c r="D206" s="257" t="s">
        <v>580</v>
      </c>
      <c r="E206" s="323" t="s">
        <v>872</v>
      </c>
      <c r="F206" s="13"/>
      <c r="G206" s="389" t="s">
        <v>274</v>
      </c>
      <c r="H206" s="312" t="s">
        <v>940</v>
      </c>
      <c r="I206" s="13"/>
      <c r="J206" s="13"/>
      <c r="K206" s="20"/>
    </row>
    <row r="207" spans="2:11">
      <c r="B207" s="42">
        <v>14</v>
      </c>
      <c r="C207" s="258" t="s">
        <v>350</v>
      </c>
      <c r="D207" s="257" t="s">
        <v>578</v>
      </c>
      <c r="E207" s="323" t="s">
        <v>872</v>
      </c>
      <c r="F207" s="13"/>
      <c r="G207" s="389" t="s">
        <v>1012</v>
      </c>
      <c r="H207" s="312" t="s">
        <v>940</v>
      </c>
      <c r="I207" s="13"/>
      <c r="J207" s="13"/>
      <c r="K207" s="20"/>
    </row>
    <row r="208" spans="2:11">
      <c r="B208" s="42">
        <v>4</v>
      </c>
      <c r="C208" s="258" t="s">
        <v>340</v>
      </c>
      <c r="D208" s="257" t="s">
        <v>577</v>
      </c>
      <c r="E208" s="323" t="s">
        <v>872</v>
      </c>
      <c r="F208" s="13"/>
      <c r="G208" s="389" t="s">
        <v>1013</v>
      </c>
      <c r="H208" s="312" t="s">
        <v>940</v>
      </c>
      <c r="I208" s="13"/>
      <c r="J208" s="13"/>
      <c r="K208" s="20"/>
    </row>
    <row r="209" spans="2:11">
      <c r="B209" s="42">
        <v>13</v>
      </c>
      <c r="C209" s="258" t="s">
        <v>349</v>
      </c>
      <c r="D209" s="257" t="s">
        <v>553</v>
      </c>
      <c r="E209" s="323" t="s">
        <v>872</v>
      </c>
      <c r="F209" s="13"/>
      <c r="G209" s="389" t="s">
        <v>283</v>
      </c>
      <c r="H209" s="312" t="s">
        <v>940</v>
      </c>
      <c r="I209" s="13"/>
      <c r="J209" s="13"/>
      <c r="K209" s="20"/>
    </row>
    <row r="210" spans="2:11">
      <c r="B210" s="42">
        <v>3</v>
      </c>
      <c r="C210" s="258" t="s">
        <v>339</v>
      </c>
      <c r="D210" s="257" t="s">
        <v>552</v>
      </c>
      <c r="E210" s="323" t="s">
        <v>872</v>
      </c>
      <c r="F210" s="13"/>
      <c r="G210" s="389" t="s">
        <v>293</v>
      </c>
      <c r="H210" s="312" t="s">
        <v>940</v>
      </c>
      <c r="I210" s="13"/>
      <c r="J210" s="13"/>
      <c r="K210" s="20"/>
    </row>
    <row r="211" spans="2:11">
      <c r="B211" s="213">
        <v>33</v>
      </c>
      <c r="C211" s="214" t="s">
        <v>369</v>
      </c>
      <c r="D211" s="215" t="s">
        <v>555</v>
      </c>
      <c r="E211" s="199"/>
      <c r="F211" s="216"/>
      <c r="G211" s="324"/>
      <c r="H211" s="312"/>
      <c r="I211" s="216"/>
      <c r="J211" s="216"/>
      <c r="K211" s="217"/>
    </row>
    <row r="212" spans="2:11">
      <c r="B212" s="213">
        <v>23</v>
      </c>
      <c r="C212" s="214" t="s">
        <v>359</v>
      </c>
      <c r="D212" s="215" t="s">
        <v>554</v>
      </c>
      <c r="E212" s="199"/>
      <c r="F212" s="216"/>
      <c r="G212" s="324"/>
      <c r="H212" s="312"/>
      <c r="I212" s="216"/>
      <c r="J212" s="216"/>
      <c r="K212" s="217"/>
    </row>
    <row r="213" spans="2:11">
      <c r="B213" s="42">
        <v>31</v>
      </c>
      <c r="C213" s="258" t="s">
        <v>367</v>
      </c>
      <c r="D213" s="257" t="s">
        <v>521</v>
      </c>
      <c r="E213" s="323" t="s">
        <v>872</v>
      </c>
      <c r="F213" s="13"/>
      <c r="G213" s="389" t="s">
        <v>1014</v>
      </c>
      <c r="H213" s="312" t="s">
        <v>940</v>
      </c>
      <c r="I213" s="13"/>
      <c r="J213" s="13"/>
      <c r="K213" s="20"/>
    </row>
    <row r="214" spans="2:11">
      <c r="B214" s="42">
        <v>32</v>
      </c>
      <c r="C214" s="258" t="s">
        <v>368</v>
      </c>
      <c r="D214" s="257" t="s">
        <v>537</v>
      </c>
      <c r="E214" s="323" t="s">
        <v>872</v>
      </c>
      <c r="F214" s="13"/>
      <c r="G214" s="389" t="s">
        <v>1015</v>
      </c>
      <c r="H214" s="312" t="s">
        <v>940</v>
      </c>
      <c r="I214" s="13"/>
      <c r="J214" s="13"/>
      <c r="K214" s="20"/>
    </row>
    <row r="215" spans="2:11">
      <c r="B215" s="42">
        <v>21</v>
      </c>
      <c r="C215" s="258" t="s">
        <v>357</v>
      </c>
      <c r="D215" s="257" t="s">
        <v>520</v>
      </c>
      <c r="E215" s="323" t="s">
        <v>872</v>
      </c>
      <c r="F215" s="13"/>
      <c r="G215" s="389" t="s">
        <v>285</v>
      </c>
      <c r="H215" s="312" t="s">
        <v>940</v>
      </c>
      <c r="I215" s="13"/>
      <c r="J215" s="13"/>
      <c r="K215" s="20"/>
    </row>
    <row r="216" spans="2:11">
      <c r="B216" s="42">
        <v>22</v>
      </c>
      <c r="C216" s="258" t="s">
        <v>358</v>
      </c>
      <c r="D216" s="257" t="s">
        <v>536</v>
      </c>
      <c r="E216" s="323" t="s">
        <v>872</v>
      </c>
      <c r="F216" s="13"/>
      <c r="G216" s="389" t="s">
        <v>295</v>
      </c>
      <c r="H216" s="312" t="s">
        <v>940</v>
      </c>
      <c r="I216" s="13"/>
      <c r="J216" s="13"/>
      <c r="K216" s="20"/>
    </row>
    <row r="217" spans="2:11">
      <c r="B217" s="42">
        <v>11</v>
      </c>
      <c r="C217" s="258" t="s">
        <v>347</v>
      </c>
      <c r="D217" s="257" t="s">
        <v>519</v>
      </c>
      <c r="E217" s="323" t="s">
        <v>872</v>
      </c>
      <c r="F217" s="13"/>
      <c r="G217" s="389" t="s">
        <v>304</v>
      </c>
      <c r="H217" s="312" t="s">
        <v>940</v>
      </c>
      <c r="I217" s="13"/>
      <c r="J217" s="13"/>
      <c r="K217" s="20"/>
    </row>
    <row r="218" spans="2:11">
      <c r="B218" s="42">
        <v>12</v>
      </c>
      <c r="C218" s="258" t="s">
        <v>348</v>
      </c>
      <c r="D218" s="257" t="s">
        <v>535</v>
      </c>
      <c r="E218" s="323" t="s">
        <v>872</v>
      </c>
      <c r="F218" s="13"/>
      <c r="G218" s="389" t="s">
        <v>314</v>
      </c>
      <c r="H218" s="312" t="s">
        <v>940</v>
      </c>
      <c r="I218" s="13"/>
      <c r="J218" s="13"/>
      <c r="K218" s="20"/>
    </row>
    <row r="219" spans="2:11">
      <c r="B219" s="213">
        <v>1</v>
      </c>
      <c r="C219" s="214" t="s">
        <v>337</v>
      </c>
      <c r="D219" s="215" t="s">
        <v>518</v>
      </c>
      <c r="E219" s="199"/>
      <c r="F219" s="216"/>
      <c r="G219" s="216"/>
      <c r="H219" s="199"/>
      <c r="I219" s="216"/>
      <c r="J219" s="216"/>
      <c r="K219" s="217"/>
    </row>
    <row r="220" spans="2:11">
      <c r="B220" s="213">
        <v>2</v>
      </c>
      <c r="C220" s="214" t="s">
        <v>338</v>
      </c>
      <c r="D220" s="215" t="s">
        <v>534</v>
      </c>
      <c r="E220" s="199"/>
      <c r="F220" s="216"/>
      <c r="G220" s="216"/>
      <c r="H220" s="199"/>
      <c r="I220" s="216"/>
      <c r="J220" s="216"/>
      <c r="K220" s="217"/>
    </row>
    <row r="221" spans="2:11">
      <c r="B221" s="42">
        <v>43</v>
      </c>
      <c r="C221" s="258" t="s">
        <v>379</v>
      </c>
      <c r="D221" s="271" t="s">
        <v>447</v>
      </c>
      <c r="E221" s="323" t="s">
        <v>872</v>
      </c>
      <c r="F221" s="13"/>
      <c r="G221" s="320" t="s">
        <v>976</v>
      </c>
      <c r="H221" s="13"/>
      <c r="I221" s="13"/>
      <c r="J221" s="13"/>
      <c r="K221" s="20"/>
    </row>
    <row r="222" spans="2:11">
      <c r="B222" s="42">
        <v>44</v>
      </c>
      <c r="C222" s="258" t="s">
        <v>380</v>
      </c>
      <c r="D222" s="271" t="s">
        <v>455</v>
      </c>
      <c r="E222" s="323" t="s">
        <v>872</v>
      </c>
      <c r="F222" s="13"/>
      <c r="G222" s="320" t="s">
        <v>977</v>
      </c>
      <c r="H222" s="13"/>
      <c r="I222" s="13"/>
      <c r="J222" s="13"/>
      <c r="K222" s="20"/>
    </row>
    <row r="223" spans="2:11">
      <c r="B223" s="42">
        <v>62</v>
      </c>
      <c r="C223" s="258" t="s">
        <v>398</v>
      </c>
      <c r="D223" s="271" t="s">
        <v>428</v>
      </c>
      <c r="E223" s="13"/>
      <c r="F223" s="13"/>
      <c r="G223" s="13"/>
      <c r="H223" s="13"/>
      <c r="I223" s="13"/>
      <c r="J223" s="13"/>
      <c r="K223" s="20"/>
    </row>
    <row r="224" spans="2:11">
      <c r="B224" s="42">
        <v>61</v>
      </c>
      <c r="C224" s="258" t="s">
        <v>397</v>
      </c>
      <c r="D224" s="271" t="s">
        <v>322</v>
      </c>
      <c r="E224" s="323" t="s">
        <v>872</v>
      </c>
      <c r="F224" s="324"/>
      <c r="G224" s="332" t="s">
        <v>127</v>
      </c>
      <c r="H224" s="13"/>
      <c r="I224" s="13"/>
      <c r="J224" s="13"/>
      <c r="K224" s="20"/>
    </row>
    <row r="225" spans="2:11">
      <c r="B225" s="42">
        <v>71</v>
      </c>
      <c r="C225" s="258" t="s">
        <v>407</v>
      </c>
      <c r="D225" s="271" t="s">
        <v>323</v>
      </c>
      <c r="E225" s="13"/>
      <c r="F225" s="13"/>
      <c r="G225" s="13"/>
      <c r="H225" s="13"/>
      <c r="I225" s="13"/>
      <c r="J225" s="13"/>
      <c r="K225" s="20"/>
    </row>
    <row r="226" spans="2:11">
      <c r="B226" s="42">
        <v>72</v>
      </c>
      <c r="C226" s="258" t="s">
        <v>408</v>
      </c>
      <c r="D226" s="271" t="s">
        <v>429</v>
      </c>
      <c r="E226" s="323" t="s">
        <v>872</v>
      </c>
      <c r="F226" s="324"/>
      <c r="G226" s="332" t="s">
        <v>137</v>
      </c>
      <c r="H226" s="13"/>
      <c r="I226" s="13"/>
      <c r="J226" s="13"/>
      <c r="K226" s="20"/>
    </row>
    <row r="227" spans="2:11">
      <c r="B227" s="42">
        <v>51</v>
      </c>
      <c r="C227" s="258" t="s">
        <v>387</v>
      </c>
      <c r="D227" s="271" t="s">
        <v>464</v>
      </c>
      <c r="E227" s="13"/>
      <c r="F227" s="13"/>
      <c r="G227" s="13"/>
      <c r="H227" s="13"/>
      <c r="I227" s="13"/>
      <c r="J227" s="13"/>
      <c r="K227" s="20"/>
    </row>
    <row r="228" spans="2:11">
      <c r="B228" s="42">
        <v>52</v>
      </c>
      <c r="C228" s="258" t="s">
        <v>388</v>
      </c>
      <c r="D228" s="271" t="s">
        <v>464</v>
      </c>
      <c r="E228" s="13"/>
      <c r="F228" s="13"/>
      <c r="G228" s="13"/>
      <c r="H228" s="13"/>
      <c r="I228" s="13"/>
      <c r="J228" s="13"/>
      <c r="K228" s="20"/>
    </row>
    <row r="229" spans="2:11">
      <c r="B229" s="42">
        <v>53</v>
      </c>
      <c r="C229" s="258" t="s">
        <v>389</v>
      </c>
      <c r="D229" s="271" t="s">
        <v>464</v>
      </c>
      <c r="E229" s="13"/>
      <c r="F229" s="13"/>
      <c r="G229" s="13"/>
      <c r="H229" s="13"/>
      <c r="I229" s="13"/>
      <c r="J229" s="13"/>
      <c r="K229" s="20"/>
    </row>
    <row r="230" spans="2:11">
      <c r="B230" s="42">
        <v>63</v>
      </c>
      <c r="C230" s="258" t="s">
        <v>399</v>
      </c>
      <c r="D230" s="271" t="s">
        <v>464</v>
      </c>
      <c r="E230" s="13"/>
      <c r="F230" s="13"/>
      <c r="G230" s="13"/>
      <c r="H230" s="13"/>
      <c r="I230" s="13"/>
      <c r="J230" s="13"/>
      <c r="K230" s="20"/>
    </row>
    <row r="231" spans="2:11">
      <c r="B231" s="42">
        <v>54</v>
      </c>
      <c r="C231" s="258" t="s">
        <v>390</v>
      </c>
      <c r="D231" s="271" t="s">
        <v>464</v>
      </c>
      <c r="E231" s="13"/>
      <c r="F231" s="13"/>
      <c r="G231" s="13"/>
      <c r="H231" s="13"/>
      <c r="I231" s="13"/>
      <c r="J231" s="13"/>
      <c r="K231" s="20"/>
    </row>
    <row r="232" spans="2:11">
      <c r="B232" s="42">
        <v>64</v>
      </c>
      <c r="C232" s="258" t="s">
        <v>400</v>
      </c>
      <c r="D232" s="271" t="s">
        <v>464</v>
      </c>
      <c r="E232" s="13"/>
      <c r="F232" s="13"/>
      <c r="G232" s="13"/>
      <c r="H232" s="13"/>
      <c r="I232" s="13"/>
      <c r="J232" s="13"/>
      <c r="K232" s="20"/>
    </row>
    <row r="233" spans="2:11">
      <c r="B233" s="42">
        <v>105</v>
      </c>
      <c r="C233" s="258" t="s">
        <v>24</v>
      </c>
      <c r="D233" s="257" t="s">
        <v>464</v>
      </c>
      <c r="E233" s="13"/>
      <c r="F233" s="13"/>
      <c r="G233" s="13"/>
      <c r="H233" s="13"/>
      <c r="I233" s="13"/>
      <c r="J233" s="13"/>
      <c r="K233" s="20"/>
    </row>
    <row r="234" spans="2:11">
      <c r="B234" s="42">
        <v>46</v>
      </c>
      <c r="C234" s="258" t="s">
        <v>382</v>
      </c>
      <c r="D234" s="271" t="s">
        <v>471</v>
      </c>
      <c r="E234" s="13"/>
      <c r="F234" s="13"/>
      <c r="G234" s="13"/>
      <c r="H234" s="13"/>
      <c r="I234" s="13"/>
      <c r="J234" s="13"/>
      <c r="K234" s="20"/>
    </row>
    <row r="235" spans="2:11">
      <c r="B235" s="42">
        <v>66</v>
      </c>
      <c r="C235" s="258" t="s">
        <v>402</v>
      </c>
      <c r="D235" s="271" t="s">
        <v>473</v>
      </c>
      <c r="E235" s="13"/>
      <c r="F235" s="13"/>
      <c r="G235" s="13"/>
      <c r="H235" s="13"/>
      <c r="I235" s="13"/>
      <c r="J235" s="13"/>
      <c r="K235" s="20"/>
    </row>
    <row r="236" spans="2:11">
      <c r="B236" s="42">
        <v>56</v>
      </c>
      <c r="C236" s="258" t="s">
        <v>392</v>
      </c>
      <c r="D236" s="271" t="s">
        <v>472</v>
      </c>
      <c r="E236" s="13"/>
      <c r="F236" s="13"/>
      <c r="G236" s="13"/>
      <c r="H236" s="13"/>
      <c r="I236" s="13"/>
      <c r="J236" s="13"/>
      <c r="K236" s="20"/>
    </row>
    <row r="237" spans="2:11">
      <c r="B237" s="42">
        <v>5</v>
      </c>
      <c r="C237" s="258" t="s">
        <v>341</v>
      </c>
      <c r="D237" s="257" t="s">
        <v>321</v>
      </c>
      <c r="E237" s="13"/>
      <c r="F237" s="13"/>
      <c r="G237" s="13"/>
      <c r="H237" s="13"/>
      <c r="I237" s="13"/>
      <c r="J237" s="13"/>
      <c r="K237" s="20"/>
    </row>
    <row r="238" spans="2:11">
      <c r="B238" s="42">
        <v>15</v>
      </c>
      <c r="C238" s="258" t="s">
        <v>351</v>
      </c>
      <c r="D238" s="257" t="s">
        <v>321</v>
      </c>
      <c r="E238" s="13"/>
      <c r="F238" s="13"/>
      <c r="G238" s="13"/>
      <c r="H238" s="13"/>
      <c r="I238" s="13"/>
      <c r="J238" s="13"/>
      <c r="K238" s="20"/>
    </row>
    <row r="239" spans="2:11">
      <c r="B239" s="42">
        <v>25</v>
      </c>
      <c r="C239" s="258" t="s">
        <v>361</v>
      </c>
      <c r="D239" s="257" t="s">
        <v>321</v>
      </c>
      <c r="E239" s="13"/>
      <c r="F239" s="13"/>
      <c r="G239" s="13"/>
      <c r="H239" s="13"/>
      <c r="I239" s="13"/>
      <c r="J239" s="13"/>
      <c r="K239" s="20"/>
    </row>
    <row r="240" spans="2:11">
      <c r="B240" s="42">
        <v>35</v>
      </c>
      <c r="C240" s="258" t="s">
        <v>371</v>
      </c>
      <c r="D240" s="257" t="s">
        <v>321</v>
      </c>
      <c r="E240" s="13"/>
      <c r="F240" s="13"/>
      <c r="G240" s="13"/>
      <c r="H240" s="13"/>
      <c r="I240" s="13"/>
      <c r="J240" s="13"/>
      <c r="K240" s="20"/>
    </row>
    <row r="241" spans="2:11">
      <c r="B241" s="42">
        <v>45</v>
      </c>
      <c r="C241" s="258" t="s">
        <v>381</v>
      </c>
      <c r="D241" s="271" t="s">
        <v>321</v>
      </c>
      <c r="E241" s="13"/>
      <c r="F241" s="13"/>
      <c r="G241" s="13"/>
      <c r="H241" s="13"/>
      <c r="I241" s="13"/>
      <c r="J241" s="13"/>
      <c r="K241" s="20"/>
    </row>
    <row r="242" spans="2:11">
      <c r="B242" s="42">
        <v>55</v>
      </c>
      <c r="C242" s="258" t="s">
        <v>391</v>
      </c>
      <c r="D242" s="271" t="s">
        <v>321</v>
      </c>
      <c r="E242" s="13"/>
      <c r="F242" s="13"/>
      <c r="G242" s="13"/>
      <c r="H242" s="13"/>
      <c r="I242" s="13"/>
      <c r="J242" s="13"/>
      <c r="K242" s="20"/>
    </row>
    <row r="243" spans="2:11">
      <c r="B243" s="42">
        <v>65</v>
      </c>
      <c r="C243" s="258" t="s">
        <v>401</v>
      </c>
      <c r="D243" s="271" t="s">
        <v>321</v>
      </c>
      <c r="E243" s="13"/>
      <c r="F243" s="13"/>
      <c r="G243" s="13"/>
      <c r="H243" s="13"/>
      <c r="I243" s="13"/>
      <c r="J243" s="13"/>
      <c r="K243" s="20"/>
    </row>
    <row r="244" spans="2:11">
      <c r="B244" s="42">
        <v>92</v>
      </c>
      <c r="C244" s="258" t="s">
        <v>4</v>
      </c>
      <c r="D244" s="257" t="s">
        <v>431</v>
      </c>
      <c r="E244" s="13"/>
      <c r="F244" s="13"/>
      <c r="G244" s="13"/>
      <c r="H244" s="13"/>
      <c r="I244" s="13"/>
      <c r="J244" s="13"/>
      <c r="K244" s="20"/>
    </row>
    <row r="245" spans="2:11">
      <c r="B245" s="42">
        <v>91</v>
      </c>
      <c r="C245" s="258" t="s">
        <v>0</v>
      </c>
      <c r="D245" s="328" t="s">
        <v>325</v>
      </c>
      <c r="E245" s="323" t="s">
        <v>872</v>
      </c>
      <c r="F245" s="324"/>
      <c r="G245" s="320" t="s">
        <v>67</v>
      </c>
      <c r="H245" s="13"/>
      <c r="I245" s="13"/>
      <c r="J245" s="13"/>
      <c r="K245" s="20"/>
    </row>
    <row r="246" spans="2:11">
      <c r="B246" s="42">
        <v>81</v>
      </c>
      <c r="C246" s="258" t="s">
        <v>417</v>
      </c>
      <c r="D246" s="257" t="s">
        <v>324</v>
      </c>
      <c r="E246" s="323" t="s">
        <v>872</v>
      </c>
      <c r="F246" s="5"/>
      <c r="G246" s="332" t="s">
        <v>1031</v>
      </c>
      <c r="H246" s="13"/>
      <c r="I246" s="13"/>
      <c r="J246" s="13"/>
      <c r="K246" s="20"/>
    </row>
    <row r="247" spans="2:11">
      <c r="B247" s="42">
        <v>82</v>
      </c>
      <c r="C247" s="258" t="s">
        <v>418</v>
      </c>
      <c r="D247" s="257" t="s">
        <v>430</v>
      </c>
      <c r="E247" s="323" t="s">
        <v>872</v>
      </c>
      <c r="F247" s="5"/>
      <c r="G247" s="332" t="s">
        <v>1032</v>
      </c>
      <c r="H247" s="13"/>
      <c r="I247" s="13"/>
      <c r="J247" s="13"/>
      <c r="K247" s="20"/>
    </row>
    <row r="248" spans="2:11">
      <c r="B248" s="42">
        <v>41</v>
      </c>
      <c r="C248" s="258" t="s">
        <v>377</v>
      </c>
      <c r="D248" s="330" t="s">
        <v>427</v>
      </c>
      <c r="E248" s="323" t="s">
        <v>872</v>
      </c>
      <c r="F248" s="324"/>
      <c r="G248" s="324" t="s">
        <v>317</v>
      </c>
      <c r="H248" s="13"/>
      <c r="I248" s="13"/>
      <c r="J248" s="13"/>
      <c r="K248" s="20"/>
    </row>
    <row r="249" spans="2:11">
      <c r="B249" s="42">
        <v>42</v>
      </c>
      <c r="C249" s="258" t="s">
        <v>378</v>
      </c>
      <c r="D249" s="330" t="s">
        <v>320</v>
      </c>
      <c r="E249" s="323" t="s">
        <v>872</v>
      </c>
      <c r="F249" s="13"/>
      <c r="G249" s="320" t="s">
        <v>975</v>
      </c>
      <c r="H249" s="13"/>
      <c r="I249" s="13"/>
      <c r="J249" s="13"/>
      <c r="K249" s="20"/>
    </row>
    <row r="250" spans="2:11">
      <c r="B250" s="197">
        <v>393</v>
      </c>
      <c r="C250" s="198" t="s">
        <v>312</v>
      </c>
      <c r="D250" s="292" t="s">
        <v>453</v>
      </c>
      <c r="E250" s="199"/>
      <c r="F250" s="199"/>
      <c r="G250" s="199"/>
      <c r="H250" s="199"/>
      <c r="I250" s="199"/>
      <c r="J250" s="199"/>
      <c r="K250" s="200"/>
    </row>
    <row r="251" spans="2:11">
      <c r="B251" s="197">
        <v>383</v>
      </c>
      <c r="C251" s="198" t="s">
        <v>302</v>
      </c>
      <c r="D251" s="292" t="s">
        <v>452</v>
      </c>
      <c r="E251" s="199"/>
      <c r="F251" s="199"/>
      <c r="G251" s="199"/>
      <c r="H251" s="199"/>
      <c r="I251" s="199"/>
      <c r="J251" s="199"/>
      <c r="K251" s="200"/>
    </row>
    <row r="252" spans="2:11">
      <c r="B252" s="197">
        <v>337</v>
      </c>
      <c r="C252" s="198" t="s">
        <v>256</v>
      </c>
      <c r="D252" s="292" t="s">
        <v>487</v>
      </c>
      <c r="E252" s="199"/>
      <c r="F252" s="199"/>
      <c r="G252" s="199"/>
      <c r="H252" s="199"/>
      <c r="I252" s="199"/>
      <c r="J252" s="199"/>
      <c r="K252" s="200"/>
    </row>
    <row r="253" spans="2:11">
      <c r="B253" s="197">
        <v>327</v>
      </c>
      <c r="C253" s="198" t="s">
        <v>246</v>
      </c>
      <c r="D253" s="292" t="s">
        <v>486</v>
      </c>
      <c r="E253" s="199"/>
      <c r="F253" s="199"/>
      <c r="G253" s="199"/>
      <c r="H253" s="199"/>
      <c r="I253" s="199"/>
      <c r="J253" s="199"/>
      <c r="K253" s="200"/>
    </row>
    <row r="254" spans="2:11">
      <c r="B254" s="197">
        <v>346</v>
      </c>
      <c r="C254" s="198" t="s">
        <v>265</v>
      </c>
      <c r="D254" s="292" t="s">
        <v>478</v>
      </c>
      <c r="E254" s="199"/>
      <c r="F254" s="199"/>
      <c r="G254" s="199"/>
      <c r="H254" s="199"/>
      <c r="I254" s="199"/>
      <c r="J254" s="199"/>
      <c r="K254" s="200"/>
    </row>
    <row r="255" spans="2:11">
      <c r="B255" s="197">
        <v>336</v>
      </c>
      <c r="C255" s="198" t="s">
        <v>255</v>
      </c>
      <c r="D255" s="292" t="s">
        <v>477</v>
      </c>
      <c r="E255" s="199"/>
      <c r="F255" s="199"/>
      <c r="G255" s="199"/>
      <c r="H255" s="199"/>
      <c r="I255" s="199"/>
      <c r="J255" s="199"/>
      <c r="K255" s="200"/>
    </row>
    <row r="256" spans="2:11">
      <c r="B256" s="197">
        <v>347</v>
      </c>
      <c r="C256" s="198" t="s">
        <v>266</v>
      </c>
      <c r="D256" s="292" t="s">
        <v>488</v>
      </c>
      <c r="E256" s="199"/>
      <c r="F256" s="199"/>
      <c r="G256" s="199"/>
      <c r="H256" s="199"/>
      <c r="I256" s="199"/>
      <c r="J256" s="199"/>
      <c r="K256" s="200"/>
    </row>
    <row r="257" spans="2:11">
      <c r="B257" s="197">
        <v>357</v>
      </c>
      <c r="C257" s="198" t="s">
        <v>276</v>
      </c>
      <c r="D257" s="292" t="s">
        <v>488</v>
      </c>
      <c r="E257" s="199"/>
      <c r="F257" s="199"/>
      <c r="G257" s="199"/>
      <c r="H257" s="199"/>
      <c r="I257" s="199"/>
      <c r="J257" s="199"/>
      <c r="K257" s="200"/>
    </row>
    <row r="258" spans="2:11">
      <c r="B258" s="197">
        <v>338</v>
      </c>
      <c r="C258" s="198" t="s">
        <v>257</v>
      </c>
      <c r="D258" s="292" t="s">
        <v>488</v>
      </c>
      <c r="E258" s="199"/>
      <c r="F258" s="199"/>
      <c r="G258" s="199"/>
      <c r="H258" s="199"/>
      <c r="I258" s="199"/>
      <c r="J258" s="199"/>
      <c r="K258" s="200"/>
    </row>
    <row r="259" spans="2:11">
      <c r="B259" s="197">
        <v>348</v>
      </c>
      <c r="C259" s="198" t="s">
        <v>267</v>
      </c>
      <c r="D259" s="292" t="s">
        <v>488</v>
      </c>
      <c r="E259" s="199"/>
      <c r="F259" s="199"/>
      <c r="G259" s="199"/>
      <c r="H259" s="199"/>
      <c r="I259" s="199"/>
      <c r="J259" s="199"/>
      <c r="K259" s="200"/>
    </row>
    <row r="260" spans="2:11">
      <c r="B260" s="197">
        <v>358</v>
      </c>
      <c r="C260" s="198" t="s">
        <v>277</v>
      </c>
      <c r="D260" s="292" t="s">
        <v>488</v>
      </c>
      <c r="E260" s="199"/>
      <c r="F260" s="199"/>
      <c r="G260" s="199"/>
      <c r="H260" s="199"/>
      <c r="I260" s="199"/>
      <c r="J260" s="199"/>
      <c r="K260" s="200"/>
    </row>
    <row r="261" spans="2:11">
      <c r="B261" s="197">
        <v>339</v>
      </c>
      <c r="C261" s="198" t="s">
        <v>258</v>
      </c>
      <c r="D261" s="292" t="s">
        <v>488</v>
      </c>
      <c r="E261" s="199"/>
      <c r="F261" s="199"/>
      <c r="G261" s="199"/>
      <c r="H261" s="199"/>
      <c r="I261" s="199"/>
      <c r="J261" s="199"/>
      <c r="K261" s="200"/>
    </row>
    <row r="262" spans="2:11">
      <c r="B262" s="197">
        <v>349</v>
      </c>
      <c r="C262" s="198" t="s">
        <v>268</v>
      </c>
      <c r="D262" s="292" t="s">
        <v>488</v>
      </c>
      <c r="E262" s="199"/>
      <c r="F262" s="199"/>
      <c r="G262" s="199"/>
      <c r="H262" s="199"/>
      <c r="I262" s="199"/>
      <c r="J262" s="199"/>
      <c r="K262" s="200"/>
    </row>
    <row r="263" spans="2:11">
      <c r="B263" s="197">
        <v>359</v>
      </c>
      <c r="C263" s="198" t="s">
        <v>278</v>
      </c>
      <c r="D263" s="292" t="s">
        <v>488</v>
      </c>
      <c r="E263" s="199"/>
      <c r="F263" s="199"/>
      <c r="G263" s="199"/>
      <c r="H263" s="199"/>
      <c r="I263" s="199"/>
      <c r="J263" s="199"/>
      <c r="K263" s="200"/>
    </row>
    <row r="264" spans="2:11">
      <c r="B264" s="197">
        <v>340</v>
      </c>
      <c r="C264" s="198" t="s">
        <v>259</v>
      </c>
      <c r="D264" s="292" t="s">
        <v>488</v>
      </c>
      <c r="E264" s="199"/>
      <c r="F264" s="199"/>
      <c r="G264" s="199"/>
      <c r="H264" s="199"/>
      <c r="I264" s="199"/>
      <c r="J264" s="199"/>
      <c r="K264" s="200"/>
    </row>
    <row r="265" spans="2:11">
      <c r="B265" s="197">
        <v>350</v>
      </c>
      <c r="C265" s="198" t="s">
        <v>269</v>
      </c>
      <c r="D265" s="292" t="s">
        <v>488</v>
      </c>
      <c r="E265" s="199"/>
      <c r="F265" s="199"/>
      <c r="G265" s="199"/>
      <c r="H265" s="199"/>
      <c r="I265" s="199"/>
      <c r="J265" s="199"/>
      <c r="K265" s="200"/>
    </row>
    <row r="266" spans="2:11">
      <c r="B266" s="197">
        <v>360</v>
      </c>
      <c r="C266" s="198" t="s">
        <v>279</v>
      </c>
      <c r="D266" s="292" t="s">
        <v>488</v>
      </c>
      <c r="E266" s="199"/>
      <c r="F266" s="199"/>
      <c r="G266" s="199"/>
      <c r="H266" s="199"/>
      <c r="I266" s="199"/>
      <c r="J266" s="199"/>
      <c r="K266" s="200"/>
    </row>
    <row r="267" spans="2:11">
      <c r="B267" s="197">
        <v>356</v>
      </c>
      <c r="C267" s="198" t="s">
        <v>275</v>
      </c>
      <c r="D267" s="292" t="s">
        <v>479</v>
      </c>
      <c r="E267" s="199"/>
      <c r="F267" s="199"/>
      <c r="G267" s="199"/>
      <c r="H267" s="199"/>
      <c r="I267" s="199"/>
      <c r="J267" s="199"/>
      <c r="K267" s="200"/>
    </row>
    <row r="268" spans="2:11">
      <c r="B268" s="197">
        <v>385</v>
      </c>
      <c r="C268" s="198" t="s">
        <v>304</v>
      </c>
      <c r="D268" s="292" t="s">
        <v>469</v>
      </c>
      <c r="E268" s="199"/>
      <c r="F268" s="199"/>
      <c r="G268" s="199"/>
      <c r="H268" s="199"/>
      <c r="I268" s="199"/>
      <c r="J268" s="199"/>
      <c r="K268" s="200"/>
    </row>
    <row r="269" spans="2:11">
      <c r="B269" s="197">
        <v>395</v>
      </c>
      <c r="C269" s="198" t="s">
        <v>314</v>
      </c>
      <c r="D269" s="292" t="s">
        <v>470</v>
      </c>
      <c r="E269" s="199"/>
      <c r="F269" s="199"/>
      <c r="G269" s="199"/>
      <c r="H269" s="199"/>
      <c r="I269" s="199"/>
      <c r="J269" s="199"/>
      <c r="K269" s="200"/>
    </row>
    <row r="270" spans="2:11">
      <c r="B270" s="197">
        <v>341</v>
      </c>
      <c r="C270" s="198" t="s">
        <v>260</v>
      </c>
      <c r="D270" s="292" t="s">
        <v>336</v>
      </c>
      <c r="E270" s="199"/>
      <c r="F270" s="199"/>
      <c r="G270" s="199"/>
      <c r="H270" s="199"/>
      <c r="I270" s="199"/>
      <c r="J270" s="199"/>
      <c r="K270" s="200"/>
    </row>
    <row r="271" spans="2:11">
      <c r="B271" s="197">
        <v>351</v>
      </c>
      <c r="C271" s="198" t="s">
        <v>270</v>
      </c>
      <c r="D271" s="292" t="s">
        <v>336</v>
      </c>
      <c r="E271" s="199"/>
      <c r="F271" s="199"/>
      <c r="G271" s="199"/>
      <c r="H271" s="199"/>
      <c r="I271" s="199"/>
      <c r="J271" s="199"/>
      <c r="K271" s="200"/>
    </row>
    <row r="272" spans="2:11">
      <c r="B272" s="197">
        <v>342</v>
      </c>
      <c r="C272" s="198" t="s">
        <v>261</v>
      </c>
      <c r="D272" s="292" t="s">
        <v>336</v>
      </c>
      <c r="E272" s="199"/>
      <c r="F272" s="199"/>
      <c r="G272" s="199"/>
      <c r="H272" s="199"/>
      <c r="I272" s="199"/>
      <c r="J272" s="199"/>
      <c r="K272" s="200"/>
    </row>
    <row r="273" spans="2:11">
      <c r="B273" s="197">
        <v>352</v>
      </c>
      <c r="C273" s="198" t="s">
        <v>271</v>
      </c>
      <c r="D273" s="292" t="s">
        <v>336</v>
      </c>
      <c r="E273" s="199"/>
      <c r="F273" s="199"/>
      <c r="G273" s="199"/>
      <c r="H273" s="199"/>
      <c r="I273" s="199"/>
      <c r="J273" s="199"/>
      <c r="K273" s="200"/>
    </row>
    <row r="274" spans="2:11">
      <c r="B274" s="197">
        <v>333</v>
      </c>
      <c r="C274" s="198" t="s">
        <v>252</v>
      </c>
      <c r="D274" s="292" t="s">
        <v>336</v>
      </c>
      <c r="E274" s="199"/>
      <c r="F274" s="199"/>
      <c r="G274" s="199"/>
      <c r="H274" s="199"/>
      <c r="I274" s="199"/>
      <c r="J274" s="199"/>
      <c r="K274" s="200"/>
    </row>
    <row r="275" spans="2:11">
      <c r="B275" s="197">
        <v>343</v>
      </c>
      <c r="C275" s="198" t="s">
        <v>262</v>
      </c>
      <c r="D275" s="292" t="s">
        <v>336</v>
      </c>
      <c r="E275" s="199"/>
      <c r="F275" s="199"/>
      <c r="G275" s="199"/>
      <c r="H275" s="199"/>
      <c r="I275" s="199"/>
      <c r="J275" s="199"/>
      <c r="K275" s="200"/>
    </row>
    <row r="276" spans="2:11">
      <c r="B276" s="197">
        <v>334</v>
      </c>
      <c r="C276" s="198" t="s">
        <v>253</v>
      </c>
      <c r="D276" s="292" t="s">
        <v>336</v>
      </c>
      <c r="E276" s="199"/>
      <c r="F276" s="199"/>
      <c r="G276" s="199"/>
      <c r="H276" s="199"/>
      <c r="I276" s="199"/>
      <c r="J276" s="199"/>
      <c r="K276" s="200"/>
    </row>
    <row r="277" spans="2:11">
      <c r="B277" s="197">
        <v>344</v>
      </c>
      <c r="C277" s="198" t="s">
        <v>263</v>
      </c>
      <c r="D277" s="292" t="s">
        <v>336</v>
      </c>
      <c r="E277" s="199"/>
      <c r="F277" s="199"/>
      <c r="G277" s="199"/>
      <c r="H277" s="199"/>
      <c r="I277" s="199"/>
      <c r="J277" s="199"/>
      <c r="K277" s="200"/>
    </row>
    <row r="278" spans="2:11">
      <c r="B278" s="197">
        <v>345</v>
      </c>
      <c r="C278" s="198" t="s">
        <v>264</v>
      </c>
      <c r="D278" s="292" t="s">
        <v>336</v>
      </c>
      <c r="E278" s="199"/>
      <c r="F278" s="199"/>
      <c r="G278" s="199"/>
      <c r="H278" s="199"/>
      <c r="I278" s="199"/>
      <c r="J278" s="199"/>
      <c r="K278" s="200"/>
    </row>
    <row r="279" spans="2:11">
      <c r="B279" s="197">
        <v>355</v>
      </c>
      <c r="C279" s="198" t="s">
        <v>274</v>
      </c>
      <c r="D279" s="292" t="s">
        <v>336</v>
      </c>
      <c r="E279" s="199"/>
      <c r="F279" s="199"/>
      <c r="G279" s="199"/>
      <c r="H279" s="199"/>
      <c r="I279" s="199"/>
      <c r="J279" s="199"/>
      <c r="K279" s="200"/>
    </row>
    <row r="280" spans="2:11">
      <c r="B280" s="197">
        <v>396</v>
      </c>
      <c r="C280" s="198" t="s">
        <v>315</v>
      </c>
      <c r="D280" s="292" t="s">
        <v>481</v>
      </c>
      <c r="E280" s="199"/>
      <c r="F280" s="199"/>
      <c r="G280" s="199"/>
      <c r="H280" s="199"/>
      <c r="I280" s="199"/>
      <c r="J280" s="199"/>
      <c r="K280" s="200"/>
    </row>
    <row r="281" spans="2:11">
      <c r="B281" s="197">
        <v>386</v>
      </c>
      <c r="C281" s="198" t="s">
        <v>305</v>
      </c>
      <c r="D281" s="292" t="s">
        <v>480</v>
      </c>
      <c r="E281" s="199"/>
      <c r="F281" s="199"/>
      <c r="G281" s="199"/>
      <c r="H281" s="199"/>
      <c r="I281" s="199"/>
      <c r="J281" s="199"/>
      <c r="K281" s="200"/>
    </row>
    <row r="282" spans="2:11">
      <c r="B282" s="197">
        <v>387</v>
      </c>
      <c r="C282" s="198" t="s">
        <v>306</v>
      </c>
      <c r="D282" s="292" t="s">
        <v>489</v>
      </c>
      <c r="E282" s="199"/>
      <c r="F282" s="199"/>
      <c r="G282" s="199"/>
      <c r="H282" s="199"/>
      <c r="I282" s="199"/>
      <c r="J282" s="199"/>
      <c r="K282" s="200"/>
    </row>
    <row r="283" spans="2:11">
      <c r="B283" s="197">
        <v>388</v>
      </c>
      <c r="C283" s="198" t="s">
        <v>307</v>
      </c>
      <c r="D283" s="292" t="s">
        <v>495</v>
      </c>
      <c r="E283" s="199"/>
      <c r="F283" s="199"/>
      <c r="G283" s="199"/>
      <c r="H283" s="199"/>
      <c r="I283" s="199"/>
      <c r="J283" s="199"/>
      <c r="K283" s="200"/>
    </row>
    <row r="284" spans="2:11">
      <c r="B284" s="197">
        <v>392</v>
      </c>
      <c r="C284" s="198" t="s">
        <v>311</v>
      </c>
      <c r="D284" s="292" t="s">
        <v>440</v>
      </c>
      <c r="E284" s="199"/>
      <c r="F284" s="199"/>
      <c r="G284" s="199"/>
      <c r="H284" s="199"/>
      <c r="I284" s="199"/>
      <c r="J284" s="199"/>
      <c r="K284" s="200"/>
    </row>
    <row r="285" spans="2:11">
      <c r="B285" s="197">
        <v>382</v>
      </c>
      <c r="C285" s="198" t="s">
        <v>301</v>
      </c>
      <c r="D285" s="292" t="s">
        <v>441</v>
      </c>
      <c r="E285" s="199"/>
      <c r="F285" s="199"/>
      <c r="G285" s="199"/>
      <c r="H285" s="199"/>
      <c r="I285" s="199"/>
      <c r="J285" s="199"/>
      <c r="K285" s="200"/>
    </row>
    <row r="286" spans="2:11">
      <c r="B286" s="42">
        <v>194</v>
      </c>
      <c r="C286" s="21" t="s">
        <v>113</v>
      </c>
      <c r="D286" s="22" t="s">
        <v>587</v>
      </c>
      <c r="E286" s="323" t="s">
        <v>872</v>
      </c>
      <c r="F286" s="5"/>
      <c r="G286" s="389" t="s">
        <v>201</v>
      </c>
      <c r="H286" s="340" t="s">
        <v>941</v>
      </c>
      <c r="I286" s="5"/>
      <c r="J286" s="5"/>
      <c r="K286" s="14"/>
    </row>
    <row r="287" spans="2:11">
      <c r="B287" s="42">
        <v>193</v>
      </c>
      <c r="C287" s="21" t="s">
        <v>112</v>
      </c>
      <c r="D287" s="22" t="s">
        <v>564</v>
      </c>
      <c r="E287" s="323" t="s">
        <v>872</v>
      </c>
      <c r="F287" s="5"/>
      <c r="G287" s="389" t="s">
        <v>211</v>
      </c>
      <c r="H287" s="316" t="s">
        <v>941</v>
      </c>
      <c r="I287" s="5"/>
      <c r="J287" s="5"/>
      <c r="K287" s="14"/>
    </row>
    <row r="288" spans="2:11">
      <c r="B288" s="42">
        <v>184</v>
      </c>
      <c r="C288" s="21" t="s">
        <v>103</v>
      </c>
      <c r="D288" s="22" t="s">
        <v>586</v>
      </c>
      <c r="E288" s="323" t="s">
        <v>872</v>
      </c>
      <c r="F288" s="5"/>
      <c r="G288" s="389" t="s">
        <v>220</v>
      </c>
      <c r="H288" s="316" t="s">
        <v>941</v>
      </c>
      <c r="I288" s="5"/>
      <c r="J288" s="5"/>
      <c r="K288" s="14"/>
    </row>
    <row r="289" spans="2:11">
      <c r="B289" s="42">
        <v>183</v>
      </c>
      <c r="C289" s="21" t="s">
        <v>102</v>
      </c>
      <c r="D289" s="22" t="s">
        <v>563</v>
      </c>
      <c r="E289" s="323" t="s">
        <v>872</v>
      </c>
      <c r="F289" s="5"/>
      <c r="G289" s="389" t="s">
        <v>230</v>
      </c>
      <c r="H289" s="316" t="s">
        <v>941</v>
      </c>
      <c r="I289" s="5"/>
      <c r="J289" s="5"/>
      <c r="K289" s="14"/>
    </row>
    <row r="290" spans="2:11">
      <c r="B290" s="42">
        <v>182</v>
      </c>
      <c r="C290" s="21" t="s">
        <v>101</v>
      </c>
      <c r="D290" s="22" t="s">
        <v>542</v>
      </c>
      <c r="E290" s="323" t="s">
        <v>872</v>
      </c>
      <c r="F290" s="5"/>
      <c r="G290" s="389" t="s">
        <v>180</v>
      </c>
      <c r="H290" s="316" t="s">
        <v>941</v>
      </c>
      <c r="I290" s="5"/>
      <c r="J290" s="5"/>
      <c r="K290" s="14"/>
    </row>
    <row r="291" spans="2:11">
      <c r="B291" s="42">
        <v>192</v>
      </c>
      <c r="C291" s="21" t="s">
        <v>111</v>
      </c>
      <c r="D291" s="22" t="s">
        <v>543</v>
      </c>
      <c r="E291" s="323" t="s">
        <v>872</v>
      </c>
      <c r="F291" s="5"/>
      <c r="G291" s="389" t="s">
        <v>190</v>
      </c>
      <c r="H291" s="316" t="s">
        <v>941</v>
      </c>
      <c r="I291" s="5"/>
      <c r="J291" s="5"/>
      <c r="K291" s="14"/>
    </row>
    <row r="292" spans="2:11">
      <c r="B292" s="42">
        <v>214</v>
      </c>
      <c r="C292" s="21" t="s">
        <v>133</v>
      </c>
      <c r="D292" s="22" t="s">
        <v>589</v>
      </c>
      <c r="E292" s="323" t="s">
        <v>872</v>
      </c>
      <c r="F292" s="5"/>
      <c r="G292" s="389" t="s">
        <v>222</v>
      </c>
      <c r="H292" s="316" t="s">
        <v>941</v>
      </c>
      <c r="I292" s="5"/>
      <c r="J292" s="5"/>
      <c r="K292" s="14"/>
    </row>
    <row r="293" spans="2:11">
      <c r="B293" s="42">
        <v>213</v>
      </c>
      <c r="C293" s="21" t="s">
        <v>132</v>
      </c>
      <c r="D293" s="22" t="s">
        <v>566</v>
      </c>
      <c r="E293" s="323" t="s">
        <v>872</v>
      </c>
      <c r="F293" s="5"/>
      <c r="G293" s="389" t="s">
        <v>232</v>
      </c>
      <c r="H293" s="316" t="s">
        <v>941</v>
      </c>
      <c r="I293" s="5"/>
      <c r="J293" s="5"/>
      <c r="K293" s="14"/>
    </row>
    <row r="294" spans="2:11">
      <c r="B294" s="42">
        <v>204</v>
      </c>
      <c r="C294" s="21" t="s">
        <v>123</v>
      </c>
      <c r="D294" s="22" t="s">
        <v>588</v>
      </c>
      <c r="E294" s="323" t="s">
        <v>872</v>
      </c>
      <c r="F294" s="5"/>
      <c r="G294" s="389" t="s">
        <v>182</v>
      </c>
      <c r="H294" s="316" t="s">
        <v>941</v>
      </c>
      <c r="I294" s="5"/>
      <c r="J294" s="5"/>
      <c r="K294" s="14"/>
    </row>
    <row r="295" spans="2:11">
      <c r="B295" s="42">
        <v>203</v>
      </c>
      <c r="C295" s="21" t="s">
        <v>122</v>
      </c>
      <c r="D295" s="22" t="s">
        <v>565</v>
      </c>
      <c r="E295" s="323" t="s">
        <v>872</v>
      </c>
      <c r="F295" s="5"/>
      <c r="G295" s="389" t="s">
        <v>192</v>
      </c>
      <c r="H295" s="316" t="s">
        <v>941</v>
      </c>
      <c r="I295" s="5"/>
      <c r="J295" s="5"/>
      <c r="K295" s="14"/>
    </row>
    <row r="296" spans="2:11">
      <c r="B296" s="42">
        <v>176</v>
      </c>
      <c r="C296" s="21" t="s">
        <v>95</v>
      </c>
      <c r="D296" s="22" t="s">
        <v>617</v>
      </c>
      <c r="E296" s="323" t="s">
        <v>872</v>
      </c>
      <c r="F296" s="5"/>
      <c r="G296" s="389" t="s">
        <v>241</v>
      </c>
      <c r="H296" s="316" t="s">
        <v>941</v>
      </c>
      <c r="I296" s="5"/>
      <c r="J296" s="5"/>
      <c r="K296" s="14"/>
    </row>
    <row r="297" spans="2:11">
      <c r="B297" s="42">
        <v>175</v>
      </c>
      <c r="C297" s="21" t="s">
        <v>94</v>
      </c>
      <c r="D297" s="22" t="s">
        <v>604</v>
      </c>
      <c r="E297" s="323" t="s">
        <v>872</v>
      </c>
      <c r="F297" s="5"/>
      <c r="G297" s="389" t="s">
        <v>251</v>
      </c>
      <c r="H297" s="316" t="s">
        <v>941</v>
      </c>
      <c r="I297" s="5"/>
      <c r="J297" s="5"/>
      <c r="K297" s="14"/>
    </row>
    <row r="298" spans="2:11">
      <c r="B298" s="42">
        <v>114</v>
      </c>
      <c r="C298" s="21" t="s">
        <v>33</v>
      </c>
      <c r="D298" s="22" t="s">
        <v>585</v>
      </c>
      <c r="E298" s="323" t="s">
        <v>872</v>
      </c>
      <c r="F298" s="5"/>
      <c r="G298" s="389" t="s">
        <v>184</v>
      </c>
      <c r="H298" s="316" t="s">
        <v>941</v>
      </c>
      <c r="I298" s="5"/>
      <c r="J298" s="5"/>
      <c r="K298" s="14"/>
    </row>
    <row r="299" spans="2:11">
      <c r="B299" s="42">
        <v>115</v>
      </c>
      <c r="C299" s="21" t="s">
        <v>34</v>
      </c>
      <c r="D299" s="22" t="s">
        <v>603</v>
      </c>
      <c r="E299" s="323" t="s">
        <v>872</v>
      </c>
      <c r="F299" s="5"/>
      <c r="G299" s="389" t="s">
        <v>194</v>
      </c>
      <c r="H299" s="316" t="s">
        <v>941</v>
      </c>
      <c r="I299" s="5"/>
      <c r="J299" s="5"/>
      <c r="K299" s="14"/>
    </row>
    <row r="300" spans="2:11">
      <c r="B300" s="42">
        <v>122</v>
      </c>
      <c r="C300" s="21" t="s">
        <v>41</v>
      </c>
      <c r="D300" s="22" t="s">
        <v>540</v>
      </c>
      <c r="E300" s="323" t="s">
        <v>872</v>
      </c>
      <c r="F300" s="5"/>
      <c r="G300" s="389" t="s">
        <v>243</v>
      </c>
      <c r="H300" s="316" t="s">
        <v>941</v>
      </c>
      <c r="I300" s="5"/>
      <c r="J300" s="5"/>
      <c r="K300" s="14"/>
    </row>
    <row r="301" spans="2:11">
      <c r="B301" s="42">
        <v>123</v>
      </c>
      <c r="C301" s="21" t="s">
        <v>42</v>
      </c>
      <c r="D301" s="22" t="s">
        <v>561</v>
      </c>
      <c r="E301" s="323" t="s">
        <v>872</v>
      </c>
      <c r="F301" s="5"/>
      <c r="G301" s="389" t="s">
        <v>253</v>
      </c>
      <c r="H301" s="316" t="s">
        <v>941</v>
      </c>
      <c r="I301" s="5"/>
      <c r="J301" s="5"/>
      <c r="K301" s="14"/>
    </row>
    <row r="302" spans="2:11">
      <c r="B302" s="42">
        <v>112</v>
      </c>
      <c r="C302" s="21" t="s">
        <v>31</v>
      </c>
      <c r="D302" s="22" t="s">
        <v>539</v>
      </c>
      <c r="E302" s="323" t="s">
        <v>872</v>
      </c>
      <c r="F302" s="5"/>
      <c r="G302" s="389" t="s">
        <v>203</v>
      </c>
      <c r="H302" s="316" t="s">
        <v>941</v>
      </c>
      <c r="I302" s="5"/>
      <c r="J302" s="5"/>
      <c r="K302" s="14"/>
    </row>
    <row r="303" spans="2:11">
      <c r="B303" s="42">
        <v>113</v>
      </c>
      <c r="C303" s="21" t="s">
        <v>32</v>
      </c>
      <c r="D303" s="22" t="s">
        <v>560</v>
      </c>
      <c r="E303" s="323" t="s">
        <v>872</v>
      </c>
      <c r="F303" s="5"/>
      <c r="G303" s="389" t="s">
        <v>213</v>
      </c>
      <c r="H303" s="316" t="s">
        <v>941</v>
      </c>
      <c r="I303" s="5"/>
      <c r="J303" s="5"/>
      <c r="K303" s="14"/>
    </row>
    <row r="304" spans="2:11">
      <c r="B304" s="42">
        <v>141</v>
      </c>
      <c r="C304" s="21" t="s">
        <v>60</v>
      </c>
      <c r="D304" s="22" t="s">
        <v>526</v>
      </c>
      <c r="E304" s="323" t="s">
        <v>872</v>
      </c>
      <c r="F304" s="5"/>
      <c r="G304" s="389" t="s">
        <v>245</v>
      </c>
      <c r="H304" s="316" t="s">
        <v>941</v>
      </c>
      <c r="I304" s="5"/>
      <c r="J304" s="5"/>
      <c r="K304" s="14"/>
    </row>
    <row r="305" spans="2:11">
      <c r="B305" s="42">
        <v>131</v>
      </c>
      <c r="C305" s="21" t="s">
        <v>50</v>
      </c>
      <c r="D305" s="22" t="s">
        <v>525</v>
      </c>
      <c r="E305" s="323" t="s">
        <v>872</v>
      </c>
      <c r="F305" s="5"/>
      <c r="G305" s="389" t="s">
        <v>255</v>
      </c>
      <c r="H305" s="316" t="s">
        <v>941</v>
      </c>
      <c r="I305" s="5"/>
      <c r="J305" s="5"/>
      <c r="K305" s="14"/>
    </row>
    <row r="306" spans="2:11">
      <c r="B306" s="42">
        <v>121</v>
      </c>
      <c r="C306" s="21" t="s">
        <v>40</v>
      </c>
      <c r="D306" s="22" t="s">
        <v>524</v>
      </c>
      <c r="E306" s="323" t="s">
        <v>872</v>
      </c>
      <c r="F306" s="5"/>
      <c r="G306" s="389" t="s">
        <v>205</v>
      </c>
      <c r="H306" s="316" t="s">
        <v>941</v>
      </c>
      <c r="I306" s="5"/>
      <c r="J306" s="5"/>
      <c r="K306" s="14"/>
    </row>
    <row r="307" spans="2:11">
      <c r="B307" s="42">
        <v>111</v>
      </c>
      <c r="C307" s="21" t="s">
        <v>30</v>
      </c>
      <c r="D307" s="22" t="s">
        <v>523</v>
      </c>
      <c r="E307" s="323" t="s">
        <v>872</v>
      </c>
      <c r="F307" s="5"/>
      <c r="G307" s="389" t="s">
        <v>215</v>
      </c>
      <c r="H307" s="316" t="s">
        <v>941</v>
      </c>
      <c r="I307" s="5"/>
      <c r="J307" s="5"/>
      <c r="K307" s="14"/>
    </row>
    <row r="308" spans="2:11">
      <c r="B308" s="42">
        <v>132</v>
      </c>
      <c r="C308" s="21" t="s">
        <v>51</v>
      </c>
      <c r="D308" s="22" t="s">
        <v>541</v>
      </c>
      <c r="E308" s="323" t="s">
        <v>872</v>
      </c>
      <c r="F308" s="5"/>
      <c r="G308" s="389" t="s">
        <v>224</v>
      </c>
      <c r="H308" s="316" t="s">
        <v>941</v>
      </c>
      <c r="I308" s="5"/>
      <c r="J308" s="5"/>
      <c r="K308" s="14"/>
    </row>
    <row r="309" spans="2:11">
      <c r="B309" s="42">
        <v>133</v>
      </c>
      <c r="C309" s="21" t="s">
        <v>52</v>
      </c>
      <c r="D309" s="22" t="s">
        <v>562</v>
      </c>
      <c r="E309" s="323" t="s">
        <v>872</v>
      </c>
      <c r="F309" s="5"/>
      <c r="G309" s="389" t="s">
        <v>234</v>
      </c>
      <c r="H309" s="316" t="s">
        <v>941</v>
      </c>
      <c r="I309" s="5"/>
      <c r="J309" s="5"/>
      <c r="K309" s="14"/>
    </row>
    <row r="310" spans="2:11">
      <c r="B310" s="42">
        <v>124</v>
      </c>
      <c r="C310" s="21" t="s">
        <v>43</v>
      </c>
      <c r="D310" s="22" t="s">
        <v>465</v>
      </c>
      <c r="E310" s="323" t="s">
        <v>872</v>
      </c>
      <c r="F310" s="279"/>
      <c r="G310" s="258" t="s">
        <v>978</v>
      </c>
      <c r="H310" s="279"/>
      <c r="I310" s="5"/>
      <c r="J310" s="5"/>
      <c r="K310" s="14"/>
    </row>
    <row r="311" spans="2:11">
      <c r="B311" s="42">
        <v>125</v>
      </c>
      <c r="C311" s="21" t="s">
        <v>44</v>
      </c>
      <c r="D311" s="22" t="s">
        <v>456</v>
      </c>
      <c r="E311" s="323" t="s">
        <v>872</v>
      </c>
      <c r="F311" s="279"/>
      <c r="G311" s="258" t="s">
        <v>979</v>
      </c>
      <c r="H311" s="279"/>
      <c r="I311" s="5"/>
      <c r="J311" s="5"/>
      <c r="K311" s="14"/>
    </row>
    <row r="312" spans="2:11">
      <c r="B312" s="42">
        <v>162</v>
      </c>
      <c r="C312" s="21" t="s">
        <v>81</v>
      </c>
      <c r="D312" s="22" t="s">
        <v>433</v>
      </c>
      <c r="E312" s="5"/>
      <c r="F312" s="5"/>
      <c r="G312" s="5"/>
      <c r="H312" s="5"/>
      <c r="I312" s="5"/>
      <c r="J312" s="5"/>
      <c r="K312" s="14"/>
    </row>
    <row r="313" spans="2:11">
      <c r="B313" s="42">
        <v>161</v>
      </c>
      <c r="C313" s="21" t="s">
        <v>80</v>
      </c>
      <c r="D313" s="22" t="s">
        <v>327</v>
      </c>
      <c r="E313" s="323" t="s">
        <v>872</v>
      </c>
      <c r="F313" s="323"/>
      <c r="G313" s="388" t="s">
        <v>87</v>
      </c>
      <c r="H313" s="5"/>
      <c r="I313" s="5"/>
      <c r="J313" s="5"/>
      <c r="K313" s="14"/>
    </row>
    <row r="314" spans="2:11">
      <c r="B314" s="42">
        <v>164</v>
      </c>
      <c r="C314" s="21" t="s">
        <v>83</v>
      </c>
      <c r="D314" s="22" t="s">
        <v>458</v>
      </c>
      <c r="E314" s="5"/>
      <c r="F314" s="5"/>
      <c r="G314" s="5"/>
      <c r="H314" s="5"/>
      <c r="I314" s="5"/>
      <c r="J314" s="5"/>
      <c r="K314" s="14"/>
    </row>
    <row r="315" spans="2:11">
      <c r="B315" s="42">
        <v>163</v>
      </c>
      <c r="C315" s="21" t="s">
        <v>82</v>
      </c>
      <c r="D315" s="22" t="s">
        <v>448</v>
      </c>
      <c r="E315" s="323" t="s">
        <v>872</v>
      </c>
      <c r="F315" s="323"/>
      <c r="G315" s="388" t="s">
        <v>97</v>
      </c>
      <c r="H315" s="5"/>
      <c r="I315" s="5"/>
      <c r="J315" s="5"/>
      <c r="K315" s="14"/>
    </row>
    <row r="316" spans="2:11">
      <c r="B316" s="42">
        <v>181</v>
      </c>
      <c r="C316" s="21" t="s">
        <v>100</v>
      </c>
      <c r="D316" s="22" t="s">
        <v>432</v>
      </c>
      <c r="E316" s="5"/>
      <c r="F316" s="5"/>
      <c r="G316" s="5"/>
      <c r="H316" s="5"/>
      <c r="I316" s="5"/>
      <c r="J316" s="5"/>
      <c r="K316" s="14"/>
    </row>
    <row r="317" spans="2:11">
      <c r="B317" s="42">
        <v>191</v>
      </c>
      <c r="C317" s="21" t="s">
        <v>110</v>
      </c>
      <c r="D317" s="22" t="s">
        <v>432</v>
      </c>
      <c r="E317" s="5"/>
      <c r="F317" s="5"/>
      <c r="G317" s="5"/>
      <c r="H317" s="5"/>
      <c r="I317" s="5"/>
      <c r="J317" s="5"/>
      <c r="K317" s="14"/>
    </row>
    <row r="318" spans="2:11">
      <c r="B318" s="42">
        <v>201</v>
      </c>
      <c r="C318" s="21" t="s">
        <v>120</v>
      </c>
      <c r="D318" s="22" t="s">
        <v>432</v>
      </c>
      <c r="E318" s="5"/>
      <c r="F318" s="5"/>
      <c r="G318" s="5"/>
      <c r="H318" s="5"/>
      <c r="I318" s="5"/>
      <c r="J318" s="5"/>
      <c r="K318" s="14"/>
    </row>
    <row r="319" spans="2:11">
      <c r="B319" s="42">
        <v>211</v>
      </c>
      <c r="C319" s="21" t="s">
        <v>130</v>
      </c>
      <c r="D319" s="22" t="s">
        <v>432</v>
      </c>
      <c r="E319" s="5"/>
      <c r="F319" s="5"/>
      <c r="G319" s="5"/>
      <c r="H319" s="5"/>
      <c r="I319" s="5"/>
      <c r="J319" s="5"/>
      <c r="K319" s="14"/>
    </row>
    <row r="320" spans="2:11">
      <c r="B320" s="42">
        <v>185</v>
      </c>
      <c r="C320" s="21" t="s">
        <v>104</v>
      </c>
      <c r="D320" s="22" t="s">
        <v>432</v>
      </c>
      <c r="E320" s="5"/>
      <c r="F320" s="5"/>
      <c r="G320" s="5"/>
      <c r="H320" s="5"/>
      <c r="I320" s="5"/>
      <c r="J320" s="5"/>
      <c r="K320" s="14"/>
    </row>
    <row r="321" spans="2:11">
      <c r="B321" s="42">
        <v>195</v>
      </c>
      <c r="C321" s="21" t="s">
        <v>114</v>
      </c>
      <c r="D321" s="22" t="s">
        <v>432</v>
      </c>
      <c r="E321" s="5"/>
      <c r="F321" s="5"/>
      <c r="G321" s="5"/>
      <c r="H321" s="5"/>
      <c r="I321" s="5"/>
      <c r="J321" s="5"/>
      <c r="K321" s="14"/>
    </row>
    <row r="322" spans="2:11">
      <c r="B322" s="42">
        <v>205</v>
      </c>
      <c r="C322" s="21" t="s">
        <v>124</v>
      </c>
      <c r="D322" s="22" t="s">
        <v>432</v>
      </c>
      <c r="E322" s="5"/>
      <c r="F322" s="5"/>
      <c r="G322" s="5"/>
      <c r="H322" s="5"/>
      <c r="I322" s="5"/>
      <c r="J322" s="5"/>
      <c r="K322" s="14"/>
    </row>
    <row r="323" spans="2:11">
      <c r="B323" s="42">
        <v>215</v>
      </c>
      <c r="C323" s="21" t="s">
        <v>134</v>
      </c>
      <c r="D323" s="22" t="s">
        <v>432</v>
      </c>
      <c r="E323" s="5"/>
      <c r="F323" s="5"/>
      <c r="G323" s="5"/>
      <c r="H323" s="5"/>
      <c r="I323" s="5"/>
      <c r="J323" s="5"/>
      <c r="K323" s="14"/>
    </row>
    <row r="324" spans="2:11">
      <c r="B324" s="42">
        <v>186</v>
      </c>
      <c r="C324" s="21" t="s">
        <v>105</v>
      </c>
      <c r="D324" s="22" t="s">
        <v>432</v>
      </c>
      <c r="E324" s="5"/>
      <c r="F324" s="5"/>
      <c r="G324" s="5"/>
      <c r="H324" s="5"/>
      <c r="I324" s="5"/>
      <c r="J324" s="5"/>
      <c r="K324" s="14"/>
    </row>
    <row r="325" spans="2:11">
      <c r="B325" s="42">
        <v>196</v>
      </c>
      <c r="C325" s="21" t="s">
        <v>115</v>
      </c>
      <c r="D325" s="22" t="s">
        <v>432</v>
      </c>
      <c r="E325" s="5"/>
      <c r="F325" s="5"/>
      <c r="G325" s="5"/>
      <c r="H325" s="5"/>
      <c r="I325" s="5"/>
      <c r="J325" s="5"/>
      <c r="K325" s="14"/>
    </row>
    <row r="326" spans="2:11">
      <c r="B326" s="42">
        <v>151</v>
      </c>
      <c r="C326" s="21" t="s">
        <v>70</v>
      </c>
      <c r="D326" s="22" t="s">
        <v>326</v>
      </c>
      <c r="E326" s="5"/>
      <c r="F326" s="5"/>
      <c r="G326" s="5"/>
      <c r="H326" s="5"/>
      <c r="I326" s="5"/>
      <c r="J326" s="5"/>
      <c r="K326" s="14"/>
    </row>
    <row r="327" spans="2:11">
      <c r="B327" s="42">
        <v>172</v>
      </c>
      <c r="C327" s="21" t="s">
        <v>91</v>
      </c>
      <c r="D327" s="22" t="s">
        <v>434</v>
      </c>
      <c r="E327" s="5"/>
      <c r="F327" s="5"/>
      <c r="G327" s="5"/>
      <c r="H327" s="5"/>
      <c r="I327" s="5"/>
      <c r="J327" s="5"/>
      <c r="K327" s="14"/>
    </row>
    <row r="328" spans="2:11">
      <c r="B328" s="42">
        <v>171</v>
      </c>
      <c r="C328" s="21" t="s">
        <v>90</v>
      </c>
      <c r="D328" s="22" t="s">
        <v>328</v>
      </c>
      <c r="E328" s="5"/>
      <c r="F328" s="5"/>
      <c r="G328" s="5"/>
      <c r="H328" s="5"/>
      <c r="I328" s="5"/>
      <c r="J328" s="5"/>
      <c r="K328" s="14"/>
    </row>
    <row r="329" spans="2:11">
      <c r="B329" s="42">
        <v>142</v>
      </c>
      <c r="C329" s="21" t="s">
        <v>61</v>
      </c>
      <c r="D329" s="22" t="s">
        <v>329</v>
      </c>
      <c r="E329" s="5"/>
      <c r="F329" s="5"/>
      <c r="G329" s="5"/>
      <c r="H329" s="5"/>
      <c r="I329" s="5"/>
      <c r="J329" s="5"/>
      <c r="K329" s="14"/>
    </row>
    <row r="330" spans="2:11">
      <c r="B330" s="42">
        <v>152</v>
      </c>
      <c r="C330" s="21" t="s">
        <v>71</v>
      </c>
      <c r="D330" s="22" t="s">
        <v>329</v>
      </c>
      <c r="E330" s="5"/>
      <c r="F330" s="5"/>
      <c r="G330" s="5"/>
      <c r="H330" s="5"/>
      <c r="I330" s="5"/>
      <c r="J330" s="5"/>
      <c r="K330" s="14"/>
    </row>
    <row r="331" spans="2:11">
      <c r="B331" s="42">
        <v>143</v>
      </c>
      <c r="C331" s="21" t="s">
        <v>62</v>
      </c>
      <c r="D331" s="22" t="s">
        <v>329</v>
      </c>
      <c r="E331" s="5"/>
      <c r="F331" s="5"/>
      <c r="G331" s="5"/>
      <c r="H331" s="5"/>
      <c r="I331" s="5"/>
      <c r="J331" s="5"/>
      <c r="K331" s="14"/>
    </row>
    <row r="332" spans="2:11">
      <c r="B332" s="42">
        <v>153</v>
      </c>
      <c r="C332" s="21" t="s">
        <v>72</v>
      </c>
      <c r="D332" s="22" t="s">
        <v>329</v>
      </c>
      <c r="E332" s="5"/>
      <c r="F332" s="5"/>
      <c r="G332" s="5"/>
      <c r="H332" s="5"/>
      <c r="I332" s="5"/>
      <c r="J332" s="5"/>
      <c r="K332" s="14"/>
    </row>
    <row r="333" spans="2:11">
      <c r="B333" s="42">
        <v>144</v>
      </c>
      <c r="C333" s="21" t="s">
        <v>63</v>
      </c>
      <c r="D333" s="22" t="s">
        <v>329</v>
      </c>
      <c r="E333" s="5"/>
      <c r="F333" s="5"/>
      <c r="G333" s="5"/>
      <c r="H333" s="5"/>
      <c r="I333" s="5"/>
      <c r="J333" s="5"/>
      <c r="K333" s="14"/>
    </row>
    <row r="334" spans="2:11">
      <c r="B334" s="42">
        <v>154</v>
      </c>
      <c r="C334" s="21" t="s">
        <v>73</v>
      </c>
      <c r="D334" s="22" t="s">
        <v>329</v>
      </c>
      <c r="E334" s="5"/>
      <c r="F334" s="5"/>
      <c r="G334" s="5"/>
      <c r="H334" s="5"/>
      <c r="I334" s="5"/>
      <c r="J334" s="5"/>
      <c r="K334" s="14"/>
    </row>
    <row r="335" spans="2:11">
      <c r="B335" s="42">
        <v>145</v>
      </c>
      <c r="C335" s="21" t="s">
        <v>64</v>
      </c>
      <c r="D335" s="22" t="s">
        <v>329</v>
      </c>
      <c r="E335" s="5"/>
      <c r="F335" s="5"/>
      <c r="G335" s="5"/>
      <c r="H335" s="5"/>
      <c r="I335" s="5"/>
      <c r="J335" s="5"/>
      <c r="K335" s="14"/>
    </row>
    <row r="336" spans="2:11">
      <c r="B336" s="42">
        <v>155</v>
      </c>
      <c r="C336" s="21" t="s">
        <v>74</v>
      </c>
      <c r="D336" s="22" t="s">
        <v>329</v>
      </c>
      <c r="E336" s="5"/>
      <c r="F336" s="5"/>
      <c r="G336" s="5"/>
      <c r="H336" s="5"/>
      <c r="I336" s="5"/>
      <c r="J336" s="5"/>
      <c r="K336" s="14"/>
    </row>
    <row r="337" spans="2:11">
      <c r="B337" s="42">
        <v>165</v>
      </c>
      <c r="C337" s="21" t="s">
        <v>84</v>
      </c>
      <c r="D337" s="22" t="s">
        <v>329</v>
      </c>
      <c r="E337" s="5"/>
      <c r="F337" s="5"/>
      <c r="G337" s="5"/>
      <c r="H337" s="5"/>
      <c r="I337" s="5"/>
      <c r="J337" s="5"/>
      <c r="K337" s="14"/>
    </row>
    <row r="338" spans="2:11">
      <c r="B338" s="42">
        <v>146</v>
      </c>
      <c r="C338" s="21" t="s">
        <v>65</v>
      </c>
      <c r="D338" s="22" t="s">
        <v>329</v>
      </c>
      <c r="E338" s="5"/>
      <c r="F338" s="5"/>
      <c r="G338" s="5"/>
      <c r="H338" s="5"/>
      <c r="I338" s="5"/>
      <c r="J338" s="5"/>
      <c r="K338" s="14"/>
    </row>
    <row r="339" spans="2:11">
      <c r="B339" s="42">
        <v>156</v>
      </c>
      <c r="C339" s="21" t="s">
        <v>75</v>
      </c>
      <c r="D339" s="22" t="s">
        <v>329</v>
      </c>
      <c r="E339" s="5"/>
      <c r="F339" s="5"/>
      <c r="G339" s="5"/>
      <c r="H339" s="5"/>
      <c r="I339" s="5"/>
      <c r="J339" s="5"/>
      <c r="K339" s="14"/>
    </row>
    <row r="340" spans="2:11">
      <c r="B340" s="42">
        <v>166</v>
      </c>
      <c r="C340" s="21" t="s">
        <v>85</v>
      </c>
      <c r="D340" s="22" t="s">
        <v>329</v>
      </c>
      <c r="E340" s="5"/>
      <c r="F340" s="5"/>
      <c r="G340" s="5"/>
      <c r="H340" s="5"/>
      <c r="I340" s="5"/>
      <c r="J340" s="5"/>
      <c r="K340" s="14"/>
    </row>
    <row r="341" spans="2:11">
      <c r="B341" s="42">
        <v>212</v>
      </c>
      <c r="C341" s="21" t="s">
        <v>131</v>
      </c>
      <c r="D341" s="22" t="s">
        <v>436</v>
      </c>
      <c r="E341" s="5"/>
      <c r="F341" s="5"/>
      <c r="G341" s="5"/>
      <c r="H341" s="5"/>
      <c r="I341" s="5"/>
      <c r="J341" s="5"/>
      <c r="K341" s="14"/>
    </row>
    <row r="342" spans="2:11">
      <c r="B342" s="42">
        <v>202</v>
      </c>
      <c r="C342" s="21" t="s">
        <v>121</v>
      </c>
      <c r="D342" s="327" t="s">
        <v>435</v>
      </c>
      <c r="E342" s="323" t="s">
        <v>872</v>
      </c>
      <c r="F342" s="323"/>
      <c r="G342" s="387" t="s">
        <v>27</v>
      </c>
      <c r="H342" s="5"/>
      <c r="I342" s="5"/>
      <c r="J342" s="5"/>
      <c r="K342" s="14"/>
    </row>
    <row r="343" spans="2:11">
      <c r="B343" s="42">
        <v>174</v>
      </c>
      <c r="C343" s="21" t="s">
        <v>93</v>
      </c>
      <c r="D343" s="327" t="s">
        <v>459</v>
      </c>
      <c r="E343" s="323" t="s">
        <v>872</v>
      </c>
      <c r="F343" s="5"/>
      <c r="G343" s="387" t="s">
        <v>1037</v>
      </c>
      <c r="H343" s="5"/>
      <c r="I343" s="5"/>
      <c r="J343" s="5"/>
      <c r="K343" s="14"/>
    </row>
    <row r="344" spans="2:11">
      <c r="B344" s="42">
        <v>173</v>
      </c>
      <c r="C344" s="21" t="s">
        <v>92</v>
      </c>
      <c r="D344" s="327" t="s">
        <v>449</v>
      </c>
      <c r="E344" s="323" t="s">
        <v>872</v>
      </c>
      <c r="F344" s="5"/>
      <c r="G344" s="388" t="s">
        <v>1038</v>
      </c>
      <c r="H344" s="5"/>
      <c r="I344" s="5"/>
      <c r="J344" s="5"/>
      <c r="K344" s="14"/>
    </row>
    <row r="345" spans="2:11">
      <c r="B345" s="42">
        <v>135</v>
      </c>
      <c r="C345" s="21" t="s">
        <v>54</v>
      </c>
      <c r="D345" s="327" t="s">
        <v>457</v>
      </c>
      <c r="E345" s="323" t="s">
        <v>872</v>
      </c>
      <c r="F345" s="324"/>
      <c r="G345" s="324" t="s">
        <v>317</v>
      </c>
      <c r="H345" s="5"/>
      <c r="I345" s="5"/>
      <c r="J345" s="5"/>
      <c r="K345" s="14"/>
    </row>
    <row r="346" spans="2:11">
      <c r="B346" s="42">
        <v>134</v>
      </c>
      <c r="C346" s="21" t="s">
        <v>53</v>
      </c>
      <c r="D346" s="327" t="s">
        <v>466</v>
      </c>
      <c r="E346" s="323" t="s">
        <v>872</v>
      </c>
      <c r="F346" s="5"/>
      <c r="G346" s="387" t="s">
        <v>974</v>
      </c>
      <c r="H346" s="5"/>
      <c r="I346" s="5"/>
      <c r="J346" s="5"/>
      <c r="K346" s="14"/>
    </row>
    <row r="347" spans="2:11">
      <c r="B347" s="213">
        <v>332</v>
      </c>
      <c r="C347" s="214" t="s">
        <v>251</v>
      </c>
      <c r="D347" s="215" t="s">
        <v>549</v>
      </c>
      <c r="E347" s="199"/>
      <c r="F347" s="216"/>
      <c r="G347" s="216"/>
      <c r="H347" s="199"/>
      <c r="I347" s="216"/>
      <c r="J347" s="216"/>
      <c r="K347" s="217"/>
    </row>
    <row r="348" spans="2:11">
      <c r="B348" s="213">
        <v>331</v>
      </c>
      <c r="C348" s="214" t="s">
        <v>250</v>
      </c>
      <c r="D348" s="215" t="s">
        <v>529</v>
      </c>
      <c r="E348" s="199"/>
      <c r="F348" s="216"/>
      <c r="G348" s="216"/>
      <c r="H348" s="199"/>
      <c r="I348" s="216"/>
      <c r="J348" s="216"/>
      <c r="K348" s="217"/>
    </row>
    <row r="349" spans="2:11">
      <c r="B349" s="213">
        <v>322</v>
      </c>
      <c r="C349" s="214" t="s">
        <v>241</v>
      </c>
      <c r="D349" s="215" t="s">
        <v>548</v>
      </c>
      <c r="E349" s="199"/>
      <c r="F349" s="216"/>
      <c r="G349" s="216"/>
      <c r="H349" s="199"/>
      <c r="I349" s="216"/>
      <c r="J349" s="216"/>
      <c r="K349" s="217"/>
    </row>
    <row r="350" spans="2:11">
      <c r="B350" s="213">
        <v>321</v>
      </c>
      <c r="C350" s="214" t="s">
        <v>240</v>
      </c>
      <c r="D350" s="215" t="s">
        <v>528</v>
      </c>
      <c r="E350" s="199"/>
      <c r="F350" s="216"/>
      <c r="G350" s="216"/>
      <c r="H350" s="199"/>
      <c r="I350" s="216"/>
      <c r="J350" s="216"/>
      <c r="K350" s="217"/>
    </row>
    <row r="351" spans="2:11">
      <c r="B351" s="213">
        <v>312</v>
      </c>
      <c r="C351" s="214" t="s">
        <v>231</v>
      </c>
      <c r="D351" s="215" t="s">
        <v>547</v>
      </c>
      <c r="E351" s="199"/>
      <c r="F351" s="216"/>
      <c r="G351" s="216"/>
      <c r="H351" s="199"/>
      <c r="I351" s="216"/>
      <c r="J351" s="216"/>
      <c r="K351" s="217"/>
    </row>
    <row r="352" spans="2:11">
      <c r="B352" s="213">
        <v>311</v>
      </c>
      <c r="C352" s="214" t="s">
        <v>230</v>
      </c>
      <c r="D352" s="215" t="s">
        <v>527</v>
      </c>
      <c r="E352" s="199"/>
      <c r="F352" s="216"/>
      <c r="G352" s="216"/>
      <c r="H352" s="199"/>
      <c r="I352" s="216"/>
      <c r="J352" s="216"/>
      <c r="K352" s="217"/>
    </row>
    <row r="353" spans="2:11">
      <c r="B353" s="213">
        <v>313</v>
      </c>
      <c r="C353" s="214" t="s">
        <v>232</v>
      </c>
      <c r="D353" s="215" t="s">
        <v>572</v>
      </c>
      <c r="E353" s="199"/>
      <c r="F353" s="216"/>
      <c r="G353" s="216"/>
      <c r="H353" s="199"/>
      <c r="I353" s="216"/>
      <c r="J353" s="216"/>
      <c r="K353" s="217"/>
    </row>
    <row r="354" spans="2:11">
      <c r="B354" s="213">
        <v>323</v>
      </c>
      <c r="C354" s="214" t="s">
        <v>242</v>
      </c>
      <c r="D354" s="215" t="s">
        <v>573</v>
      </c>
      <c r="E354" s="199"/>
      <c r="F354" s="216"/>
      <c r="G354" s="216"/>
      <c r="H354" s="199"/>
      <c r="I354" s="216"/>
      <c r="J354" s="216"/>
      <c r="K354" s="217"/>
    </row>
    <row r="355" spans="2:11">
      <c r="B355" s="213">
        <v>303</v>
      </c>
      <c r="C355" s="214" t="s">
        <v>222</v>
      </c>
      <c r="D355" s="215" t="s">
        <v>571</v>
      </c>
      <c r="E355" s="199"/>
      <c r="F355" s="216"/>
      <c r="G355" s="216"/>
      <c r="H355" s="199"/>
      <c r="I355" s="216"/>
      <c r="J355" s="216"/>
      <c r="K355" s="217"/>
    </row>
    <row r="356" spans="2:11">
      <c r="B356" s="213">
        <v>293</v>
      </c>
      <c r="C356" s="214" t="s">
        <v>212</v>
      </c>
      <c r="D356" s="215" t="s">
        <v>570</v>
      </c>
      <c r="E356" s="199"/>
      <c r="F356" s="216"/>
      <c r="G356" s="216"/>
      <c r="H356" s="199"/>
      <c r="I356" s="216"/>
      <c r="J356" s="216"/>
      <c r="K356" s="217"/>
    </row>
    <row r="357" spans="2:11">
      <c r="B357" s="213">
        <v>324</v>
      </c>
      <c r="C357" s="214" t="s">
        <v>243</v>
      </c>
      <c r="D357" s="215" t="s">
        <v>594</v>
      </c>
      <c r="E357" s="199"/>
      <c r="F357" s="216"/>
      <c r="G357" s="216"/>
      <c r="H357" s="199"/>
      <c r="I357" s="216"/>
      <c r="J357" s="216"/>
      <c r="K357" s="217"/>
    </row>
    <row r="358" spans="2:11">
      <c r="B358" s="213">
        <v>314</v>
      </c>
      <c r="C358" s="214" t="s">
        <v>233</v>
      </c>
      <c r="D358" s="215" t="s">
        <v>593</v>
      </c>
      <c r="E358" s="199"/>
      <c r="F358" s="216"/>
      <c r="G358" s="216"/>
      <c r="H358" s="199"/>
      <c r="I358" s="216"/>
      <c r="J358" s="216"/>
      <c r="K358" s="217"/>
    </row>
    <row r="359" spans="2:11">
      <c r="B359" s="213">
        <v>244</v>
      </c>
      <c r="C359" s="214" t="s">
        <v>163</v>
      </c>
      <c r="D359" s="215" t="s">
        <v>592</v>
      </c>
      <c r="E359" s="199"/>
      <c r="F359" s="216"/>
      <c r="G359" s="216"/>
      <c r="H359" s="199"/>
      <c r="I359" s="216"/>
      <c r="J359" s="216"/>
      <c r="K359" s="217"/>
    </row>
    <row r="360" spans="2:11">
      <c r="B360" s="213">
        <v>245</v>
      </c>
      <c r="C360" s="214" t="s">
        <v>164</v>
      </c>
      <c r="D360" s="215" t="s">
        <v>607</v>
      </c>
      <c r="E360" s="199"/>
      <c r="F360" s="216"/>
      <c r="G360" s="216"/>
      <c r="H360" s="199"/>
      <c r="I360" s="216"/>
      <c r="J360" s="216"/>
      <c r="K360" s="217"/>
    </row>
    <row r="361" spans="2:11">
      <c r="B361" s="213">
        <v>234</v>
      </c>
      <c r="C361" s="214" t="s">
        <v>153</v>
      </c>
      <c r="D361" s="215" t="s">
        <v>591</v>
      </c>
      <c r="E361" s="199"/>
      <c r="F361" s="216"/>
      <c r="G361" s="216"/>
      <c r="H361" s="199"/>
      <c r="I361" s="216"/>
      <c r="J361" s="216"/>
      <c r="K361" s="217"/>
    </row>
    <row r="362" spans="2:11">
      <c r="B362" s="213">
        <v>235</v>
      </c>
      <c r="C362" s="214" t="s">
        <v>154</v>
      </c>
      <c r="D362" s="215" t="s">
        <v>606</v>
      </c>
      <c r="E362" s="199"/>
      <c r="F362" s="216"/>
      <c r="G362" s="216"/>
      <c r="H362" s="199"/>
      <c r="I362" s="216"/>
      <c r="J362" s="216"/>
      <c r="K362" s="217"/>
    </row>
    <row r="363" spans="2:11">
      <c r="B363" s="213">
        <v>224</v>
      </c>
      <c r="C363" s="214" t="s">
        <v>143</v>
      </c>
      <c r="D363" s="215" t="s">
        <v>590</v>
      </c>
      <c r="E363" s="199"/>
      <c r="F363" s="216"/>
      <c r="G363" s="216"/>
      <c r="H363" s="199"/>
      <c r="I363" s="216"/>
      <c r="J363" s="216"/>
      <c r="K363" s="217"/>
    </row>
    <row r="364" spans="2:11">
      <c r="B364" s="213">
        <v>225</v>
      </c>
      <c r="C364" s="214" t="s">
        <v>144</v>
      </c>
      <c r="D364" s="215" t="s">
        <v>605</v>
      </c>
      <c r="E364" s="199"/>
      <c r="F364" s="216"/>
      <c r="G364" s="216"/>
      <c r="H364" s="199"/>
      <c r="I364" s="216"/>
      <c r="J364" s="216"/>
      <c r="K364" s="217"/>
    </row>
    <row r="365" spans="2:11">
      <c r="B365" s="213">
        <v>252</v>
      </c>
      <c r="C365" s="214" t="s">
        <v>171</v>
      </c>
      <c r="D365" s="215" t="s">
        <v>546</v>
      </c>
      <c r="E365" s="199"/>
      <c r="F365" s="216"/>
      <c r="G365" s="216"/>
      <c r="H365" s="199"/>
      <c r="I365" s="216"/>
      <c r="J365" s="216"/>
      <c r="K365" s="217"/>
    </row>
    <row r="366" spans="2:11">
      <c r="B366" s="213">
        <v>253</v>
      </c>
      <c r="C366" s="214" t="s">
        <v>172</v>
      </c>
      <c r="D366" s="215" t="s">
        <v>569</v>
      </c>
      <c r="E366" s="199"/>
      <c r="F366" s="216"/>
      <c r="G366" s="216"/>
      <c r="H366" s="199"/>
      <c r="I366" s="216"/>
      <c r="J366" s="216"/>
      <c r="K366" s="217"/>
    </row>
    <row r="367" spans="2:11">
      <c r="B367" s="213">
        <v>242</v>
      </c>
      <c r="C367" s="214" t="s">
        <v>161</v>
      </c>
      <c r="D367" s="215" t="s">
        <v>545</v>
      </c>
      <c r="E367" s="199"/>
      <c r="F367" s="216"/>
      <c r="G367" s="216"/>
      <c r="H367" s="199"/>
      <c r="I367" s="216"/>
      <c r="J367" s="216"/>
      <c r="K367" s="217"/>
    </row>
    <row r="368" spans="2:11">
      <c r="B368" s="213">
        <v>243</v>
      </c>
      <c r="C368" s="214" t="s">
        <v>162</v>
      </c>
      <c r="D368" s="215" t="s">
        <v>568</v>
      </c>
      <c r="E368" s="199"/>
      <c r="F368" s="216"/>
      <c r="G368" s="216"/>
      <c r="H368" s="199"/>
      <c r="I368" s="216"/>
      <c r="J368" s="216"/>
      <c r="K368" s="217"/>
    </row>
    <row r="369" spans="2:11">
      <c r="B369" s="213">
        <v>222</v>
      </c>
      <c r="C369" s="214" t="s">
        <v>141</v>
      </c>
      <c r="D369" s="215" t="s">
        <v>544</v>
      </c>
      <c r="E369" s="199"/>
      <c r="F369" s="216"/>
      <c r="G369" s="216"/>
      <c r="H369" s="199"/>
      <c r="I369" s="216"/>
      <c r="J369" s="216"/>
      <c r="K369" s="217"/>
    </row>
    <row r="370" spans="2:11">
      <c r="B370" s="213">
        <v>223</v>
      </c>
      <c r="C370" s="214" t="s">
        <v>142</v>
      </c>
      <c r="D370" s="215" t="s">
        <v>567</v>
      </c>
      <c r="E370" s="199"/>
      <c r="F370" s="216"/>
      <c r="G370" s="216"/>
      <c r="H370" s="199"/>
      <c r="I370" s="216"/>
      <c r="J370" s="216"/>
      <c r="K370" s="217"/>
    </row>
    <row r="371" spans="2:11">
      <c r="B371" s="213">
        <v>254</v>
      </c>
      <c r="C371" s="214" t="s">
        <v>173</v>
      </c>
      <c r="D371" s="215" t="s">
        <v>460</v>
      </c>
      <c r="E371" s="199"/>
      <c r="F371" s="216"/>
      <c r="G371" s="216"/>
      <c r="H371" s="199"/>
      <c r="I371" s="216"/>
      <c r="J371" s="216"/>
      <c r="K371" s="217"/>
    </row>
    <row r="372" spans="2:11">
      <c r="B372" s="213">
        <v>255</v>
      </c>
      <c r="C372" s="214" t="s">
        <v>174</v>
      </c>
      <c r="D372" s="215" t="s">
        <v>467</v>
      </c>
      <c r="E372" s="199"/>
      <c r="F372" s="216"/>
      <c r="G372" s="216"/>
      <c r="H372" s="199"/>
      <c r="I372" s="216"/>
      <c r="J372" s="216"/>
      <c r="K372" s="217"/>
    </row>
    <row r="373" spans="2:11">
      <c r="B373" s="213">
        <v>275</v>
      </c>
      <c r="C373" s="214" t="s">
        <v>194</v>
      </c>
      <c r="D373" s="215" t="s">
        <v>468</v>
      </c>
      <c r="E373" s="199"/>
      <c r="F373" s="216"/>
      <c r="G373" s="216"/>
      <c r="H373" s="199"/>
      <c r="I373" s="216"/>
      <c r="J373" s="216"/>
      <c r="K373" s="217"/>
    </row>
    <row r="374" spans="2:11">
      <c r="B374" s="213">
        <v>274</v>
      </c>
      <c r="C374" s="214" t="s">
        <v>193</v>
      </c>
      <c r="D374" s="215" t="s">
        <v>461</v>
      </c>
      <c r="E374" s="199"/>
      <c r="F374" s="216"/>
      <c r="G374" s="216"/>
      <c r="H374" s="199"/>
      <c r="I374" s="216"/>
      <c r="J374" s="216"/>
      <c r="K374" s="217"/>
    </row>
    <row r="375" spans="2:11">
      <c r="B375" s="213">
        <v>272</v>
      </c>
      <c r="C375" s="214" t="s">
        <v>191</v>
      </c>
      <c r="D375" s="215" t="s">
        <v>438</v>
      </c>
      <c r="E375" s="199"/>
      <c r="F375" s="216"/>
      <c r="G375" s="216"/>
      <c r="H375" s="199"/>
      <c r="I375" s="216"/>
      <c r="J375" s="216"/>
      <c r="K375" s="217"/>
    </row>
    <row r="376" spans="2:11">
      <c r="B376" s="213">
        <v>273</v>
      </c>
      <c r="C376" s="214" t="s">
        <v>192</v>
      </c>
      <c r="D376" s="215" t="s">
        <v>451</v>
      </c>
      <c r="E376" s="199"/>
      <c r="F376" s="216"/>
      <c r="G376" s="216"/>
      <c r="H376" s="199"/>
      <c r="I376" s="216"/>
      <c r="J376" s="216"/>
      <c r="K376" s="217"/>
    </row>
    <row r="377" spans="2:11">
      <c r="B377" s="213">
        <v>291</v>
      </c>
      <c r="C377" s="214" t="s">
        <v>210</v>
      </c>
      <c r="D377" s="215" t="s">
        <v>330</v>
      </c>
      <c r="E377" s="199"/>
      <c r="F377" s="216"/>
      <c r="G377" s="216"/>
      <c r="H377" s="199"/>
      <c r="I377" s="216"/>
      <c r="J377" s="216"/>
      <c r="K377" s="217"/>
    </row>
    <row r="378" spans="2:11">
      <c r="B378" s="213">
        <v>292</v>
      </c>
      <c r="C378" s="214" t="s">
        <v>211</v>
      </c>
      <c r="D378" s="215" t="s">
        <v>330</v>
      </c>
      <c r="E378" s="199"/>
      <c r="F378" s="216"/>
      <c r="G378" s="216"/>
      <c r="H378" s="199"/>
      <c r="I378" s="216"/>
      <c r="J378" s="216"/>
      <c r="K378" s="217"/>
    </row>
    <row r="379" spans="2:11">
      <c r="B379" s="213">
        <v>295</v>
      </c>
      <c r="C379" s="214" t="s">
        <v>214</v>
      </c>
      <c r="D379" s="215" t="s">
        <v>330</v>
      </c>
      <c r="E379" s="199"/>
      <c r="F379" s="216"/>
      <c r="G379" s="216"/>
      <c r="H379" s="199"/>
      <c r="I379" s="216"/>
      <c r="J379" s="216"/>
      <c r="K379" s="217"/>
    </row>
    <row r="380" spans="2:11">
      <c r="B380" s="213">
        <v>305</v>
      </c>
      <c r="C380" s="214" t="s">
        <v>224</v>
      </c>
      <c r="D380" s="215" t="s">
        <v>330</v>
      </c>
      <c r="E380" s="199"/>
      <c r="F380" s="216"/>
      <c r="G380" s="216"/>
      <c r="H380" s="199"/>
      <c r="I380" s="216"/>
      <c r="J380" s="216"/>
      <c r="K380" s="217"/>
    </row>
    <row r="381" spans="2:11">
      <c r="B381" s="213">
        <v>315</v>
      </c>
      <c r="C381" s="214" t="s">
        <v>234</v>
      </c>
      <c r="D381" s="215" t="s">
        <v>330</v>
      </c>
      <c r="E381" s="199"/>
      <c r="F381" s="216"/>
      <c r="G381" s="216"/>
      <c r="H381" s="199"/>
      <c r="I381" s="216"/>
      <c r="J381" s="216"/>
      <c r="K381" s="217"/>
    </row>
    <row r="382" spans="2:11">
      <c r="B382" s="213">
        <v>325</v>
      </c>
      <c r="C382" s="214" t="s">
        <v>244</v>
      </c>
      <c r="D382" s="215" t="s">
        <v>330</v>
      </c>
      <c r="E382" s="199"/>
      <c r="F382" s="216"/>
      <c r="G382" s="216"/>
      <c r="H382" s="199"/>
      <c r="I382" s="216"/>
      <c r="J382" s="216"/>
      <c r="K382" s="217"/>
    </row>
    <row r="383" spans="2:11">
      <c r="B383" s="213">
        <v>261</v>
      </c>
      <c r="C383" s="214" t="s">
        <v>180</v>
      </c>
      <c r="D383" s="215" t="s">
        <v>331</v>
      </c>
      <c r="E383" s="199"/>
      <c r="F383" s="216"/>
      <c r="G383" s="216"/>
      <c r="H383" s="199"/>
      <c r="I383" s="216"/>
      <c r="J383" s="216"/>
      <c r="K383" s="217"/>
    </row>
    <row r="384" spans="2:11">
      <c r="B384" s="213">
        <v>281</v>
      </c>
      <c r="C384" s="214" t="s">
        <v>200</v>
      </c>
      <c r="D384" s="215" t="s">
        <v>333</v>
      </c>
      <c r="E384" s="199"/>
      <c r="F384" s="216"/>
      <c r="G384" s="216"/>
      <c r="H384" s="199"/>
      <c r="I384" s="216"/>
      <c r="J384" s="216"/>
      <c r="K384" s="217"/>
    </row>
    <row r="385" spans="2:11">
      <c r="B385" s="213">
        <v>271</v>
      </c>
      <c r="C385" s="214" t="s">
        <v>190</v>
      </c>
      <c r="D385" s="215" t="s">
        <v>332</v>
      </c>
      <c r="E385" s="199"/>
      <c r="F385" s="216"/>
      <c r="G385" s="216"/>
      <c r="H385" s="199"/>
      <c r="I385" s="216"/>
      <c r="J385" s="216"/>
      <c r="K385" s="217"/>
    </row>
    <row r="386" spans="2:11">
      <c r="B386" s="213">
        <v>221</v>
      </c>
      <c r="C386" s="214" t="s">
        <v>140</v>
      </c>
      <c r="D386" s="215" t="s">
        <v>334</v>
      </c>
      <c r="E386" s="199"/>
      <c r="F386" s="216"/>
      <c r="G386" s="216"/>
      <c r="H386" s="199"/>
      <c r="I386" s="216"/>
      <c r="J386" s="216"/>
      <c r="K386" s="217"/>
    </row>
    <row r="387" spans="2:11">
      <c r="B387" s="213">
        <v>231</v>
      </c>
      <c r="C387" s="214" t="s">
        <v>150</v>
      </c>
      <c r="D387" s="215" t="s">
        <v>334</v>
      </c>
      <c r="E387" s="199"/>
      <c r="F387" s="216"/>
      <c r="G387" s="216"/>
      <c r="H387" s="199"/>
      <c r="I387" s="216"/>
      <c r="J387" s="216"/>
      <c r="K387" s="217"/>
    </row>
    <row r="388" spans="2:11">
      <c r="B388" s="213">
        <v>241</v>
      </c>
      <c r="C388" s="214" t="s">
        <v>160</v>
      </c>
      <c r="D388" s="215" t="s">
        <v>334</v>
      </c>
      <c r="E388" s="199"/>
      <c r="F388" s="216"/>
      <c r="G388" s="216"/>
      <c r="H388" s="199"/>
      <c r="I388" s="216"/>
      <c r="J388" s="216"/>
      <c r="K388" s="217"/>
    </row>
    <row r="389" spans="2:11">
      <c r="B389" s="213">
        <v>251</v>
      </c>
      <c r="C389" s="214" t="s">
        <v>170</v>
      </c>
      <c r="D389" s="215" t="s">
        <v>334</v>
      </c>
      <c r="E389" s="199"/>
      <c r="F389" s="216"/>
      <c r="G389" s="216"/>
      <c r="H389" s="199"/>
      <c r="I389" s="216"/>
      <c r="J389" s="216"/>
      <c r="K389" s="217"/>
    </row>
    <row r="390" spans="2:11">
      <c r="B390" s="213">
        <v>262</v>
      </c>
      <c r="C390" s="214" t="s">
        <v>181</v>
      </c>
      <c r="D390" s="215" t="s">
        <v>334</v>
      </c>
      <c r="E390" s="199"/>
      <c r="F390" s="216"/>
      <c r="G390" s="216"/>
      <c r="H390" s="199"/>
      <c r="I390" s="216"/>
      <c r="J390" s="216"/>
      <c r="K390" s="217"/>
    </row>
    <row r="391" spans="2:11">
      <c r="B391" s="213">
        <v>263</v>
      </c>
      <c r="C391" s="214" t="s">
        <v>182</v>
      </c>
      <c r="D391" s="215" t="s">
        <v>334</v>
      </c>
      <c r="E391" s="199"/>
      <c r="F391" s="216"/>
      <c r="G391" s="216"/>
      <c r="H391" s="199"/>
      <c r="I391" s="216"/>
      <c r="J391" s="216"/>
      <c r="K391" s="217"/>
    </row>
    <row r="392" spans="2:11">
      <c r="B392" s="213">
        <v>264</v>
      </c>
      <c r="C392" s="214" t="s">
        <v>183</v>
      </c>
      <c r="D392" s="215" t="s">
        <v>334</v>
      </c>
      <c r="E392" s="199"/>
      <c r="F392" s="216"/>
      <c r="G392" s="216"/>
      <c r="H392" s="199"/>
      <c r="I392" s="216"/>
      <c r="J392" s="216"/>
      <c r="K392" s="217"/>
    </row>
    <row r="393" spans="2:11">
      <c r="B393" s="213">
        <v>265</v>
      </c>
      <c r="C393" s="214" t="s">
        <v>184</v>
      </c>
      <c r="D393" s="215" t="s">
        <v>334</v>
      </c>
      <c r="E393" s="199"/>
      <c r="F393" s="216"/>
      <c r="G393" s="216"/>
      <c r="H393" s="199"/>
      <c r="I393" s="216"/>
      <c r="J393" s="216"/>
      <c r="K393" s="217"/>
    </row>
    <row r="394" spans="2:11">
      <c r="B394" s="213">
        <v>302</v>
      </c>
      <c r="C394" s="214" t="s">
        <v>221</v>
      </c>
      <c r="D394" s="215" t="s">
        <v>439</v>
      </c>
      <c r="E394" s="199"/>
      <c r="F394" s="216"/>
      <c r="G394" s="216"/>
      <c r="H394" s="199"/>
      <c r="I394" s="216"/>
      <c r="J394" s="216"/>
      <c r="K394" s="217"/>
    </row>
    <row r="395" spans="2:11">
      <c r="B395" s="213">
        <v>301</v>
      </c>
      <c r="C395" s="214" t="s">
        <v>220</v>
      </c>
      <c r="D395" s="215" t="s">
        <v>335</v>
      </c>
      <c r="E395" s="199"/>
      <c r="F395" s="216"/>
      <c r="G395" s="216"/>
      <c r="H395" s="199"/>
      <c r="I395" s="216"/>
      <c r="J395" s="216"/>
      <c r="K395" s="217"/>
    </row>
    <row r="396" spans="2:11">
      <c r="B396" s="213">
        <v>304</v>
      </c>
      <c r="C396" s="214" t="s">
        <v>223</v>
      </c>
      <c r="D396" s="215" t="s">
        <v>463</v>
      </c>
      <c r="E396" s="199"/>
      <c r="F396" s="216"/>
      <c r="G396" s="216"/>
      <c r="H396" s="199"/>
      <c r="I396" s="216"/>
      <c r="J396" s="216"/>
      <c r="K396" s="217"/>
    </row>
    <row r="397" spans="2:11">
      <c r="B397" s="213">
        <v>294</v>
      </c>
      <c r="C397" s="214" t="s">
        <v>213</v>
      </c>
      <c r="D397" s="215" t="s">
        <v>462</v>
      </c>
      <c r="E397" s="199"/>
      <c r="F397" s="216"/>
      <c r="G397" s="216"/>
      <c r="H397" s="199"/>
      <c r="I397" s="216"/>
      <c r="J397" s="216"/>
      <c r="K397" s="217"/>
    </row>
    <row r="398" spans="2:11">
      <c r="B398" s="213">
        <v>232</v>
      </c>
      <c r="C398" s="214" t="s">
        <v>151</v>
      </c>
      <c r="D398" s="215" t="s">
        <v>450</v>
      </c>
      <c r="E398" s="199"/>
      <c r="F398" s="216"/>
      <c r="G398" s="216"/>
      <c r="H398" s="199"/>
      <c r="I398" s="216"/>
      <c r="J398" s="216"/>
      <c r="K398" s="217"/>
    </row>
    <row r="399" spans="2:11">
      <c r="B399" s="213">
        <v>233</v>
      </c>
      <c r="C399" s="214" t="s">
        <v>152</v>
      </c>
      <c r="D399" s="215" t="s">
        <v>437</v>
      </c>
      <c r="E399" s="199"/>
      <c r="F399" s="216"/>
      <c r="G399" s="216"/>
      <c r="H399" s="199"/>
      <c r="I399" s="216"/>
      <c r="J399" s="216"/>
      <c r="K399" s="217"/>
    </row>
    <row r="400" spans="2:11">
      <c r="B400" s="213">
        <v>282</v>
      </c>
      <c r="C400" s="214" t="s">
        <v>201</v>
      </c>
      <c r="D400" s="267" t="s">
        <v>454</v>
      </c>
      <c r="E400" s="199"/>
      <c r="F400" s="216"/>
      <c r="G400" s="216"/>
      <c r="H400" s="199"/>
      <c r="I400" s="216"/>
      <c r="J400" s="216"/>
      <c r="K400" s="217"/>
    </row>
    <row r="401" spans="2:11">
      <c r="B401" s="197">
        <v>283</v>
      </c>
      <c r="C401" s="198" t="s">
        <v>202</v>
      </c>
      <c r="D401" s="201" t="s">
        <v>454</v>
      </c>
      <c r="E401" s="199"/>
      <c r="F401" s="199"/>
      <c r="G401" s="199"/>
      <c r="H401" s="199"/>
      <c r="I401" s="199"/>
      <c r="J401" s="199"/>
      <c r="K401" s="200"/>
    </row>
    <row r="402" spans="2:11">
      <c r="B402" s="197">
        <v>284</v>
      </c>
      <c r="C402" s="198" t="s">
        <v>203</v>
      </c>
      <c r="D402" s="201" t="s">
        <v>454</v>
      </c>
      <c r="E402" s="199"/>
      <c r="F402" s="199"/>
      <c r="G402" s="199"/>
      <c r="H402" s="199"/>
      <c r="I402" s="199"/>
      <c r="J402" s="199"/>
      <c r="K402" s="200"/>
    </row>
    <row r="403" spans="2:11">
      <c r="B403" s="197">
        <v>285</v>
      </c>
      <c r="C403" s="198" t="s">
        <v>204</v>
      </c>
      <c r="D403" s="201" t="s">
        <v>454</v>
      </c>
      <c r="E403" s="199"/>
      <c r="F403" s="199"/>
      <c r="G403" s="199"/>
      <c r="H403" s="199"/>
      <c r="I403" s="199"/>
      <c r="J403" s="199"/>
      <c r="K403" s="200"/>
    </row>
    <row r="404" spans="2:11">
      <c r="B404" s="197">
        <v>335</v>
      </c>
      <c r="C404" s="198" t="s">
        <v>254</v>
      </c>
      <c r="D404" s="201" t="s">
        <v>454</v>
      </c>
      <c r="E404" s="199"/>
      <c r="F404" s="199"/>
      <c r="G404" s="199"/>
      <c r="H404" s="199"/>
      <c r="I404" s="199"/>
      <c r="J404" s="199"/>
      <c r="K404" s="200"/>
    </row>
    <row r="405" spans="2:11" ht="16.5" thickBot="1">
      <c r="B405" s="288">
        <v>99</v>
      </c>
      <c r="C405" s="289" t="s">
        <v>11</v>
      </c>
      <c r="D405" s="295" t="s">
        <v>454</v>
      </c>
      <c r="E405" s="290"/>
      <c r="F405" s="290"/>
      <c r="G405" s="290"/>
      <c r="H405" s="290"/>
      <c r="I405" s="290"/>
      <c r="J405" s="290"/>
      <c r="K405" s="291"/>
    </row>
  </sheetData>
  <sortState ref="B6:K405">
    <sortCondition ref="D6:D405"/>
  </sortState>
  <mergeCells count="11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</mergeCells>
  <conditionalFormatting sqref="B401:D405 F405:K405 F401:G404 I401:K404">
    <cfRule type="expression" dxfId="759" priority="185">
      <formula>MOD(ROW(),2)=0</formula>
    </cfRule>
  </conditionalFormatting>
  <conditionalFormatting sqref="B6:D400 F346 F249 F156 F342:F344 F245:F247 F286:F311 F221:F222 F213:F218 F205:F210 F197:F202 F189:F194 F36:F41 F26:F31 F32:G35 F16:F21 F22:G25 F6:F11 F12:G15 F227:G244 F152 F347:G400 F250:G285 F157:G188 F315 F313 F226 F224 F126 F316:G341 F314:G314 F312:G312 F225:G225 F223:G223 F127:G151 F124 F125:G125 F219:G220 F121:F122 F123:G123 F211:G212 F203:G204 F195:G196 F42:G120 I6:K400">
    <cfRule type="expression" dxfId="758" priority="184">
      <formula>MOD(ROW(),2)=0</formula>
    </cfRule>
  </conditionalFormatting>
  <conditionalFormatting sqref="F153:F154">
    <cfRule type="expression" dxfId="757" priority="175">
      <formula>MOD(ROW(),2)=0</formula>
    </cfRule>
  </conditionalFormatting>
  <conditionalFormatting sqref="G121:G122">
    <cfRule type="expression" dxfId="756" priority="174">
      <formula>MOD(ROW(),2)=0</formula>
    </cfRule>
  </conditionalFormatting>
  <conditionalFormatting sqref="G221:G222">
    <cfRule type="expression" dxfId="755" priority="173">
      <formula>MOD(ROW(),2)=0</formula>
    </cfRule>
  </conditionalFormatting>
  <conditionalFormatting sqref="G310:G311">
    <cfRule type="expression" dxfId="754" priority="172">
      <formula>MOD(ROW(),2)=0</formula>
    </cfRule>
  </conditionalFormatting>
  <conditionalFormatting sqref="G156">
    <cfRule type="expression" dxfId="753" priority="165">
      <formula>MOD(ROW(),2)=0</formula>
    </cfRule>
  </conditionalFormatting>
  <conditionalFormatting sqref="G249">
    <cfRule type="expression" dxfId="752" priority="164">
      <formula>MOD(ROW(),2)=0</formula>
    </cfRule>
  </conditionalFormatting>
  <conditionalFormatting sqref="F155:G155">
    <cfRule type="expression" dxfId="751" priority="162">
      <formula>MOD(ROW(),2)=0</formula>
    </cfRule>
  </conditionalFormatting>
  <conditionalFormatting sqref="F248:G248">
    <cfRule type="expression" dxfId="750" priority="161">
      <formula>MOD(ROW(),2)=0</formula>
    </cfRule>
  </conditionalFormatting>
  <conditionalFormatting sqref="F345:G345">
    <cfRule type="expression" dxfId="749" priority="159">
      <formula>MOD(ROW(),2)=0</formula>
    </cfRule>
  </conditionalFormatting>
  <conditionalFormatting sqref="E401:E405">
    <cfRule type="expression" dxfId="748" priority="101">
      <formula>MOD(ROW(),2)=0</formula>
    </cfRule>
  </conditionalFormatting>
  <conditionalFormatting sqref="E52:E55 E62:E65 E72:E75 E195:E196 E203:E204 E211:E212 E6:E45 E219:E220 E82:E85 E156:E188 E250:E309 E121:E152 E88 E223 E90 E92:E115 E225 E227:E244 E312:E344 E346:E400">
    <cfRule type="expression" dxfId="747" priority="100">
      <formula>MOD(ROW(),2)=0</formula>
    </cfRule>
  </conditionalFormatting>
  <conditionalFormatting sqref="E56:E61">
    <cfRule type="expression" dxfId="746" priority="93">
      <formula>MOD(ROW(),2)=0</formula>
    </cfRule>
  </conditionalFormatting>
  <conditionalFormatting sqref="E66:E71">
    <cfRule type="expression" dxfId="745" priority="92">
      <formula>MOD(ROW(),2)=0</formula>
    </cfRule>
  </conditionalFormatting>
  <conditionalFormatting sqref="E76:E81">
    <cfRule type="expression" dxfId="744" priority="91">
      <formula>MOD(ROW(),2)=0</formula>
    </cfRule>
  </conditionalFormatting>
  <conditionalFormatting sqref="E189:E194">
    <cfRule type="expression" dxfId="743" priority="90">
      <formula>MOD(ROW(),2)=0</formula>
    </cfRule>
  </conditionalFormatting>
  <conditionalFormatting sqref="E213:E218">
    <cfRule type="expression" dxfId="742" priority="87">
      <formula>MOD(ROW(),2)=0</formula>
    </cfRule>
  </conditionalFormatting>
  <conditionalFormatting sqref="E155">
    <cfRule type="expression" dxfId="741" priority="96">
      <formula>MOD(ROW(),2)=0</formula>
    </cfRule>
  </conditionalFormatting>
  <conditionalFormatting sqref="E46:E51">
    <cfRule type="expression" dxfId="740" priority="95">
      <formula>MOD(ROW(),2)=0</formula>
    </cfRule>
  </conditionalFormatting>
  <conditionalFormatting sqref="E197:E202">
    <cfRule type="expression" dxfId="739" priority="89">
      <formula>MOD(ROW(),2)=0</formula>
    </cfRule>
  </conditionalFormatting>
  <conditionalFormatting sqref="E205:E210">
    <cfRule type="expression" dxfId="738" priority="88">
      <formula>MOD(ROW(),2)=0</formula>
    </cfRule>
  </conditionalFormatting>
  <conditionalFormatting sqref="H401:H404">
    <cfRule type="expression" dxfId="737" priority="86">
      <formula>MOD(ROW(),2)=0</formula>
    </cfRule>
  </conditionalFormatting>
  <conditionalFormatting sqref="H82:H188 H6:H45 H219:H400">
    <cfRule type="expression" dxfId="736" priority="85">
      <formula>MOD(ROW(),2)=0</formula>
    </cfRule>
  </conditionalFormatting>
  <conditionalFormatting sqref="H190:H218">
    <cfRule type="expression" dxfId="735" priority="81">
      <formula>MOD(ROW(),2)=0</formula>
    </cfRule>
  </conditionalFormatting>
  <conditionalFormatting sqref="H47:H81">
    <cfRule type="expression" dxfId="734" priority="77">
      <formula>MOD(ROW(),2)=0</formula>
    </cfRule>
  </conditionalFormatting>
  <conditionalFormatting sqref="H46">
    <cfRule type="expression" dxfId="733" priority="76">
      <formula>MOD(ROW(),2)=0</formula>
    </cfRule>
  </conditionalFormatting>
  <conditionalFormatting sqref="H189">
    <cfRule type="expression" dxfId="732" priority="75">
      <formula>MOD(ROW(),2)=0</formula>
    </cfRule>
  </conditionalFormatting>
  <conditionalFormatting sqref="E86:E87">
    <cfRule type="expression" dxfId="731" priority="73">
      <formula>MOD(ROW(),2)=0</formula>
    </cfRule>
  </conditionalFormatting>
  <conditionalFormatting sqref="E221:E222">
    <cfRule type="expression" dxfId="730" priority="72">
      <formula>MOD(ROW(),2)=0</formula>
    </cfRule>
  </conditionalFormatting>
  <conditionalFormatting sqref="G10:G11">
    <cfRule type="expression" dxfId="729" priority="70">
      <formula>MOD(ROW(),2)=0</formula>
    </cfRule>
  </conditionalFormatting>
  <conditionalFormatting sqref="G8:G9">
    <cfRule type="expression" dxfId="728" priority="69">
      <formula>MOD(ROW(),2)=0</formula>
    </cfRule>
  </conditionalFormatting>
  <conditionalFormatting sqref="G6:G7">
    <cfRule type="expression" dxfId="727" priority="68">
      <formula>MOD(ROW(),2)=0</formula>
    </cfRule>
  </conditionalFormatting>
  <conditionalFormatting sqref="G20:G21">
    <cfRule type="expression" dxfId="726" priority="67">
      <formula>MOD(ROW(),2)=0</formula>
    </cfRule>
  </conditionalFormatting>
  <conditionalFormatting sqref="G18:G19">
    <cfRule type="expression" dxfId="725" priority="66">
      <formula>MOD(ROW(),2)=0</formula>
    </cfRule>
  </conditionalFormatting>
  <conditionalFormatting sqref="G16:G17">
    <cfRule type="expression" dxfId="724" priority="65">
      <formula>MOD(ROW(),2)=0</formula>
    </cfRule>
  </conditionalFormatting>
  <conditionalFormatting sqref="G30:G31">
    <cfRule type="expression" dxfId="723" priority="64">
      <formula>MOD(ROW(),2)=0</formula>
    </cfRule>
  </conditionalFormatting>
  <conditionalFormatting sqref="G28:G29">
    <cfRule type="expression" dxfId="722" priority="63">
      <formula>MOD(ROW(),2)=0</formula>
    </cfRule>
  </conditionalFormatting>
  <conditionalFormatting sqref="G26:G27">
    <cfRule type="expression" dxfId="721" priority="62">
      <formula>MOD(ROW(),2)=0</formula>
    </cfRule>
  </conditionalFormatting>
  <conditionalFormatting sqref="G40:G41">
    <cfRule type="expression" dxfId="720" priority="61">
      <formula>MOD(ROW(),2)=0</formula>
    </cfRule>
  </conditionalFormatting>
  <conditionalFormatting sqref="G38:G39">
    <cfRule type="expression" dxfId="719" priority="60">
      <formula>MOD(ROW(),2)=0</formula>
    </cfRule>
  </conditionalFormatting>
  <conditionalFormatting sqref="G36:G37">
    <cfRule type="expression" dxfId="718" priority="59">
      <formula>MOD(ROW(),2)=0</formula>
    </cfRule>
  </conditionalFormatting>
  <conditionalFormatting sqref="G193:G194">
    <cfRule type="expression" dxfId="717" priority="58">
      <formula>MOD(ROW(),2)=0</formula>
    </cfRule>
  </conditionalFormatting>
  <conditionalFormatting sqref="G191:G192">
    <cfRule type="expression" dxfId="716" priority="57">
      <formula>MOD(ROW(),2)=0</formula>
    </cfRule>
  </conditionalFormatting>
  <conditionalFormatting sqref="G189:G190">
    <cfRule type="expression" dxfId="715" priority="56">
      <formula>MOD(ROW(),2)=0</formula>
    </cfRule>
  </conditionalFormatting>
  <conditionalFormatting sqref="G201:G202">
    <cfRule type="expression" dxfId="714" priority="55">
      <formula>MOD(ROW(),2)=0</formula>
    </cfRule>
  </conditionalFormatting>
  <conditionalFormatting sqref="G199:G200">
    <cfRule type="expression" dxfId="713" priority="54">
      <formula>MOD(ROW(),2)=0</formula>
    </cfRule>
  </conditionalFormatting>
  <conditionalFormatting sqref="G197:G198">
    <cfRule type="expression" dxfId="712" priority="53">
      <formula>MOD(ROW(),2)=0</formula>
    </cfRule>
  </conditionalFormatting>
  <conditionalFormatting sqref="G209:G210">
    <cfRule type="expression" dxfId="711" priority="52">
      <formula>MOD(ROW(),2)=0</formula>
    </cfRule>
  </conditionalFormatting>
  <conditionalFormatting sqref="G207:G208">
    <cfRule type="expression" dxfId="710" priority="51">
      <formula>MOD(ROW(),2)=0</formula>
    </cfRule>
  </conditionalFormatting>
  <conditionalFormatting sqref="G205:G206">
    <cfRule type="expression" dxfId="709" priority="50">
      <formula>MOD(ROW(),2)=0</formula>
    </cfRule>
  </conditionalFormatting>
  <conditionalFormatting sqref="G217:G218">
    <cfRule type="expression" dxfId="708" priority="49">
      <formula>MOD(ROW(),2)=0</formula>
    </cfRule>
  </conditionalFormatting>
  <conditionalFormatting sqref="G215:G216">
    <cfRule type="expression" dxfId="707" priority="48">
      <formula>MOD(ROW(),2)=0</formula>
    </cfRule>
  </conditionalFormatting>
  <conditionalFormatting sqref="G213:G214">
    <cfRule type="expression" dxfId="706" priority="47">
      <formula>MOD(ROW(),2)=0</formula>
    </cfRule>
  </conditionalFormatting>
  <conditionalFormatting sqref="G290:G291">
    <cfRule type="expression" dxfId="705" priority="46">
      <formula>MOD(ROW(),2)=0</formula>
    </cfRule>
  </conditionalFormatting>
  <conditionalFormatting sqref="G288:G289">
    <cfRule type="expression" dxfId="704" priority="45">
      <formula>MOD(ROW(),2)=0</formula>
    </cfRule>
  </conditionalFormatting>
  <conditionalFormatting sqref="G286:G287">
    <cfRule type="expression" dxfId="703" priority="44">
      <formula>MOD(ROW(),2)=0</formula>
    </cfRule>
  </conditionalFormatting>
  <conditionalFormatting sqref="G296:G297">
    <cfRule type="expression" dxfId="702" priority="43">
      <formula>MOD(ROW(),2)=0</formula>
    </cfRule>
  </conditionalFormatting>
  <conditionalFormatting sqref="G294:G295">
    <cfRule type="expression" dxfId="701" priority="42">
      <formula>MOD(ROW(),2)=0</formula>
    </cfRule>
  </conditionalFormatting>
  <conditionalFormatting sqref="G292:G293">
    <cfRule type="expression" dxfId="700" priority="41">
      <formula>MOD(ROW(),2)=0</formula>
    </cfRule>
  </conditionalFormatting>
  <conditionalFormatting sqref="G302:G303">
    <cfRule type="expression" dxfId="699" priority="40">
      <formula>MOD(ROW(),2)=0</formula>
    </cfRule>
  </conditionalFormatting>
  <conditionalFormatting sqref="G300:G301">
    <cfRule type="expression" dxfId="698" priority="39">
      <formula>MOD(ROW(),2)=0</formula>
    </cfRule>
  </conditionalFormatting>
  <conditionalFormatting sqref="G298:G299">
    <cfRule type="expression" dxfId="697" priority="38">
      <formula>MOD(ROW(),2)=0</formula>
    </cfRule>
  </conditionalFormatting>
  <conditionalFormatting sqref="G308:G309">
    <cfRule type="expression" dxfId="696" priority="37">
      <formula>MOD(ROW(),2)=0</formula>
    </cfRule>
  </conditionalFormatting>
  <conditionalFormatting sqref="G306:G307">
    <cfRule type="expression" dxfId="695" priority="36">
      <formula>MOD(ROW(),2)=0</formula>
    </cfRule>
  </conditionalFormatting>
  <conditionalFormatting sqref="G304:G305">
    <cfRule type="expression" dxfId="694" priority="35">
      <formula>MOD(ROW(),2)=0</formula>
    </cfRule>
  </conditionalFormatting>
  <conditionalFormatting sqref="E89">
    <cfRule type="expression" dxfId="693" priority="34">
      <formula>MOD(ROW(),2)=0</formula>
    </cfRule>
  </conditionalFormatting>
  <conditionalFormatting sqref="E91">
    <cfRule type="expression" dxfId="692" priority="33">
      <formula>MOD(ROW(),2)=0</formula>
    </cfRule>
  </conditionalFormatting>
  <conditionalFormatting sqref="E116">
    <cfRule type="expression" dxfId="691" priority="32">
      <formula>MOD(ROW(),2)=0</formula>
    </cfRule>
  </conditionalFormatting>
  <conditionalFormatting sqref="E117">
    <cfRule type="expression" dxfId="690" priority="31">
      <formula>MOD(ROW(),2)=0</formula>
    </cfRule>
  </conditionalFormatting>
  <conditionalFormatting sqref="E119">
    <cfRule type="expression" dxfId="689" priority="30">
      <formula>MOD(ROW(),2)=0</formula>
    </cfRule>
  </conditionalFormatting>
  <conditionalFormatting sqref="E118">
    <cfRule type="expression" dxfId="688" priority="29">
      <formula>MOD(ROW(),2)=0</formula>
    </cfRule>
  </conditionalFormatting>
  <conditionalFormatting sqref="E120">
    <cfRule type="expression" dxfId="687" priority="28">
      <formula>MOD(ROW(),2)=0</formula>
    </cfRule>
  </conditionalFormatting>
  <conditionalFormatting sqref="E153">
    <cfRule type="expression" dxfId="686" priority="27">
      <formula>MOD(ROW(),2)=0</formula>
    </cfRule>
  </conditionalFormatting>
  <conditionalFormatting sqref="E154">
    <cfRule type="expression" dxfId="685" priority="26">
      <formula>MOD(ROW(),2)=0</formula>
    </cfRule>
  </conditionalFormatting>
  <conditionalFormatting sqref="G153:G154">
    <cfRule type="expression" dxfId="684" priority="25">
      <formula>MOD(ROW(),2)=0</formula>
    </cfRule>
  </conditionalFormatting>
  <conditionalFormatting sqref="G152">
    <cfRule type="expression" dxfId="683" priority="24">
      <formula>MOD(ROW(),2)=0</formula>
    </cfRule>
  </conditionalFormatting>
  <conditionalFormatting sqref="G124">
    <cfRule type="expression" dxfId="682" priority="23">
      <formula>MOD(ROW(),2)=0</formula>
    </cfRule>
  </conditionalFormatting>
  <conditionalFormatting sqref="G126">
    <cfRule type="expression" dxfId="681" priority="22">
      <formula>MOD(ROW(),2)=0</formula>
    </cfRule>
  </conditionalFormatting>
  <conditionalFormatting sqref="E224">
    <cfRule type="expression" dxfId="680" priority="21">
      <formula>MOD(ROW(),2)=0</formula>
    </cfRule>
  </conditionalFormatting>
  <conditionalFormatting sqref="E226">
    <cfRule type="expression" dxfId="679" priority="20">
      <formula>MOD(ROW(),2)=0</formula>
    </cfRule>
  </conditionalFormatting>
  <conditionalFormatting sqref="E245">
    <cfRule type="expression" dxfId="678" priority="19">
      <formula>MOD(ROW(),2)=0</formula>
    </cfRule>
  </conditionalFormatting>
  <conditionalFormatting sqref="E246">
    <cfRule type="expression" dxfId="677" priority="18">
      <formula>MOD(ROW(),2)=0</formula>
    </cfRule>
  </conditionalFormatting>
  <conditionalFormatting sqref="E247">
    <cfRule type="expression" dxfId="676" priority="17">
      <formula>MOD(ROW(),2)=0</formula>
    </cfRule>
  </conditionalFormatting>
  <conditionalFormatting sqref="E248">
    <cfRule type="expression" dxfId="675" priority="16">
      <formula>MOD(ROW(),2)=0</formula>
    </cfRule>
  </conditionalFormatting>
  <conditionalFormatting sqref="E249">
    <cfRule type="expression" dxfId="674" priority="15">
      <formula>MOD(ROW(),2)=0</formula>
    </cfRule>
  </conditionalFormatting>
  <conditionalFormatting sqref="G247">
    <cfRule type="expression" dxfId="673" priority="14">
      <formula>MOD(ROW(),2)=0</formula>
    </cfRule>
  </conditionalFormatting>
  <conditionalFormatting sqref="G246">
    <cfRule type="expression" dxfId="672" priority="13">
      <formula>MOD(ROW(),2)=0</formula>
    </cfRule>
  </conditionalFormatting>
  <conditionalFormatting sqref="G245">
    <cfRule type="expression" dxfId="671" priority="12">
      <formula>MOD(ROW(),2)=0</formula>
    </cfRule>
  </conditionalFormatting>
  <conditionalFormatting sqref="G224">
    <cfRule type="expression" dxfId="670" priority="11">
      <formula>MOD(ROW(),2)=0</formula>
    </cfRule>
  </conditionalFormatting>
  <conditionalFormatting sqref="G226">
    <cfRule type="expression" dxfId="669" priority="9">
      <formula>MOD(ROW(),2)=0</formula>
    </cfRule>
  </conditionalFormatting>
  <conditionalFormatting sqref="E310">
    <cfRule type="expression" dxfId="668" priority="8">
      <formula>MOD(ROW(),2)=0</formula>
    </cfRule>
  </conditionalFormatting>
  <conditionalFormatting sqref="E311">
    <cfRule type="expression" dxfId="667" priority="7">
      <formula>MOD(ROW(),2)=0</formula>
    </cfRule>
  </conditionalFormatting>
  <conditionalFormatting sqref="E345">
    <cfRule type="expression" dxfId="666" priority="6">
      <formula>MOD(ROW(),2)=0</formula>
    </cfRule>
  </conditionalFormatting>
  <conditionalFormatting sqref="G343:G344">
    <cfRule type="expression" dxfId="665" priority="5">
      <formula>MOD(ROW(),2)=0</formula>
    </cfRule>
  </conditionalFormatting>
  <conditionalFormatting sqref="G346">
    <cfRule type="expression" dxfId="664" priority="4">
      <formula>MOD(ROW(),2)=0</formula>
    </cfRule>
  </conditionalFormatting>
  <conditionalFormatting sqref="G342">
    <cfRule type="expression" dxfId="663" priority="3">
      <formula>MOD(ROW(),2)=0</formula>
    </cfRule>
  </conditionalFormatting>
  <conditionalFormatting sqref="G313">
    <cfRule type="expression" dxfId="662" priority="2">
      <formula>MOD(ROW(),2)=0</formula>
    </cfRule>
  </conditionalFormatting>
  <conditionalFormatting sqref="G315">
    <cfRule type="expression" dxfId="661" priority="1">
      <formula>MOD(ROW(),2)=0</formula>
    </cfRule>
  </conditionalFormatting>
  <hyperlinks>
    <hyperlink ref="AL17" location="'0'!A1" tooltip="X stave 0, Front" display="'0'!A1"/>
    <hyperlink ref="AJ17" location="'1'!A1" tooltip="X stave 1, Back" display="'1'!A1"/>
    <hyperlink ref="AH17" location="'2'!A1" tooltip="Stereo stave 0, Back" display="'2'!A1"/>
    <hyperlink ref="AF17" location="'3'!A1" tooltip="Stereo stave 0, Front" display="'3'!A1"/>
    <hyperlink ref="AD17" location="'4'!A1" tooltip="X stave 1, Front" display="'4'!A1"/>
    <hyperlink ref="AB17" location="'5'!A1" tooltip="X stave 1, Back" display="'5'!A1"/>
    <hyperlink ref="Z17" location="'6'!A1" tooltip="Stereo stave 1, Back" display="'6'!A1"/>
    <hyperlink ref="X17" location="'7'!A1" tooltip="Stereo stave 1, Front" display="'7'!A1"/>
    <hyperlink ref="V17" location="'8'!A1" tooltip="X stave 2, Front" display="'8'!A1"/>
    <hyperlink ref="T17" location="'9'!A1" tooltip="X stave 2, Back" display="'9'!A1"/>
    <hyperlink ref="R17" location="'10'!A1" tooltip="Stereo stave 2, Back" display="'10'!A1"/>
    <hyperlink ref="P17" location="'11'!A1" tooltip="Stereo stave 2, Front" display="'11'!A1"/>
    <hyperlink ref="AL18" location="'0'!A1" tooltip="X stave 0, Front" display="'0'!A1"/>
    <hyperlink ref="AJ18" location="'1'!A1" tooltip="X stave 1, Back" display="'1'!A1"/>
    <hyperlink ref="AH18" location="'2'!A1" tooltip="Stereo stave 0, Back" display="'2'!A1"/>
    <hyperlink ref="AF18" location="'3'!A1" tooltip="Stereo stave 0, Front" display="'3'!A1"/>
    <hyperlink ref="AD18" location="'4'!A1" tooltip="X stave 1, Front" display="'4'!A1"/>
    <hyperlink ref="AB18" location="'5'!A1" tooltip="X stave 1, Back" display="'5'!A1"/>
    <hyperlink ref="Z18" location="'6'!A1" tooltip="Stereo stave 1, Back" display="'6'!A1"/>
    <hyperlink ref="X18" location="'7'!A1" tooltip="Stereo stave 1, Front" display="'7'!A1"/>
    <hyperlink ref="V18" location="'8'!A1" tooltip="X stave 2, Front" display="'8'!A1"/>
    <hyperlink ref="T18" location="'9'!A1" tooltip="X stave 2, Back" display="'9'!A1"/>
    <hyperlink ref="R18" location="'10'!A1" tooltip="Stereo stave 2, Back" display="'10'!A1"/>
    <hyperlink ref="P18" location="'11'!A1" tooltip="Stereo stave 2, Front" display="'11'!A1"/>
  </hyperlinks>
  <pageMargins left="0.75" right="0.75" top="1" bottom="1" header="0.5" footer="0.5"/>
  <pageSetup orientation="portrait" horizontalDpi="4294967292" verticalDpi="429496729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AV405"/>
  <sheetViews>
    <sheetView zoomScale="85" zoomScaleNormal="85" workbookViewId="0">
      <selection activeCell="AB18" sqref="AB18"/>
    </sheetView>
  </sheetViews>
  <sheetFormatPr defaultColWidth="11" defaultRowHeight="15.75"/>
  <cols>
    <col min="1" max="1" width="2.875" style="3" customWidth="1"/>
    <col min="2" max="2" width="6.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75" style="1" customWidth="1"/>
    <col min="7" max="7" width="7.875" style="1" bestFit="1" customWidth="1"/>
    <col min="8" max="10" width="7.875" style="1" customWidth="1"/>
    <col min="11" max="11" width="7.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5" thickBot="1"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/>
    </row>
    <row r="2" spans="2:44" s="4" customFormat="1" ht="16.5" customHeight="1">
      <c r="D2" s="43" t="s">
        <v>830</v>
      </c>
      <c r="E2" s="551" t="s">
        <v>957</v>
      </c>
      <c r="F2" s="551"/>
      <c r="G2" s="552" t="s">
        <v>856</v>
      </c>
      <c r="H2" s="552"/>
      <c r="I2" s="552"/>
      <c r="J2" s="40"/>
      <c r="L2" s="177"/>
      <c r="M2" s="178"/>
      <c r="N2" s="180"/>
      <c r="O2" s="179"/>
      <c r="P2" s="180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80"/>
      <c r="AM2" s="180"/>
      <c r="AN2" s="180"/>
      <c r="AO2" s="181"/>
      <c r="AP2" s="177"/>
      <c r="AQ2" s="182"/>
      <c r="AR2"/>
    </row>
    <row r="3" spans="2:44" s="1" customFormat="1">
      <c r="D3"/>
      <c r="E3" s="40"/>
      <c r="F3" s="40"/>
      <c r="G3" s="40"/>
      <c r="H3" s="40"/>
      <c r="I3" s="40"/>
      <c r="J3" s="40"/>
      <c r="L3" s="177"/>
      <c r="M3" s="183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5"/>
      <c r="AP3" s="177"/>
      <c r="AQ3" s="186"/>
      <c r="AR3"/>
    </row>
    <row r="4" spans="2:44" s="6" customFormat="1" ht="16.5" thickBot="1">
      <c r="B4" s="553" t="s">
        <v>722</v>
      </c>
      <c r="C4" s="554"/>
      <c r="D4" s="554"/>
      <c r="E4" s="554"/>
      <c r="F4" s="554"/>
      <c r="G4" s="554"/>
      <c r="H4" s="554"/>
      <c r="I4" s="554"/>
      <c r="J4" s="554"/>
      <c r="K4" s="555"/>
      <c r="L4" s="177"/>
      <c r="M4" s="187"/>
      <c r="N4" s="184"/>
      <c r="O4" s="184"/>
      <c r="P4" s="184"/>
      <c r="Q4" s="184"/>
      <c r="R4" s="16" t="s">
        <v>13</v>
      </c>
      <c r="S4" s="16"/>
      <c r="T4" s="16" t="s">
        <v>14</v>
      </c>
      <c r="U4" s="16"/>
      <c r="V4" s="16" t="s">
        <v>13</v>
      </c>
      <c r="W4" s="16"/>
      <c r="X4" s="16" t="s">
        <v>14</v>
      </c>
      <c r="Y4" s="16"/>
      <c r="Z4" s="16" t="s">
        <v>13</v>
      </c>
      <c r="AA4" s="16"/>
      <c r="AB4" s="16" t="s">
        <v>14</v>
      </c>
      <c r="AC4" s="16"/>
      <c r="AD4" s="16" t="s">
        <v>13</v>
      </c>
      <c r="AE4" s="16"/>
      <c r="AF4" s="16" t="s">
        <v>14</v>
      </c>
      <c r="AG4" s="16"/>
      <c r="AH4" s="16" t="s">
        <v>13</v>
      </c>
      <c r="AI4" s="16"/>
      <c r="AJ4" s="16" t="s">
        <v>14</v>
      </c>
      <c r="AK4" s="16"/>
      <c r="AL4" s="16" t="s">
        <v>13</v>
      </c>
      <c r="AM4" s="16"/>
      <c r="AN4" s="16" t="s">
        <v>14</v>
      </c>
      <c r="AO4" s="185"/>
      <c r="AP4" s="177"/>
      <c r="AQ4" s="182" t="s">
        <v>710</v>
      </c>
      <c r="AR4"/>
    </row>
    <row r="5" spans="2:44" s="12" customFormat="1" ht="32.25" thickBot="1">
      <c r="B5" s="41" t="s">
        <v>19</v>
      </c>
      <c r="C5" s="7" t="s">
        <v>442</v>
      </c>
      <c r="D5" s="8" t="s">
        <v>2</v>
      </c>
      <c r="E5" s="8" t="s">
        <v>1</v>
      </c>
      <c r="F5" s="9"/>
      <c r="G5" s="9" t="s">
        <v>953</v>
      </c>
      <c r="H5" s="10" t="s">
        <v>3</v>
      </c>
      <c r="I5" s="10"/>
      <c r="J5" s="10"/>
      <c r="K5" s="11"/>
      <c r="L5" s="177"/>
      <c r="M5" s="187"/>
      <c r="N5" s="184"/>
      <c r="O5" s="184"/>
      <c r="P5" s="184"/>
      <c r="Q5" s="188"/>
      <c r="R5" s="175">
        <v>5</v>
      </c>
      <c r="S5" s="175"/>
      <c r="T5" s="175">
        <v>5</v>
      </c>
      <c r="U5" s="175"/>
      <c r="V5" s="175">
        <v>4</v>
      </c>
      <c r="W5" s="175"/>
      <c r="X5" s="175">
        <v>4</v>
      </c>
      <c r="Y5" s="175"/>
      <c r="Z5" s="175">
        <v>3</v>
      </c>
      <c r="AA5" s="175"/>
      <c r="AB5" s="175">
        <v>3</v>
      </c>
      <c r="AC5" s="175"/>
      <c r="AD5" s="175">
        <v>2</v>
      </c>
      <c r="AE5" s="175"/>
      <c r="AF5" s="175">
        <v>2</v>
      </c>
      <c r="AG5" s="175"/>
      <c r="AH5" s="175">
        <v>1</v>
      </c>
      <c r="AI5" s="175"/>
      <c r="AJ5" s="175">
        <v>1</v>
      </c>
      <c r="AK5" s="175"/>
      <c r="AL5" s="175">
        <v>0</v>
      </c>
      <c r="AM5" s="175"/>
      <c r="AN5" s="175">
        <v>0</v>
      </c>
      <c r="AO5" s="185"/>
      <c r="AP5" s="177"/>
      <c r="AQ5" s="254" t="s">
        <v>711</v>
      </c>
      <c r="AR5"/>
    </row>
    <row r="6" spans="2:44">
      <c r="B6" s="42">
        <v>199</v>
      </c>
      <c r="C6" s="293" t="s">
        <v>118</v>
      </c>
      <c r="D6" s="294" t="s">
        <v>677</v>
      </c>
      <c r="E6" s="322" t="s">
        <v>873</v>
      </c>
      <c r="F6" s="322"/>
      <c r="G6" s="389" t="s">
        <v>1020</v>
      </c>
      <c r="H6" s="340" t="s">
        <v>948</v>
      </c>
      <c r="I6" s="296"/>
      <c r="J6" s="296"/>
      <c r="K6" s="297"/>
      <c r="L6" s="177"/>
      <c r="M6" s="187"/>
      <c r="N6" s="184"/>
      <c r="O6" s="184"/>
      <c r="P6" s="184"/>
      <c r="Q6" s="184"/>
      <c r="R6" s="189"/>
      <c r="S6" s="184"/>
      <c r="T6" s="189"/>
      <c r="U6" s="184"/>
      <c r="V6" s="265"/>
      <c r="W6" s="184"/>
      <c r="X6" s="189"/>
      <c r="Y6" s="184"/>
      <c r="Z6" s="265"/>
      <c r="AA6" s="184"/>
      <c r="AB6" s="189"/>
      <c r="AC6" s="184"/>
      <c r="AD6" s="265"/>
      <c r="AE6" s="184"/>
      <c r="AF6" s="189"/>
      <c r="AG6" s="184"/>
      <c r="AH6" s="189"/>
      <c r="AI6" s="184"/>
      <c r="AJ6" s="189"/>
      <c r="AK6" s="184"/>
      <c r="AL6" s="189"/>
      <c r="AM6" s="184"/>
      <c r="AN6" s="189"/>
      <c r="AO6" s="185"/>
      <c r="AP6" s="177"/>
      <c r="AQ6" s="186"/>
      <c r="AR6"/>
    </row>
    <row r="7" spans="2:44" ht="16.5" thickBot="1">
      <c r="B7" s="42">
        <v>200</v>
      </c>
      <c r="C7" s="21" t="s">
        <v>119</v>
      </c>
      <c r="D7" s="22" t="s">
        <v>699</v>
      </c>
      <c r="E7" s="323" t="s">
        <v>873</v>
      </c>
      <c r="F7" s="323"/>
      <c r="G7" s="389" t="s">
        <v>1021</v>
      </c>
      <c r="H7" s="312" t="s">
        <v>948</v>
      </c>
      <c r="I7" s="5"/>
      <c r="J7" s="5"/>
      <c r="K7" s="14"/>
      <c r="L7" s="177"/>
      <c r="M7" s="187"/>
      <c r="N7" s="184"/>
      <c r="O7" s="184"/>
      <c r="P7" s="184"/>
      <c r="Q7" s="184"/>
      <c r="R7" s="191"/>
      <c r="S7" s="184"/>
      <c r="T7" s="191"/>
      <c r="U7" s="184"/>
      <c r="V7" s="266"/>
      <c r="W7" s="184"/>
      <c r="X7" s="191"/>
      <c r="Y7" s="184"/>
      <c r="Z7" s="266"/>
      <c r="AA7" s="184"/>
      <c r="AB7" s="191"/>
      <c r="AC7" s="184"/>
      <c r="AD7" s="266"/>
      <c r="AE7" s="184"/>
      <c r="AF7" s="191"/>
      <c r="AG7" s="184"/>
      <c r="AH7" s="191"/>
      <c r="AI7" s="184"/>
      <c r="AJ7" s="191"/>
      <c r="AK7" s="184"/>
      <c r="AL7" s="191"/>
      <c r="AM7" s="184"/>
      <c r="AN7" s="191"/>
      <c r="AO7" s="185"/>
      <c r="AP7" s="177"/>
      <c r="AQ7" s="186"/>
      <c r="AR7"/>
    </row>
    <row r="8" spans="2:44" ht="16.5" thickBot="1">
      <c r="B8" s="42">
        <v>207</v>
      </c>
      <c r="C8" s="21" t="s">
        <v>126</v>
      </c>
      <c r="D8" s="22" t="s">
        <v>632</v>
      </c>
      <c r="E8" s="323" t="s">
        <v>873</v>
      </c>
      <c r="F8" s="323"/>
      <c r="G8" s="389" t="s">
        <v>1018</v>
      </c>
      <c r="H8" s="312" t="s">
        <v>948</v>
      </c>
      <c r="I8" s="5"/>
      <c r="J8" s="5"/>
      <c r="K8" s="14"/>
      <c r="L8" s="177"/>
      <c r="M8" s="187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5"/>
      <c r="AP8" s="177"/>
      <c r="AQ8" s="186"/>
      <c r="AR8"/>
    </row>
    <row r="9" spans="2:44">
      <c r="B9" s="42">
        <v>208</v>
      </c>
      <c r="C9" s="21" t="s">
        <v>127</v>
      </c>
      <c r="D9" s="22" t="s">
        <v>655</v>
      </c>
      <c r="E9" s="323" t="s">
        <v>873</v>
      </c>
      <c r="F9" s="323"/>
      <c r="G9" s="389" t="s">
        <v>1019</v>
      </c>
      <c r="H9" s="312" t="s">
        <v>948</v>
      </c>
      <c r="I9" s="5"/>
      <c r="J9" s="5"/>
      <c r="K9" s="14"/>
      <c r="L9" s="177"/>
      <c r="M9" s="187"/>
      <c r="N9" s="184"/>
      <c r="O9" s="184"/>
      <c r="P9" s="184"/>
      <c r="Q9" s="184"/>
      <c r="R9" s="189"/>
      <c r="S9" s="184"/>
      <c r="T9" s="189"/>
      <c r="U9" s="184"/>
      <c r="V9" s="265"/>
      <c r="W9" s="184"/>
      <c r="X9" s="189"/>
      <c r="Y9" s="184"/>
      <c r="Z9" s="265"/>
      <c r="AA9" s="184"/>
      <c r="AB9" s="189"/>
      <c r="AC9" s="184"/>
      <c r="AD9" s="265"/>
      <c r="AE9" s="184"/>
      <c r="AF9" s="189"/>
      <c r="AG9" s="184"/>
      <c r="AH9" s="189"/>
      <c r="AI9" s="184"/>
      <c r="AJ9" s="189"/>
      <c r="AK9" s="184"/>
      <c r="AL9" s="189"/>
      <c r="AM9" s="184"/>
      <c r="AN9" s="189"/>
      <c r="AO9" s="185"/>
      <c r="AP9" s="177"/>
      <c r="AQ9" s="186"/>
      <c r="AR9"/>
    </row>
    <row r="10" spans="2:44" ht="16.5" thickBot="1">
      <c r="B10" s="42">
        <v>228</v>
      </c>
      <c r="C10" s="21" t="s">
        <v>147</v>
      </c>
      <c r="D10" s="22" t="s">
        <v>657</v>
      </c>
      <c r="E10" s="323" t="s">
        <v>873</v>
      </c>
      <c r="F10" s="323"/>
      <c r="G10" s="389" t="s">
        <v>1016</v>
      </c>
      <c r="H10" s="312" t="s">
        <v>948</v>
      </c>
      <c r="I10" s="5"/>
      <c r="J10" s="5"/>
      <c r="K10" s="14"/>
      <c r="L10" s="177"/>
      <c r="M10" s="187"/>
      <c r="N10" s="184"/>
      <c r="O10" s="184"/>
      <c r="P10" s="184"/>
      <c r="Q10" s="184"/>
      <c r="R10" s="191"/>
      <c r="S10" s="184"/>
      <c r="T10" s="191"/>
      <c r="U10" s="184"/>
      <c r="V10" s="266"/>
      <c r="W10" s="184"/>
      <c r="X10" s="191"/>
      <c r="Y10" s="184"/>
      <c r="Z10" s="266"/>
      <c r="AA10" s="184"/>
      <c r="AB10" s="191"/>
      <c r="AC10" s="184"/>
      <c r="AD10" s="266"/>
      <c r="AE10" s="184"/>
      <c r="AF10" s="191"/>
      <c r="AG10" s="184"/>
      <c r="AH10" s="191"/>
      <c r="AI10" s="184"/>
      <c r="AJ10" s="191"/>
      <c r="AK10" s="184"/>
      <c r="AL10" s="190"/>
      <c r="AM10" s="184"/>
      <c r="AN10" s="191"/>
      <c r="AO10" s="192"/>
      <c r="AP10" s="177"/>
      <c r="AQ10" s="186"/>
      <c r="AR10"/>
    </row>
    <row r="11" spans="2:44">
      <c r="B11" s="42">
        <v>227</v>
      </c>
      <c r="C11" s="21" t="s">
        <v>146</v>
      </c>
      <c r="D11" s="22" t="s">
        <v>634</v>
      </c>
      <c r="E11" s="323" t="s">
        <v>873</v>
      </c>
      <c r="F11" s="323"/>
      <c r="G11" s="389" t="s">
        <v>1017</v>
      </c>
      <c r="H11" s="312" t="s">
        <v>948</v>
      </c>
      <c r="I11" s="5"/>
      <c r="J11" s="5"/>
      <c r="K11" s="14"/>
      <c r="L11" s="177"/>
      <c r="M11" s="187"/>
      <c r="N11" s="184"/>
      <c r="O11" s="184"/>
      <c r="P11" s="184"/>
      <c r="Q11" s="184"/>
      <c r="R11" s="556">
        <v>11</v>
      </c>
      <c r="S11" s="556"/>
      <c r="T11" s="556">
        <v>10</v>
      </c>
      <c r="U11" s="556"/>
      <c r="V11" s="184">
        <v>9</v>
      </c>
      <c r="W11" s="184"/>
      <c r="X11" s="184">
        <v>8</v>
      </c>
      <c r="Y11" s="184"/>
      <c r="Z11" s="184">
        <v>7</v>
      </c>
      <c r="AA11" s="184"/>
      <c r="AB11" s="184">
        <v>6</v>
      </c>
      <c r="AC11" s="184"/>
      <c r="AD11" s="184">
        <v>5</v>
      </c>
      <c r="AE11" s="184"/>
      <c r="AF11" s="184">
        <v>4</v>
      </c>
      <c r="AG11" s="184"/>
      <c r="AH11" s="249">
        <v>3</v>
      </c>
      <c r="AI11" s="249"/>
      <c r="AJ11" s="249">
        <v>2</v>
      </c>
      <c r="AK11" s="250"/>
      <c r="AL11" s="251">
        <v>1</v>
      </c>
      <c r="AM11" s="249"/>
      <c r="AN11" s="249">
        <v>0</v>
      </c>
      <c r="AO11" s="192"/>
      <c r="AP11" s="177"/>
      <c r="AQ11" s="186"/>
      <c r="AR11"/>
    </row>
    <row r="12" spans="2:44">
      <c r="B12" s="213">
        <v>189</v>
      </c>
      <c r="C12" s="214" t="s">
        <v>108</v>
      </c>
      <c r="D12" s="215" t="s">
        <v>676</v>
      </c>
      <c r="E12" s="359"/>
      <c r="F12" s="359"/>
      <c r="G12" s="359"/>
      <c r="H12" s="312"/>
      <c r="I12" s="216"/>
      <c r="J12" s="216"/>
      <c r="K12" s="217"/>
      <c r="L12" s="177"/>
      <c r="M12" s="187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92"/>
      <c r="AP12" s="193"/>
      <c r="AQ12" s="186"/>
      <c r="AR12"/>
    </row>
    <row r="13" spans="2:44">
      <c r="B13" s="213">
        <v>190</v>
      </c>
      <c r="C13" s="214" t="s">
        <v>109</v>
      </c>
      <c r="D13" s="215" t="s">
        <v>698</v>
      </c>
      <c r="E13" s="359"/>
      <c r="F13" s="359"/>
      <c r="G13" s="359"/>
      <c r="H13" s="312"/>
      <c r="I13" s="216"/>
      <c r="J13" s="216"/>
      <c r="K13" s="217"/>
      <c r="L13" s="177"/>
      <c r="M13" s="187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92"/>
      <c r="AP13" s="193"/>
      <c r="AQ13" s="186"/>
      <c r="AR13"/>
    </row>
    <row r="14" spans="2:44">
      <c r="B14" s="213">
        <v>179</v>
      </c>
      <c r="C14" s="214" t="s">
        <v>98</v>
      </c>
      <c r="D14" s="215" t="s">
        <v>675</v>
      </c>
      <c r="E14" s="359"/>
      <c r="F14" s="359"/>
      <c r="G14" s="359"/>
      <c r="H14" s="312"/>
      <c r="I14" s="216"/>
      <c r="J14" s="216"/>
      <c r="K14" s="217"/>
      <c r="L14" s="177"/>
      <c r="M14" s="187"/>
      <c r="N14" s="184"/>
      <c r="O14" s="184"/>
      <c r="P14" s="16" t="s">
        <v>13</v>
      </c>
      <c r="Q14" s="16"/>
      <c r="R14" s="16" t="s">
        <v>13</v>
      </c>
      <c r="S14" s="16"/>
      <c r="T14" s="16" t="s">
        <v>14</v>
      </c>
      <c r="U14" s="16"/>
      <c r="V14" s="16" t="s">
        <v>14</v>
      </c>
      <c r="W14" s="16"/>
      <c r="X14" s="16" t="s">
        <v>13</v>
      </c>
      <c r="Y14" s="16"/>
      <c r="Z14" s="16" t="s">
        <v>13</v>
      </c>
      <c r="AA14" s="16"/>
      <c r="AB14" s="16" t="s">
        <v>14</v>
      </c>
      <c r="AC14" s="16"/>
      <c r="AD14" s="16" t="s">
        <v>14</v>
      </c>
      <c r="AE14" s="16"/>
      <c r="AF14" s="16" t="s">
        <v>13</v>
      </c>
      <c r="AG14" s="16"/>
      <c r="AH14" s="16" t="s">
        <v>13</v>
      </c>
      <c r="AI14" s="16"/>
      <c r="AJ14" s="16" t="s">
        <v>14</v>
      </c>
      <c r="AK14" s="16"/>
      <c r="AL14" s="16" t="s">
        <v>14</v>
      </c>
      <c r="AM14" s="184"/>
      <c r="AN14" s="184"/>
      <c r="AO14" s="192"/>
      <c r="AP14" s="193"/>
      <c r="AQ14" s="182" t="s">
        <v>710</v>
      </c>
      <c r="AR14"/>
    </row>
    <row r="15" spans="2:44">
      <c r="B15" s="213">
        <v>180</v>
      </c>
      <c r="C15" s="214" t="s">
        <v>99</v>
      </c>
      <c r="D15" s="215" t="s">
        <v>697</v>
      </c>
      <c r="E15" s="359"/>
      <c r="F15" s="359"/>
      <c r="G15" s="359"/>
      <c r="H15" s="312"/>
      <c r="I15" s="216"/>
      <c r="J15" s="216"/>
      <c r="K15" s="217"/>
      <c r="L15" s="177"/>
      <c r="M15" s="187"/>
      <c r="N15" s="184"/>
      <c r="O15" s="184"/>
      <c r="P15" s="16">
        <v>2</v>
      </c>
      <c r="Q15" s="16"/>
      <c r="R15" s="16">
        <v>2</v>
      </c>
      <c r="S15" s="16"/>
      <c r="T15" s="16">
        <v>2</v>
      </c>
      <c r="U15" s="16"/>
      <c r="V15" s="16">
        <v>2</v>
      </c>
      <c r="W15" s="16"/>
      <c r="X15" s="16">
        <v>1</v>
      </c>
      <c r="Y15" s="16"/>
      <c r="Z15" s="16">
        <v>1</v>
      </c>
      <c r="AA15" s="16"/>
      <c r="AB15" s="16">
        <v>1</v>
      </c>
      <c r="AC15" s="16"/>
      <c r="AD15" s="16">
        <v>1</v>
      </c>
      <c r="AE15" s="16"/>
      <c r="AF15" s="16">
        <v>0</v>
      </c>
      <c r="AG15" s="16"/>
      <c r="AH15" s="16">
        <v>0</v>
      </c>
      <c r="AI15" s="16"/>
      <c r="AJ15" s="16">
        <v>0</v>
      </c>
      <c r="AK15" s="16"/>
      <c r="AL15" s="16">
        <v>0</v>
      </c>
      <c r="AM15" s="184"/>
      <c r="AN15" s="184"/>
      <c r="AO15" s="192"/>
      <c r="AP15" s="193"/>
      <c r="AQ15" s="182" t="s">
        <v>713</v>
      </c>
      <c r="AR15"/>
    </row>
    <row r="16" spans="2:44" ht="16.5" thickBot="1">
      <c r="B16" s="42">
        <v>197</v>
      </c>
      <c r="C16" s="21" t="s">
        <v>116</v>
      </c>
      <c r="D16" s="22" t="s">
        <v>631</v>
      </c>
      <c r="E16" s="323" t="s">
        <v>873</v>
      </c>
      <c r="F16" s="323"/>
      <c r="G16" s="389" t="s">
        <v>983</v>
      </c>
      <c r="H16" s="312" t="s">
        <v>948</v>
      </c>
      <c r="I16" s="5"/>
      <c r="J16" s="5"/>
      <c r="K16" s="14"/>
      <c r="L16" s="177"/>
      <c r="M16" s="187"/>
      <c r="N16" s="184"/>
      <c r="O16" s="184"/>
      <c r="P16" s="16" t="s">
        <v>17</v>
      </c>
      <c r="Q16" s="16"/>
      <c r="R16" s="16" t="s">
        <v>13</v>
      </c>
      <c r="S16" s="16"/>
      <c r="T16" s="16" t="s">
        <v>13</v>
      </c>
      <c r="U16" s="16"/>
      <c r="V16" s="16" t="s">
        <v>17</v>
      </c>
      <c r="W16" s="16"/>
      <c r="X16" s="16" t="s">
        <v>17</v>
      </c>
      <c r="Y16" s="16"/>
      <c r="Z16" s="16" t="s">
        <v>13</v>
      </c>
      <c r="AA16" s="16"/>
      <c r="AB16" s="16" t="s">
        <v>13</v>
      </c>
      <c r="AC16" s="16"/>
      <c r="AD16" s="16" t="s">
        <v>17</v>
      </c>
      <c r="AE16" s="16"/>
      <c r="AF16" s="16" t="s">
        <v>17</v>
      </c>
      <c r="AG16" s="16"/>
      <c r="AH16" s="16" t="s">
        <v>13</v>
      </c>
      <c r="AI16" s="16"/>
      <c r="AJ16" s="16" t="s">
        <v>13</v>
      </c>
      <c r="AK16" s="16"/>
      <c r="AL16" s="16" t="s">
        <v>17</v>
      </c>
      <c r="AM16" s="184"/>
      <c r="AN16" s="184"/>
      <c r="AO16" s="192"/>
      <c r="AP16" s="193"/>
      <c r="AQ16" s="182" t="s">
        <v>954</v>
      </c>
      <c r="AR16"/>
    </row>
    <row r="17" spans="2:44">
      <c r="B17" s="42">
        <v>198</v>
      </c>
      <c r="C17" s="21" t="s">
        <v>117</v>
      </c>
      <c r="D17" s="22" t="s">
        <v>654</v>
      </c>
      <c r="E17" s="323" t="s">
        <v>873</v>
      </c>
      <c r="F17" s="323"/>
      <c r="G17" s="389" t="s">
        <v>984</v>
      </c>
      <c r="H17" s="312" t="s">
        <v>948</v>
      </c>
      <c r="I17" s="5"/>
      <c r="J17" s="5"/>
      <c r="K17" s="14"/>
      <c r="L17" s="177"/>
      <c r="M17" s="187"/>
      <c r="N17" s="184"/>
      <c r="O17" s="16"/>
      <c r="P17" s="244">
        <v>11</v>
      </c>
      <c r="Q17" s="35"/>
      <c r="R17" s="244">
        <v>10</v>
      </c>
      <c r="S17" s="35"/>
      <c r="T17" s="244">
        <v>9</v>
      </c>
      <c r="U17" s="35"/>
      <c r="V17" s="244">
        <v>8</v>
      </c>
      <c r="W17" s="35"/>
      <c r="X17" s="244">
        <v>7</v>
      </c>
      <c r="Y17" s="35"/>
      <c r="Z17" s="255">
        <v>6</v>
      </c>
      <c r="AA17" s="35"/>
      <c r="AB17" s="244">
        <v>5</v>
      </c>
      <c r="AC17" s="35"/>
      <c r="AD17" s="244">
        <v>4</v>
      </c>
      <c r="AE17" s="35"/>
      <c r="AF17" s="244">
        <v>3</v>
      </c>
      <c r="AG17" s="35"/>
      <c r="AH17" s="244">
        <v>2</v>
      </c>
      <c r="AI17" s="35"/>
      <c r="AJ17" s="244">
        <v>1</v>
      </c>
      <c r="AK17" s="35"/>
      <c r="AL17" s="244">
        <v>0</v>
      </c>
      <c r="AM17" s="184"/>
      <c r="AN17" s="184"/>
      <c r="AO17" s="192"/>
      <c r="AP17" s="193"/>
      <c r="AQ17" s="182" t="s">
        <v>964</v>
      </c>
      <c r="AR17"/>
    </row>
    <row r="18" spans="2:44" s="1" customFormat="1" ht="16.5" thickBot="1">
      <c r="B18" s="42">
        <v>210</v>
      </c>
      <c r="C18" s="21" t="s">
        <v>129</v>
      </c>
      <c r="D18" s="22" t="s">
        <v>700</v>
      </c>
      <c r="E18" s="323" t="s">
        <v>873</v>
      </c>
      <c r="F18" s="323"/>
      <c r="G18" s="389" t="s">
        <v>981</v>
      </c>
      <c r="H18" s="312" t="s">
        <v>948</v>
      </c>
      <c r="I18" s="5"/>
      <c r="J18" s="5"/>
      <c r="K18" s="14"/>
      <c r="L18" s="177"/>
      <c r="M18" s="187"/>
      <c r="N18" s="184"/>
      <c r="O18" s="16"/>
      <c r="P18" s="246">
        <v>11</v>
      </c>
      <c r="Q18" s="35"/>
      <c r="R18" s="246">
        <v>10</v>
      </c>
      <c r="S18" s="35"/>
      <c r="T18" s="246">
        <v>9</v>
      </c>
      <c r="U18" s="35"/>
      <c r="V18" s="246">
        <v>8</v>
      </c>
      <c r="W18" s="35"/>
      <c r="X18" s="246">
        <v>7</v>
      </c>
      <c r="Y18" s="35"/>
      <c r="Z18" s="256">
        <v>6</v>
      </c>
      <c r="AA18" s="35"/>
      <c r="AB18" s="246">
        <v>5</v>
      </c>
      <c r="AC18" s="35"/>
      <c r="AD18" s="246">
        <v>4</v>
      </c>
      <c r="AE18" s="35"/>
      <c r="AF18" s="246">
        <v>3</v>
      </c>
      <c r="AG18" s="35"/>
      <c r="AH18" s="246">
        <v>2</v>
      </c>
      <c r="AI18" s="35"/>
      <c r="AJ18" s="246">
        <v>1</v>
      </c>
      <c r="AK18" s="35"/>
      <c r="AL18" s="246">
        <v>0</v>
      </c>
      <c r="AM18" s="184"/>
      <c r="AN18" s="184"/>
      <c r="AO18" s="192"/>
      <c r="AP18" s="193"/>
      <c r="AQ18" s="186"/>
      <c r="AR18"/>
    </row>
    <row r="19" spans="2:44" s="1" customFormat="1" ht="16.5" thickBot="1">
      <c r="B19" s="42">
        <v>209</v>
      </c>
      <c r="C19" s="21" t="s">
        <v>128</v>
      </c>
      <c r="D19" s="22" t="s">
        <v>678</v>
      </c>
      <c r="E19" s="323" t="s">
        <v>873</v>
      </c>
      <c r="F19" s="323"/>
      <c r="G19" s="389" t="s">
        <v>982</v>
      </c>
      <c r="H19" s="312" t="s">
        <v>948</v>
      </c>
      <c r="I19" s="5"/>
      <c r="J19" s="5"/>
      <c r="K19" s="14"/>
      <c r="L19" s="177"/>
      <c r="M19" s="194"/>
      <c r="N19" s="195"/>
      <c r="O19" s="195"/>
      <c r="P19" s="563">
        <v>11</v>
      </c>
      <c r="Q19" s="563"/>
      <c r="R19" s="563">
        <v>10</v>
      </c>
      <c r="S19" s="563"/>
      <c r="T19" s="195">
        <v>9</v>
      </c>
      <c r="U19" s="195"/>
      <c r="V19" s="195">
        <v>8</v>
      </c>
      <c r="W19" s="195"/>
      <c r="X19" s="195">
        <v>7</v>
      </c>
      <c r="Y19" s="195"/>
      <c r="Z19" s="195">
        <v>6</v>
      </c>
      <c r="AA19" s="195"/>
      <c r="AB19" s="195">
        <v>5</v>
      </c>
      <c r="AC19" s="195"/>
      <c r="AD19" s="195">
        <v>4</v>
      </c>
      <c r="AE19" s="195"/>
      <c r="AF19" s="195">
        <v>3</v>
      </c>
      <c r="AG19" s="195"/>
      <c r="AH19" s="195">
        <v>2</v>
      </c>
      <c r="AI19" s="195"/>
      <c r="AJ19" s="253">
        <v>1</v>
      </c>
      <c r="AK19" s="253"/>
      <c r="AL19" s="253">
        <v>0</v>
      </c>
      <c r="AM19" s="253"/>
      <c r="AN19" s="195"/>
      <c r="AO19" s="196"/>
      <c r="AP19" s="193"/>
      <c r="AQ19" s="186"/>
      <c r="AR19"/>
    </row>
    <row r="20" spans="2:44" s="1" customFormat="1">
      <c r="B20" s="42">
        <v>217</v>
      </c>
      <c r="C20" s="21" t="s">
        <v>136</v>
      </c>
      <c r="D20" s="22" t="s">
        <v>633</v>
      </c>
      <c r="E20" s="323" t="s">
        <v>873</v>
      </c>
      <c r="F20" s="323"/>
      <c r="G20" s="389" t="s">
        <v>980</v>
      </c>
      <c r="H20" s="312" t="s">
        <v>948</v>
      </c>
      <c r="I20" s="5"/>
      <c r="J20" s="5"/>
      <c r="K20" s="14"/>
      <c r="L20" s="558" t="s">
        <v>864</v>
      </c>
      <c r="M20" s="559"/>
      <c r="N20" s="559"/>
      <c r="O20" s="559"/>
      <c r="P20" s="559"/>
      <c r="Q20" s="559"/>
      <c r="R20" s="559"/>
      <c r="S20" s="559"/>
      <c r="T20" s="559"/>
      <c r="U20" s="559"/>
      <c r="V20" s="559"/>
      <c r="W20" s="559"/>
      <c r="X20" s="559"/>
      <c r="Y20" s="559"/>
      <c r="Z20" s="559"/>
      <c r="AA20" s="559"/>
      <c r="AB20" s="559"/>
      <c r="AC20" s="559"/>
      <c r="AD20" s="559"/>
      <c r="AE20" s="559"/>
      <c r="AF20" s="559"/>
      <c r="AG20" s="559"/>
      <c r="AH20" s="559"/>
      <c r="AI20" s="559"/>
      <c r="AJ20" s="559"/>
      <c r="AK20" s="559"/>
      <c r="AL20" s="559"/>
      <c r="AM20" s="559"/>
      <c r="AN20" s="559"/>
      <c r="AO20" s="559"/>
      <c r="AP20" s="559"/>
      <c r="AQ20" s="186"/>
      <c r="AR20"/>
    </row>
    <row r="21" spans="2:44" s="1" customFormat="1">
      <c r="B21" s="42">
        <v>218</v>
      </c>
      <c r="C21" s="21" t="s">
        <v>137</v>
      </c>
      <c r="D21" s="22" t="s">
        <v>656</v>
      </c>
      <c r="E21" s="323" t="s">
        <v>873</v>
      </c>
      <c r="F21" s="323"/>
      <c r="G21" s="389" t="s">
        <v>4</v>
      </c>
      <c r="H21" s="312" t="s">
        <v>948</v>
      </c>
      <c r="I21" s="5"/>
      <c r="J21" s="5"/>
      <c r="K21" s="14"/>
      <c r="L21" s="560" t="s">
        <v>721</v>
      </c>
      <c r="M21" s="561"/>
      <c r="N21" s="561"/>
      <c r="O21" s="561"/>
      <c r="P21" s="561"/>
      <c r="Q21" s="561"/>
      <c r="R21" s="561"/>
      <c r="S21" s="561"/>
      <c r="T21" s="561"/>
      <c r="U21" s="561"/>
      <c r="V21" s="561"/>
      <c r="W21" s="561"/>
      <c r="X21" s="561"/>
      <c r="Y21" s="561"/>
      <c r="Z21" s="561"/>
      <c r="AA21" s="561"/>
      <c r="AB21" s="561"/>
      <c r="AC21" s="561"/>
      <c r="AD21" s="561"/>
      <c r="AE21" s="561"/>
      <c r="AF21" s="561"/>
      <c r="AG21" s="561"/>
      <c r="AH21" s="561"/>
      <c r="AI21" s="561"/>
      <c r="AJ21" s="561"/>
      <c r="AK21" s="561"/>
      <c r="AL21" s="561"/>
      <c r="AM21" s="561"/>
      <c r="AN21" s="561"/>
      <c r="AO21" s="561"/>
      <c r="AP21" s="561"/>
      <c r="AQ21" s="193"/>
      <c r="AR21"/>
    </row>
    <row r="22" spans="2:44" s="1" customFormat="1">
      <c r="B22" s="213">
        <v>177</v>
      </c>
      <c r="C22" s="214" t="s">
        <v>96</v>
      </c>
      <c r="D22" s="215" t="s">
        <v>629</v>
      </c>
      <c r="E22" s="359"/>
      <c r="F22" s="359"/>
      <c r="G22" s="359"/>
      <c r="H22" s="312"/>
      <c r="I22" s="216"/>
      <c r="J22" s="216"/>
      <c r="K22" s="217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13">
        <v>187</v>
      </c>
      <c r="C23" s="214" t="s">
        <v>106</v>
      </c>
      <c r="D23" s="215" t="s">
        <v>630</v>
      </c>
      <c r="E23" s="359"/>
      <c r="F23" s="359"/>
      <c r="G23" s="359"/>
      <c r="H23" s="312"/>
      <c r="I23" s="216"/>
      <c r="J23" s="216"/>
      <c r="K23" s="217"/>
      <c r="L23"/>
      <c r="M23" s="562" t="s">
        <v>836</v>
      </c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2"/>
      <c r="AP23"/>
      <c r="AQ23"/>
      <c r="AR23"/>
    </row>
    <row r="24" spans="2:44" s="1" customFormat="1">
      <c r="B24" s="213">
        <v>178</v>
      </c>
      <c r="C24" s="214" t="s">
        <v>97</v>
      </c>
      <c r="D24" s="215" t="s">
        <v>652</v>
      </c>
      <c r="E24" s="359"/>
      <c r="F24" s="359"/>
      <c r="G24" s="359"/>
      <c r="H24" s="312"/>
      <c r="I24" s="216"/>
      <c r="J24" s="216"/>
      <c r="K24" s="217"/>
      <c r="L24"/>
      <c r="M24" s="557" t="s">
        <v>883</v>
      </c>
      <c r="N24" s="557"/>
      <c r="O24" s="557"/>
      <c r="P24" s="557"/>
      <c r="Q24" s="557"/>
      <c r="R24" s="557"/>
      <c r="S24" s="557"/>
      <c r="T24" s="557"/>
      <c r="U24" s="557"/>
      <c r="V24" s="557"/>
      <c r="W24" s="557"/>
      <c r="X24" s="557"/>
      <c r="Y24" s="557"/>
      <c r="Z24" s="557"/>
      <c r="AA24" s="557"/>
      <c r="AB24" s="557"/>
      <c r="AC24" s="557"/>
      <c r="AD24" s="557"/>
      <c r="AE24" s="557"/>
      <c r="AF24" s="557"/>
      <c r="AG24" s="557"/>
      <c r="AH24" s="557"/>
      <c r="AI24" s="557"/>
      <c r="AJ24" s="557"/>
      <c r="AK24" s="557"/>
      <c r="AL24" s="557"/>
      <c r="AM24" s="557"/>
      <c r="AN24" s="557"/>
      <c r="AO24" s="557"/>
      <c r="AP24"/>
      <c r="AQ24"/>
      <c r="AR24"/>
    </row>
    <row r="25" spans="2:44" s="1" customFormat="1">
      <c r="B25" s="213">
        <v>188</v>
      </c>
      <c r="C25" s="214" t="s">
        <v>107</v>
      </c>
      <c r="D25" s="215" t="s">
        <v>653</v>
      </c>
      <c r="E25" s="359"/>
      <c r="F25" s="359"/>
      <c r="G25" s="359"/>
      <c r="H25" s="312"/>
      <c r="I25" s="216"/>
      <c r="J25" s="216"/>
      <c r="K25" s="217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42">
        <v>277</v>
      </c>
      <c r="C26" s="21" t="s">
        <v>196</v>
      </c>
      <c r="D26" s="22" t="s">
        <v>635</v>
      </c>
      <c r="E26" s="323" t="s">
        <v>873</v>
      </c>
      <c r="F26" s="323"/>
      <c r="G26" s="389" t="s">
        <v>987</v>
      </c>
      <c r="H26" s="312" t="s">
        <v>948</v>
      </c>
      <c r="I26" s="5"/>
      <c r="J26" s="5"/>
      <c r="K26" s="14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42">
        <v>278</v>
      </c>
      <c r="C27" s="21" t="s">
        <v>197</v>
      </c>
      <c r="D27" s="22" t="s">
        <v>658</v>
      </c>
      <c r="E27" s="323" t="s">
        <v>873</v>
      </c>
      <c r="F27" s="323"/>
      <c r="G27" s="389" t="s">
        <v>988</v>
      </c>
      <c r="H27" s="312" t="s">
        <v>948</v>
      </c>
      <c r="I27" s="5"/>
      <c r="J27" s="5"/>
      <c r="K27" s="14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42">
        <v>287</v>
      </c>
      <c r="C28" s="21" t="s">
        <v>206</v>
      </c>
      <c r="D28" s="22" t="s">
        <v>636</v>
      </c>
      <c r="E28" s="323" t="s">
        <v>873</v>
      </c>
      <c r="F28" s="323"/>
      <c r="G28" s="389" t="s">
        <v>1022</v>
      </c>
      <c r="H28" s="312" t="s">
        <v>948</v>
      </c>
      <c r="I28" s="5"/>
      <c r="J28" s="5"/>
      <c r="K28" s="14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42">
        <v>288</v>
      </c>
      <c r="C29" s="21" t="s">
        <v>207</v>
      </c>
      <c r="D29" s="22" t="s">
        <v>659</v>
      </c>
      <c r="E29" s="323" t="s">
        <v>873</v>
      </c>
      <c r="F29" s="323"/>
      <c r="G29" s="389" t="s">
        <v>6</v>
      </c>
      <c r="H29" s="312" t="s">
        <v>948</v>
      </c>
      <c r="I29" s="5"/>
      <c r="J29" s="5"/>
      <c r="K29" s="14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42">
        <v>297</v>
      </c>
      <c r="C30" s="21" t="s">
        <v>216</v>
      </c>
      <c r="D30" s="22" t="s">
        <v>637</v>
      </c>
      <c r="E30" s="323" t="s">
        <v>873</v>
      </c>
      <c r="F30" s="323"/>
      <c r="G30" s="389" t="s">
        <v>985</v>
      </c>
      <c r="H30" s="312" t="s">
        <v>948</v>
      </c>
      <c r="I30" s="5"/>
      <c r="J30" s="5"/>
      <c r="K30" s="14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42">
        <v>298</v>
      </c>
      <c r="C31" s="21" t="s">
        <v>217</v>
      </c>
      <c r="D31" s="22" t="s">
        <v>660</v>
      </c>
      <c r="E31" s="323" t="s">
        <v>873</v>
      </c>
      <c r="F31" s="323"/>
      <c r="G31" s="389" t="s">
        <v>986</v>
      </c>
      <c r="H31" s="312" t="s">
        <v>948</v>
      </c>
      <c r="I31" s="5"/>
      <c r="J31" s="5"/>
      <c r="K31" s="14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13">
        <v>307</v>
      </c>
      <c r="C32" s="214" t="s">
        <v>226</v>
      </c>
      <c r="D32" s="215" t="s">
        <v>638</v>
      </c>
      <c r="E32" s="359"/>
      <c r="F32" s="359"/>
      <c r="G32" s="359"/>
      <c r="H32" s="312"/>
      <c r="I32" s="216"/>
      <c r="J32" s="216"/>
      <c r="K32" s="217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8" s="1" customFormat="1">
      <c r="B33" s="213">
        <v>308</v>
      </c>
      <c r="C33" s="214" t="s">
        <v>227</v>
      </c>
      <c r="D33" s="215" t="s">
        <v>661</v>
      </c>
      <c r="E33" s="359"/>
      <c r="F33" s="359"/>
      <c r="G33" s="359"/>
      <c r="H33" s="312"/>
      <c r="I33" s="216"/>
      <c r="J33" s="216"/>
      <c r="K33" s="217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8" s="1" customFormat="1">
      <c r="B34" s="213">
        <v>317</v>
      </c>
      <c r="C34" s="214" t="s">
        <v>236</v>
      </c>
      <c r="D34" s="215" t="s">
        <v>639</v>
      </c>
      <c r="E34" s="359"/>
      <c r="F34" s="359"/>
      <c r="G34" s="359"/>
      <c r="H34" s="312"/>
      <c r="I34" s="216"/>
      <c r="J34" s="216"/>
      <c r="K34" s="217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8" s="1" customFormat="1">
      <c r="B35" s="213">
        <v>318</v>
      </c>
      <c r="C35" s="214" t="s">
        <v>237</v>
      </c>
      <c r="D35" s="215" t="s">
        <v>662</v>
      </c>
      <c r="E35" s="359"/>
      <c r="F35" s="359"/>
      <c r="G35" s="359"/>
      <c r="H35" s="312"/>
      <c r="I35" s="216"/>
      <c r="J35" s="216"/>
      <c r="K35" s="217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8" s="1" customFormat="1">
      <c r="B36" s="42">
        <v>279</v>
      </c>
      <c r="C36" s="21" t="s">
        <v>198</v>
      </c>
      <c r="D36" s="22" t="s">
        <v>679</v>
      </c>
      <c r="E36" s="323" t="s">
        <v>873</v>
      </c>
      <c r="F36" s="323"/>
      <c r="G36" s="389" t="s">
        <v>993</v>
      </c>
      <c r="H36" s="312" t="s">
        <v>948</v>
      </c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8" s="1" customFormat="1">
      <c r="B37" s="42">
        <v>280</v>
      </c>
      <c r="C37" s="21" t="s">
        <v>199</v>
      </c>
      <c r="D37" s="22" t="s">
        <v>701</v>
      </c>
      <c r="E37" s="323" t="s">
        <v>873</v>
      </c>
      <c r="F37" s="323"/>
      <c r="G37" s="389" t="s">
        <v>8</v>
      </c>
      <c r="H37" s="312" t="s">
        <v>948</v>
      </c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8" s="1" customFormat="1">
      <c r="B38" s="42">
        <v>289</v>
      </c>
      <c r="C38" s="21" t="s">
        <v>208</v>
      </c>
      <c r="D38" s="22" t="s">
        <v>680</v>
      </c>
      <c r="E38" s="323" t="s">
        <v>873</v>
      </c>
      <c r="F38" s="323"/>
      <c r="G38" s="389" t="s">
        <v>991</v>
      </c>
      <c r="H38" s="312" t="s">
        <v>948</v>
      </c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8" s="1" customFormat="1">
      <c r="B39" s="42">
        <v>290</v>
      </c>
      <c r="C39" s="21" t="s">
        <v>209</v>
      </c>
      <c r="D39" s="22" t="s">
        <v>702</v>
      </c>
      <c r="E39" s="323" t="s">
        <v>873</v>
      </c>
      <c r="F39" s="323"/>
      <c r="G39" s="389" t="s">
        <v>992</v>
      </c>
      <c r="H39" s="312" t="s">
        <v>948</v>
      </c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8" s="1" customFormat="1">
      <c r="B40" s="42">
        <v>299</v>
      </c>
      <c r="C40" s="21" t="s">
        <v>218</v>
      </c>
      <c r="D40" s="22" t="s">
        <v>681</v>
      </c>
      <c r="E40" s="323" t="s">
        <v>873</v>
      </c>
      <c r="F40" s="323"/>
      <c r="G40" s="389" t="s">
        <v>989</v>
      </c>
      <c r="H40" s="312" t="s">
        <v>948</v>
      </c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8" s="1" customFormat="1">
      <c r="B41" s="42">
        <v>300</v>
      </c>
      <c r="C41" s="21" t="s">
        <v>219</v>
      </c>
      <c r="D41" s="22" t="s">
        <v>703</v>
      </c>
      <c r="E41" s="323" t="s">
        <v>873</v>
      </c>
      <c r="F41" s="323"/>
      <c r="G41" s="389" t="s">
        <v>990</v>
      </c>
      <c r="H41" s="312" t="s">
        <v>948</v>
      </c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8" s="1" customFormat="1">
      <c r="B42" s="213">
        <v>309</v>
      </c>
      <c r="C42" s="214" t="s">
        <v>228</v>
      </c>
      <c r="D42" s="215" t="s">
        <v>682</v>
      </c>
      <c r="E42" s="199"/>
      <c r="F42" s="216"/>
      <c r="G42" s="216"/>
      <c r="H42" s="199"/>
      <c r="I42" s="216"/>
      <c r="J42" s="216"/>
      <c r="K42" s="217"/>
      <c r="L42" s="3"/>
    </row>
    <row r="43" spans="2:48" s="1" customFormat="1">
      <c r="B43" s="213">
        <v>310</v>
      </c>
      <c r="C43" s="214" t="s">
        <v>229</v>
      </c>
      <c r="D43" s="215" t="s">
        <v>704</v>
      </c>
      <c r="E43" s="199"/>
      <c r="F43" s="216"/>
      <c r="G43" s="216"/>
      <c r="H43" s="199"/>
      <c r="I43" s="216"/>
      <c r="J43" s="216"/>
      <c r="K43" s="217"/>
      <c r="L43" s="3"/>
    </row>
    <row r="44" spans="2:48" s="1" customFormat="1">
      <c r="B44" s="213">
        <v>319</v>
      </c>
      <c r="C44" s="214" t="s">
        <v>238</v>
      </c>
      <c r="D44" s="215" t="s">
        <v>683</v>
      </c>
      <c r="E44" s="199"/>
      <c r="F44" s="216"/>
      <c r="G44" s="216"/>
      <c r="H44" s="199"/>
      <c r="I44" s="216"/>
      <c r="J44" s="216"/>
      <c r="K44" s="217"/>
      <c r="L44" s="3"/>
    </row>
    <row r="45" spans="2:48" s="1" customFormat="1">
      <c r="B45" s="213">
        <v>320</v>
      </c>
      <c r="C45" s="214" t="s">
        <v>239</v>
      </c>
      <c r="D45" s="215" t="s">
        <v>705</v>
      </c>
      <c r="E45" s="199"/>
      <c r="F45" s="216"/>
      <c r="G45" s="216"/>
      <c r="H45" s="199"/>
      <c r="I45" s="216"/>
      <c r="J45" s="216"/>
      <c r="K45" s="217"/>
      <c r="L45" s="3"/>
    </row>
    <row r="46" spans="2:48" s="1" customFormat="1">
      <c r="B46" s="260">
        <v>37</v>
      </c>
      <c r="C46" s="261" t="s">
        <v>373</v>
      </c>
      <c r="D46" s="262" t="s">
        <v>622</v>
      </c>
      <c r="E46" s="345" t="s">
        <v>870</v>
      </c>
      <c r="F46" s="344"/>
      <c r="G46" s="386" t="s">
        <v>41</v>
      </c>
      <c r="H46" s="340" t="s">
        <v>931</v>
      </c>
      <c r="I46" s="212"/>
      <c r="J46" s="212"/>
      <c r="K46" s="263"/>
      <c r="L46" s="3"/>
      <c r="AQ46"/>
      <c r="AR46"/>
      <c r="AS46"/>
      <c r="AT46"/>
      <c r="AU46"/>
      <c r="AV46"/>
    </row>
    <row r="47" spans="2:48" s="1" customFormat="1">
      <c r="B47" s="260">
        <v>27</v>
      </c>
      <c r="C47" s="261" t="s">
        <v>363</v>
      </c>
      <c r="D47" s="262" t="s">
        <v>623</v>
      </c>
      <c r="E47" s="345" t="s">
        <v>870</v>
      </c>
      <c r="F47" s="344"/>
      <c r="G47" s="386" t="s">
        <v>51</v>
      </c>
      <c r="H47" s="314" t="s">
        <v>931</v>
      </c>
      <c r="I47" s="212"/>
      <c r="J47" s="212"/>
      <c r="K47" s="263"/>
      <c r="L47" s="3"/>
      <c r="AQ47"/>
      <c r="AR47"/>
      <c r="AS47"/>
      <c r="AT47"/>
      <c r="AU47"/>
      <c r="AV47"/>
    </row>
    <row r="48" spans="2:48">
      <c r="B48" s="260">
        <v>18</v>
      </c>
      <c r="C48" s="261" t="s">
        <v>354</v>
      </c>
      <c r="D48" s="262" t="s">
        <v>643</v>
      </c>
      <c r="E48" s="345" t="s">
        <v>870</v>
      </c>
      <c r="F48" s="344"/>
      <c r="G48" s="386" t="s">
        <v>60</v>
      </c>
      <c r="H48" s="314" t="s">
        <v>931</v>
      </c>
      <c r="I48" s="212"/>
      <c r="J48" s="212"/>
      <c r="K48" s="263"/>
      <c r="AQ48"/>
      <c r="AR48"/>
      <c r="AS48"/>
      <c r="AT48"/>
      <c r="AU48"/>
      <c r="AV48"/>
    </row>
    <row r="49" spans="2:48">
      <c r="B49" s="260">
        <v>8</v>
      </c>
      <c r="C49" s="261" t="s">
        <v>344</v>
      </c>
      <c r="D49" s="262" t="s">
        <v>644</v>
      </c>
      <c r="E49" s="345" t="s">
        <v>870</v>
      </c>
      <c r="F49" s="344"/>
      <c r="G49" s="386" t="s">
        <v>70</v>
      </c>
      <c r="H49" s="314" t="s">
        <v>931</v>
      </c>
      <c r="I49" s="212"/>
      <c r="J49" s="212"/>
      <c r="K49" s="263"/>
      <c r="AQ49"/>
      <c r="AR49"/>
      <c r="AS49"/>
      <c r="AT49"/>
      <c r="AU49"/>
      <c r="AV49"/>
    </row>
    <row r="50" spans="2:48">
      <c r="B50" s="260">
        <v>10</v>
      </c>
      <c r="C50" s="261" t="s">
        <v>346</v>
      </c>
      <c r="D50" s="262" t="s">
        <v>666</v>
      </c>
      <c r="E50" s="345" t="s">
        <v>870</v>
      </c>
      <c r="F50" s="344"/>
      <c r="G50" s="386" t="s">
        <v>20</v>
      </c>
      <c r="H50" s="314" t="s">
        <v>931</v>
      </c>
      <c r="I50" s="212"/>
      <c r="J50" s="212"/>
      <c r="K50" s="263"/>
      <c r="AQ50"/>
      <c r="AR50"/>
      <c r="AS50"/>
      <c r="AT50"/>
      <c r="AU50"/>
      <c r="AV50"/>
    </row>
    <row r="51" spans="2:48">
      <c r="B51" s="260">
        <v>9</v>
      </c>
      <c r="C51" s="261" t="s">
        <v>345</v>
      </c>
      <c r="D51" s="262" t="s">
        <v>688</v>
      </c>
      <c r="E51" s="345" t="s">
        <v>870</v>
      </c>
      <c r="F51" s="344"/>
      <c r="G51" s="386" t="s">
        <v>30</v>
      </c>
      <c r="H51" s="314" t="s">
        <v>931</v>
      </c>
      <c r="I51" s="212"/>
      <c r="J51" s="212"/>
      <c r="K51" s="263"/>
      <c r="AQ51"/>
      <c r="AR51"/>
      <c r="AS51"/>
      <c r="AT51"/>
      <c r="AU51"/>
      <c r="AV51"/>
    </row>
    <row r="52" spans="2:48">
      <c r="B52" s="213">
        <v>7</v>
      </c>
      <c r="C52" s="214" t="s">
        <v>343</v>
      </c>
      <c r="D52" s="215" t="s">
        <v>621</v>
      </c>
      <c r="E52" s="347"/>
      <c r="F52" s="347"/>
      <c r="G52" s="325"/>
      <c r="H52" s="314"/>
      <c r="I52" s="216"/>
      <c r="J52" s="216"/>
      <c r="K52" s="217"/>
      <c r="AQ52"/>
      <c r="AR52"/>
      <c r="AS52"/>
      <c r="AT52"/>
      <c r="AU52"/>
      <c r="AV52"/>
    </row>
    <row r="53" spans="2:48">
      <c r="B53" s="213">
        <v>17</v>
      </c>
      <c r="C53" s="214" t="s">
        <v>353</v>
      </c>
      <c r="D53" s="215" t="s">
        <v>620</v>
      </c>
      <c r="E53" s="347"/>
      <c r="F53" s="347"/>
      <c r="G53" s="325"/>
      <c r="H53" s="314"/>
      <c r="I53" s="216"/>
      <c r="J53" s="216"/>
      <c r="K53" s="217"/>
      <c r="AQ53"/>
      <c r="AR53"/>
      <c r="AS53"/>
      <c r="AT53"/>
      <c r="AU53"/>
      <c r="AV53"/>
    </row>
    <row r="54" spans="2:48">
      <c r="B54" s="213">
        <v>6</v>
      </c>
      <c r="C54" s="214" t="s">
        <v>342</v>
      </c>
      <c r="D54" s="215" t="s">
        <v>611</v>
      </c>
      <c r="E54" s="347"/>
      <c r="F54" s="347"/>
      <c r="G54" s="325"/>
      <c r="H54" s="314"/>
      <c r="I54" s="216"/>
      <c r="J54" s="216"/>
      <c r="K54" s="217"/>
      <c r="AQ54"/>
      <c r="AR54"/>
      <c r="AS54"/>
      <c r="AT54"/>
      <c r="AU54"/>
      <c r="AV54"/>
    </row>
    <row r="55" spans="2:48">
      <c r="B55" s="213">
        <v>16</v>
      </c>
      <c r="C55" s="214" t="s">
        <v>352</v>
      </c>
      <c r="D55" s="215" t="s">
        <v>610</v>
      </c>
      <c r="E55" s="347"/>
      <c r="F55" s="347"/>
      <c r="G55" s="325"/>
      <c r="H55" s="314"/>
      <c r="I55" s="216"/>
      <c r="J55" s="216"/>
      <c r="K55" s="217"/>
      <c r="AQ55"/>
      <c r="AR55"/>
      <c r="AS55"/>
      <c r="AT55"/>
      <c r="AU55"/>
      <c r="AV55"/>
    </row>
    <row r="56" spans="2:48">
      <c r="B56" s="260">
        <v>60</v>
      </c>
      <c r="C56" s="261" t="s">
        <v>396</v>
      </c>
      <c r="D56" s="264" t="s">
        <v>669</v>
      </c>
      <c r="E56" s="345" t="s">
        <v>870</v>
      </c>
      <c r="F56" s="345"/>
      <c r="G56" s="386" t="s">
        <v>62</v>
      </c>
      <c r="H56" s="314" t="s">
        <v>931</v>
      </c>
      <c r="I56" s="212"/>
      <c r="J56" s="212"/>
      <c r="K56" s="263"/>
      <c r="AQ56"/>
      <c r="AR56"/>
      <c r="AS56"/>
      <c r="AT56"/>
      <c r="AU56"/>
      <c r="AV56"/>
    </row>
    <row r="57" spans="2:48">
      <c r="B57" s="260">
        <v>59</v>
      </c>
      <c r="C57" s="261" t="s">
        <v>395</v>
      </c>
      <c r="D57" s="264" t="s">
        <v>691</v>
      </c>
      <c r="E57" s="345" t="s">
        <v>870</v>
      </c>
      <c r="F57" s="345"/>
      <c r="G57" s="386" t="s">
        <v>72</v>
      </c>
      <c r="H57" s="314" t="s">
        <v>931</v>
      </c>
      <c r="I57" s="212"/>
      <c r="J57" s="212"/>
      <c r="K57" s="263"/>
      <c r="AQ57"/>
      <c r="AR57"/>
      <c r="AS57"/>
      <c r="AT57"/>
      <c r="AU57"/>
      <c r="AV57"/>
    </row>
    <row r="58" spans="2:48">
      <c r="B58" s="260">
        <v>28</v>
      </c>
      <c r="C58" s="261" t="s">
        <v>364</v>
      </c>
      <c r="D58" s="262" t="s">
        <v>646</v>
      </c>
      <c r="E58" s="345" t="s">
        <v>870</v>
      </c>
      <c r="F58" s="345"/>
      <c r="G58" s="386" t="s">
        <v>22</v>
      </c>
      <c r="H58" s="314" t="s">
        <v>931</v>
      </c>
      <c r="I58" s="212"/>
      <c r="J58" s="212"/>
      <c r="K58" s="263"/>
      <c r="AQ58"/>
      <c r="AR58"/>
      <c r="AS58"/>
      <c r="AT58"/>
      <c r="AU58"/>
      <c r="AV58"/>
    </row>
    <row r="59" spans="2:48">
      <c r="B59" s="260">
        <v>38</v>
      </c>
      <c r="C59" s="261" t="s">
        <v>374</v>
      </c>
      <c r="D59" s="262" t="s">
        <v>645</v>
      </c>
      <c r="E59" s="345" t="s">
        <v>870</v>
      </c>
      <c r="F59" s="345"/>
      <c r="G59" s="386" t="s">
        <v>32</v>
      </c>
      <c r="H59" s="314" t="s">
        <v>931</v>
      </c>
      <c r="I59" s="212"/>
      <c r="J59" s="212"/>
      <c r="K59" s="263"/>
      <c r="AQ59"/>
      <c r="AR59"/>
      <c r="AS59"/>
      <c r="AT59"/>
      <c r="AU59"/>
      <c r="AV59"/>
    </row>
    <row r="60" spans="2:48">
      <c r="B60" s="260">
        <v>49</v>
      </c>
      <c r="C60" s="261" t="s">
        <v>385</v>
      </c>
      <c r="D60" s="264" t="s">
        <v>690</v>
      </c>
      <c r="E60" s="345" t="s">
        <v>870</v>
      </c>
      <c r="F60" s="345"/>
      <c r="G60" s="386" t="s">
        <v>81</v>
      </c>
      <c r="H60" s="314" t="s">
        <v>931</v>
      </c>
      <c r="I60" s="212"/>
      <c r="J60" s="212"/>
      <c r="K60" s="263"/>
      <c r="AQ60"/>
      <c r="AR60"/>
      <c r="AS60"/>
      <c r="AT60"/>
      <c r="AU60"/>
      <c r="AV60"/>
    </row>
    <row r="61" spans="2:48">
      <c r="B61" s="260">
        <v>50</v>
      </c>
      <c r="C61" s="261" t="s">
        <v>386</v>
      </c>
      <c r="D61" s="264" t="s">
        <v>668</v>
      </c>
      <c r="E61" s="345" t="s">
        <v>870</v>
      </c>
      <c r="F61" s="345"/>
      <c r="G61" s="386" t="s">
        <v>91</v>
      </c>
      <c r="H61" s="314" t="s">
        <v>931</v>
      </c>
      <c r="I61" s="212"/>
      <c r="J61" s="212"/>
      <c r="K61" s="263"/>
      <c r="AQ61"/>
      <c r="AR61"/>
      <c r="AS61"/>
      <c r="AT61"/>
      <c r="AU61"/>
      <c r="AV61"/>
    </row>
    <row r="62" spans="2:48">
      <c r="B62" s="213">
        <v>19</v>
      </c>
      <c r="C62" s="214" t="s">
        <v>355</v>
      </c>
      <c r="D62" s="215" t="s">
        <v>689</v>
      </c>
      <c r="E62" s="347"/>
      <c r="F62" s="348"/>
      <c r="G62" s="325"/>
      <c r="H62" s="314"/>
      <c r="I62" s="216"/>
      <c r="J62" s="216"/>
      <c r="K62" s="217"/>
      <c r="AQ62"/>
      <c r="AR62"/>
      <c r="AS62"/>
      <c r="AT62"/>
      <c r="AU62"/>
      <c r="AV62"/>
    </row>
    <row r="63" spans="2:48">
      <c r="B63" s="213">
        <v>20</v>
      </c>
      <c r="C63" s="214" t="s">
        <v>356</v>
      </c>
      <c r="D63" s="215" t="s">
        <v>667</v>
      </c>
      <c r="E63" s="347"/>
      <c r="F63" s="348"/>
      <c r="G63" s="325"/>
      <c r="H63" s="314"/>
      <c r="I63" s="216"/>
      <c r="J63" s="216"/>
      <c r="K63" s="217"/>
      <c r="AQ63"/>
      <c r="AR63"/>
      <c r="AS63"/>
      <c r="AT63"/>
      <c r="AU63"/>
      <c r="AV63"/>
    </row>
    <row r="64" spans="2:48">
      <c r="B64" s="213">
        <v>26</v>
      </c>
      <c r="C64" s="214" t="s">
        <v>362</v>
      </c>
      <c r="D64" s="215" t="s">
        <v>613</v>
      </c>
      <c r="E64" s="347"/>
      <c r="F64" s="348"/>
      <c r="G64" s="325"/>
      <c r="H64" s="314"/>
      <c r="I64" s="216"/>
      <c r="J64" s="216"/>
      <c r="K64" s="217"/>
      <c r="AQ64"/>
      <c r="AR64"/>
      <c r="AS64"/>
      <c r="AT64"/>
      <c r="AU64"/>
      <c r="AV64"/>
    </row>
    <row r="65" spans="2:48">
      <c r="B65" s="213">
        <v>36</v>
      </c>
      <c r="C65" s="214" t="s">
        <v>372</v>
      </c>
      <c r="D65" s="215" t="s">
        <v>612</v>
      </c>
      <c r="E65" s="347"/>
      <c r="F65" s="348"/>
      <c r="G65" s="325"/>
      <c r="H65" s="314"/>
      <c r="I65" s="216"/>
      <c r="J65" s="216"/>
      <c r="K65" s="217"/>
      <c r="AQ65"/>
      <c r="AR65"/>
      <c r="AS65"/>
      <c r="AT65"/>
      <c r="AU65"/>
      <c r="AV65"/>
    </row>
    <row r="66" spans="2:48">
      <c r="B66" s="260">
        <v>118</v>
      </c>
      <c r="C66" s="261" t="s">
        <v>37</v>
      </c>
      <c r="D66" s="262" t="s">
        <v>624</v>
      </c>
      <c r="E66" s="345" t="s">
        <v>870</v>
      </c>
      <c r="F66" s="345"/>
      <c r="G66" s="386" t="s">
        <v>24</v>
      </c>
      <c r="H66" s="314" t="s">
        <v>931</v>
      </c>
      <c r="I66" s="212"/>
      <c r="J66" s="212"/>
      <c r="K66" s="263"/>
      <c r="AQ66"/>
      <c r="AR66"/>
      <c r="AS66"/>
      <c r="AT66"/>
      <c r="AU66"/>
      <c r="AV66"/>
    </row>
    <row r="67" spans="2:48">
      <c r="B67" s="260">
        <v>117</v>
      </c>
      <c r="C67" s="261" t="s">
        <v>36</v>
      </c>
      <c r="D67" s="262" t="s">
        <v>647</v>
      </c>
      <c r="E67" s="345" t="s">
        <v>870</v>
      </c>
      <c r="F67" s="345"/>
      <c r="G67" s="386" t="s">
        <v>34</v>
      </c>
      <c r="H67" s="314" t="s">
        <v>931</v>
      </c>
      <c r="I67" s="212"/>
      <c r="J67" s="212"/>
      <c r="K67" s="263"/>
      <c r="AQ67"/>
      <c r="AR67"/>
      <c r="AS67"/>
      <c r="AT67"/>
      <c r="AU67"/>
      <c r="AV67"/>
    </row>
    <row r="68" spans="2:48">
      <c r="B68" s="260">
        <v>148</v>
      </c>
      <c r="C68" s="261" t="s">
        <v>67</v>
      </c>
      <c r="D68" s="262" t="s">
        <v>626</v>
      </c>
      <c r="E68" s="345" t="s">
        <v>870</v>
      </c>
      <c r="F68" s="345"/>
      <c r="G68" s="386" t="s">
        <v>83</v>
      </c>
      <c r="H68" s="314" t="s">
        <v>931</v>
      </c>
      <c r="I68" s="212"/>
      <c r="J68" s="212"/>
      <c r="K68" s="263"/>
      <c r="AQ68"/>
      <c r="AR68"/>
      <c r="AS68"/>
      <c r="AT68"/>
      <c r="AU68"/>
      <c r="AV68"/>
    </row>
    <row r="69" spans="2:48">
      <c r="B69" s="260">
        <v>147</v>
      </c>
      <c r="C69" s="261" t="s">
        <v>66</v>
      </c>
      <c r="D69" s="262" t="s">
        <v>649</v>
      </c>
      <c r="E69" s="345" t="s">
        <v>870</v>
      </c>
      <c r="F69" s="345"/>
      <c r="G69" s="386" t="s">
        <v>93</v>
      </c>
      <c r="H69" s="314" t="s">
        <v>931</v>
      </c>
      <c r="I69" s="212"/>
      <c r="J69" s="212"/>
      <c r="K69" s="263"/>
      <c r="AQ69"/>
      <c r="AR69"/>
      <c r="AS69"/>
      <c r="AT69"/>
      <c r="AU69"/>
      <c r="AV69"/>
    </row>
    <row r="70" spans="2:48">
      <c r="B70" s="260">
        <v>168</v>
      </c>
      <c r="C70" s="261" t="s">
        <v>87</v>
      </c>
      <c r="D70" s="262" t="s">
        <v>628</v>
      </c>
      <c r="E70" s="345" t="s">
        <v>870</v>
      </c>
      <c r="F70" s="345"/>
      <c r="G70" s="386" t="s">
        <v>43</v>
      </c>
      <c r="H70" s="314" t="s">
        <v>931</v>
      </c>
      <c r="I70" s="212"/>
      <c r="J70" s="212"/>
      <c r="K70" s="263"/>
      <c r="AQ70"/>
      <c r="AR70"/>
      <c r="AS70"/>
      <c r="AT70"/>
      <c r="AU70"/>
      <c r="AV70"/>
    </row>
    <row r="71" spans="2:48">
      <c r="B71" s="260">
        <v>167</v>
      </c>
      <c r="C71" s="261" t="s">
        <v>86</v>
      </c>
      <c r="D71" s="262" t="s">
        <v>651</v>
      </c>
      <c r="E71" s="345" t="s">
        <v>870</v>
      </c>
      <c r="F71" s="345"/>
      <c r="G71" s="386" t="s">
        <v>53</v>
      </c>
      <c r="H71" s="314" t="s">
        <v>931</v>
      </c>
      <c r="I71" s="212"/>
      <c r="J71" s="212"/>
      <c r="K71" s="263"/>
      <c r="AQ71"/>
      <c r="AR71"/>
      <c r="AS71"/>
      <c r="AT71"/>
      <c r="AU71"/>
      <c r="AV71"/>
    </row>
    <row r="72" spans="2:48">
      <c r="B72" s="213">
        <v>170</v>
      </c>
      <c r="C72" s="214" t="s">
        <v>89</v>
      </c>
      <c r="D72" s="215" t="s">
        <v>674</v>
      </c>
      <c r="E72" s="347"/>
      <c r="F72" s="348"/>
      <c r="G72" s="325"/>
      <c r="H72" s="314"/>
      <c r="I72" s="216"/>
      <c r="J72" s="216"/>
      <c r="K72" s="217"/>
      <c r="AQ72"/>
      <c r="AR72"/>
      <c r="AS72"/>
      <c r="AT72"/>
      <c r="AU72"/>
      <c r="AV72"/>
    </row>
    <row r="73" spans="2:48">
      <c r="B73" s="213">
        <v>169</v>
      </c>
      <c r="C73" s="214" t="s">
        <v>88</v>
      </c>
      <c r="D73" s="215" t="s">
        <v>696</v>
      </c>
      <c r="E73" s="347"/>
      <c r="F73" s="348"/>
      <c r="G73" s="325"/>
      <c r="H73" s="314"/>
      <c r="I73" s="216"/>
      <c r="J73" s="216"/>
      <c r="K73" s="217"/>
      <c r="AQ73"/>
      <c r="AR73"/>
      <c r="AS73"/>
      <c r="AT73"/>
      <c r="AU73"/>
      <c r="AV73"/>
    </row>
    <row r="74" spans="2:48">
      <c r="B74" s="213">
        <v>158</v>
      </c>
      <c r="C74" s="214" t="s">
        <v>77</v>
      </c>
      <c r="D74" s="215" t="s">
        <v>627</v>
      </c>
      <c r="E74" s="347"/>
      <c r="F74" s="348"/>
      <c r="G74" s="325"/>
      <c r="H74" s="314"/>
      <c r="I74" s="216"/>
      <c r="J74" s="216"/>
      <c r="K74" s="217"/>
      <c r="AQ74"/>
      <c r="AR74"/>
      <c r="AS74"/>
      <c r="AT74"/>
      <c r="AU74"/>
      <c r="AV74"/>
    </row>
    <row r="75" spans="2:48">
      <c r="B75" s="213">
        <v>157</v>
      </c>
      <c r="C75" s="214" t="s">
        <v>76</v>
      </c>
      <c r="D75" s="215" t="s">
        <v>650</v>
      </c>
      <c r="E75" s="347"/>
      <c r="F75" s="348"/>
      <c r="G75" s="325"/>
      <c r="H75" s="314"/>
      <c r="I75" s="216"/>
      <c r="J75" s="216"/>
      <c r="K75" s="217"/>
      <c r="AQ75"/>
      <c r="AR75"/>
      <c r="AS75"/>
      <c r="AT75"/>
      <c r="AU75"/>
      <c r="AV75"/>
    </row>
    <row r="76" spans="2:48">
      <c r="B76" s="260">
        <v>129</v>
      </c>
      <c r="C76" s="261" t="s">
        <v>48</v>
      </c>
      <c r="D76" s="262" t="s">
        <v>692</v>
      </c>
      <c r="E76" s="345" t="s">
        <v>870</v>
      </c>
      <c r="F76" s="345"/>
      <c r="G76" s="386" t="s">
        <v>85</v>
      </c>
      <c r="H76" s="314" t="s">
        <v>931</v>
      </c>
      <c r="I76" s="212"/>
      <c r="J76" s="212"/>
      <c r="K76" s="263"/>
      <c r="AQ76"/>
      <c r="AR76"/>
      <c r="AS76"/>
      <c r="AT76"/>
      <c r="AU76"/>
      <c r="AV76"/>
    </row>
    <row r="77" spans="2:48">
      <c r="B77" s="260">
        <v>130</v>
      </c>
      <c r="C77" s="261" t="s">
        <v>49</v>
      </c>
      <c r="D77" s="262" t="s">
        <v>670</v>
      </c>
      <c r="E77" s="345" t="s">
        <v>870</v>
      </c>
      <c r="F77" s="345"/>
      <c r="G77" s="386" t="s">
        <v>95</v>
      </c>
      <c r="H77" s="314" t="s">
        <v>931</v>
      </c>
      <c r="I77" s="212"/>
      <c r="J77" s="212"/>
      <c r="K77" s="263"/>
      <c r="AQ77"/>
      <c r="AR77"/>
      <c r="AS77"/>
      <c r="AT77"/>
      <c r="AU77"/>
      <c r="AV77"/>
    </row>
    <row r="78" spans="2:48">
      <c r="B78" s="260">
        <v>139</v>
      </c>
      <c r="C78" s="261" t="s">
        <v>58</v>
      </c>
      <c r="D78" s="262" t="s">
        <v>693</v>
      </c>
      <c r="E78" s="345" t="s">
        <v>870</v>
      </c>
      <c r="F78" s="345"/>
      <c r="G78" s="386" t="s">
        <v>45</v>
      </c>
      <c r="H78" s="314" t="s">
        <v>931</v>
      </c>
      <c r="I78" s="212"/>
      <c r="J78" s="212"/>
      <c r="K78" s="263"/>
      <c r="AQ78"/>
      <c r="AR78"/>
      <c r="AS78"/>
      <c r="AT78"/>
      <c r="AU78"/>
      <c r="AV78"/>
    </row>
    <row r="79" spans="2:48">
      <c r="B79" s="260">
        <v>140</v>
      </c>
      <c r="C79" s="261" t="s">
        <v>59</v>
      </c>
      <c r="D79" s="262" t="s">
        <v>671</v>
      </c>
      <c r="E79" s="345" t="s">
        <v>870</v>
      </c>
      <c r="F79" s="345"/>
      <c r="G79" s="386" t="s">
        <v>55</v>
      </c>
      <c r="H79" s="314" t="s">
        <v>931</v>
      </c>
      <c r="I79" s="212"/>
      <c r="J79" s="212"/>
      <c r="K79" s="263"/>
      <c r="AQ79"/>
      <c r="AR79"/>
      <c r="AS79"/>
      <c r="AT79"/>
      <c r="AU79"/>
      <c r="AV79"/>
    </row>
    <row r="80" spans="2:48">
      <c r="B80" s="260">
        <v>138</v>
      </c>
      <c r="C80" s="261" t="s">
        <v>57</v>
      </c>
      <c r="D80" s="262" t="s">
        <v>625</v>
      </c>
      <c r="E80" s="345" t="s">
        <v>870</v>
      </c>
      <c r="F80" s="345"/>
      <c r="G80" s="386" t="s">
        <v>64</v>
      </c>
      <c r="H80" s="314" t="s">
        <v>931</v>
      </c>
      <c r="I80" s="212"/>
      <c r="J80" s="212"/>
      <c r="K80" s="263"/>
      <c r="AQ80"/>
      <c r="AR80"/>
      <c r="AS80"/>
      <c r="AT80"/>
      <c r="AU80"/>
      <c r="AV80"/>
    </row>
    <row r="81" spans="2:48">
      <c r="B81" s="260">
        <v>137</v>
      </c>
      <c r="C81" s="261" t="s">
        <v>56</v>
      </c>
      <c r="D81" s="262" t="s">
        <v>648</v>
      </c>
      <c r="E81" s="345" t="s">
        <v>870</v>
      </c>
      <c r="F81" s="345"/>
      <c r="G81" s="386" t="s">
        <v>74</v>
      </c>
      <c r="H81" s="314" t="s">
        <v>931</v>
      </c>
      <c r="I81" s="212"/>
      <c r="J81" s="212"/>
      <c r="K81" s="263"/>
      <c r="AQ81"/>
      <c r="AR81"/>
      <c r="AS81"/>
      <c r="AT81"/>
      <c r="AU81"/>
      <c r="AV81"/>
    </row>
    <row r="82" spans="2:48">
      <c r="B82" s="213">
        <v>150</v>
      </c>
      <c r="C82" s="214" t="s">
        <v>69</v>
      </c>
      <c r="D82" s="215" t="s">
        <v>672</v>
      </c>
      <c r="E82" s="199"/>
      <c r="F82" s="216"/>
      <c r="G82" s="216"/>
      <c r="H82" s="199"/>
      <c r="I82" s="216"/>
      <c r="J82" s="216"/>
      <c r="K82" s="217"/>
    </row>
    <row r="83" spans="2:48">
      <c r="B83" s="213">
        <v>149</v>
      </c>
      <c r="C83" s="214" t="s">
        <v>68</v>
      </c>
      <c r="D83" s="215" t="s">
        <v>694</v>
      </c>
      <c r="E83" s="199"/>
      <c r="F83" s="216"/>
      <c r="G83" s="216"/>
      <c r="H83" s="199"/>
      <c r="I83" s="216"/>
      <c r="J83" s="216"/>
      <c r="K83" s="217"/>
    </row>
    <row r="84" spans="2:48">
      <c r="B84" s="213">
        <v>160</v>
      </c>
      <c r="C84" s="214" t="s">
        <v>79</v>
      </c>
      <c r="D84" s="215" t="s">
        <v>673</v>
      </c>
      <c r="E84" s="199"/>
      <c r="F84" s="216"/>
      <c r="G84" s="216"/>
      <c r="H84" s="199"/>
      <c r="I84" s="216"/>
      <c r="J84" s="216"/>
      <c r="K84" s="217"/>
    </row>
    <row r="85" spans="2:48">
      <c r="B85" s="213">
        <v>159</v>
      </c>
      <c r="C85" s="214" t="s">
        <v>78</v>
      </c>
      <c r="D85" s="215" t="s">
        <v>695</v>
      </c>
      <c r="E85" s="199"/>
      <c r="F85" s="216"/>
      <c r="G85" s="216"/>
      <c r="H85" s="199"/>
      <c r="I85" s="216"/>
      <c r="J85" s="216"/>
      <c r="K85" s="217"/>
    </row>
    <row r="86" spans="2:48">
      <c r="B86" s="260">
        <v>128</v>
      </c>
      <c r="C86" s="261" t="s">
        <v>47</v>
      </c>
      <c r="D86" s="262" t="s">
        <v>507</v>
      </c>
      <c r="E86" s="325" t="s">
        <v>870</v>
      </c>
      <c r="F86" s="212"/>
      <c r="G86" s="325" t="s">
        <v>266</v>
      </c>
      <c r="H86" s="212"/>
      <c r="I86" s="212"/>
      <c r="J86" s="212"/>
      <c r="K86" s="263"/>
    </row>
    <row r="87" spans="2:48">
      <c r="B87" s="260">
        <v>127</v>
      </c>
      <c r="C87" s="261" t="s">
        <v>46</v>
      </c>
      <c r="D87" s="262" t="s">
        <v>497</v>
      </c>
      <c r="E87" s="325" t="s">
        <v>870</v>
      </c>
      <c r="F87" s="212"/>
      <c r="G87" s="325" t="s">
        <v>276</v>
      </c>
      <c r="H87" s="212"/>
      <c r="I87" s="212"/>
      <c r="J87" s="212"/>
      <c r="K87" s="263"/>
    </row>
    <row r="88" spans="2:48">
      <c r="B88" s="260">
        <v>79</v>
      </c>
      <c r="C88" s="261" t="s">
        <v>415</v>
      </c>
      <c r="D88" s="264" t="s">
        <v>490</v>
      </c>
      <c r="E88" s="212"/>
      <c r="F88" s="212"/>
      <c r="G88" s="212"/>
      <c r="H88" s="212"/>
      <c r="I88" s="212"/>
      <c r="J88" s="212"/>
      <c r="K88" s="263"/>
    </row>
    <row r="89" spans="2:48">
      <c r="B89" s="260">
        <v>78</v>
      </c>
      <c r="C89" s="261" t="s">
        <v>414</v>
      </c>
      <c r="D89" s="264" t="s">
        <v>498</v>
      </c>
      <c r="E89" s="325" t="s">
        <v>870</v>
      </c>
      <c r="F89" s="325"/>
      <c r="G89" s="325" t="s">
        <v>1040</v>
      </c>
      <c r="H89" s="212"/>
      <c r="I89" s="212"/>
      <c r="J89" s="212"/>
      <c r="K89" s="263"/>
    </row>
    <row r="90" spans="2:48">
      <c r="B90" s="260">
        <v>88</v>
      </c>
      <c r="C90" s="261" t="s">
        <v>424</v>
      </c>
      <c r="D90" s="262" t="s">
        <v>499</v>
      </c>
      <c r="E90" s="212"/>
      <c r="F90" s="212"/>
      <c r="G90" s="212"/>
      <c r="H90" s="212"/>
      <c r="I90" s="212"/>
      <c r="J90" s="212"/>
      <c r="K90" s="263"/>
    </row>
    <row r="91" spans="2:48">
      <c r="B91" s="260">
        <v>89</v>
      </c>
      <c r="C91" s="261" t="s">
        <v>425</v>
      </c>
      <c r="D91" s="262" t="s">
        <v>491</v>
      </c>
      <c r="E91" s="325" t="s">
        <v>870</v>
      </c>
      <c r="F91" s="325"/>
      <c r="G91" s="325" t="s">
        <v>10</v>
      </c>
      <c r="H91" s="212"/>
      <c r="I91" s="212"/>
      <c r="J91" s="212"/>
      <c r="K91" s="263"/>
    </row>
    <row r="92" spans="2:48">
      <c r="B92" s="260">
        <v>47</v>
      </c>
      <c r="C92" s="261" t="s">
        <v>383</v>
      </c>
      <c r="D92" s="264" t="s">
        <v>474</v>
      </c>
      <c r="E92" s="212"/>
      <c r="F92" s="212"/>
      <c r="G92" s="212"/>
      <c r="H92" s="212"/>
      <c r="I92" s="212"/>
      <c r="J92" s="212"/>
      <c r="K92" s="263"/>
    </row>
    <row r="93" spans="2:48">
      <c r="B93" s="260">
        <v>57</v>
      </c>
      <c r="C93" s="261" t="s">
        <v>393</v>
      </c>
      <c r="D93" s="264" t="s">
        <v>474</v>
      </c>
      <c r="E93" s="212"/>
      <c r="F93" s="212"/>
      <c r="G93" s="212"/>
      <c r="H93" s="212"/>
      <c r="I93" s="212"/>
      <c r="J93" s="212"/>
      <c r="K93" s="263"/>
    </row>
    <row r="94" spans="2:48">
      <c r="B94" s="260">
        <v>67</v>
      </c>
      <c r="C94" s="261" t="s">
        <v>403</v>
      </c>
      <c r="D94" s="264" t="s">
        <v>474</v>
      </c>
      <c r="E94" s="212"/>
      <c r="F94" s="212"/>
      <c r="G94" s="212"/>
      <c r="H94" s="212"/>
      <c r="I94" s="212"/>
      <c r="J94" s="212"/>
      <c r="K94" s="263"/>
    </row>
    <row r="95" spans="2:48">
      <c r="B95" s="260">
        <v>77</v>
      </c>
      <c r="C95" s="261" t="s">
        <v>413</v>
      </c>
      <c r="D95" s="264" t="s">
        <v>474</v>
      </c>
      <c r="E95" s="212"/>
      <c r="F95" s="212"/>
      <c r="G95" s="212"/>
      <c r="H95" s="212"/>
      <c r="I95" s="212"/>
      <c r="J95" s="212"/>
      <c r="K95" s="263"/>
    </row>
    <row r="96" spans="2:48">
      <c r="B96" s="260">
        <v>87</v>
      </c>
      <c r="C96" s="261" t="s">
        <v>423</v>
      </c>
      <c r="D96" s="262" t="s">
        <v>474</v>
      </c>
      <c r="E96" s="212"/>
      <c r="F96" s="212"/>
      <c r="G96" s="212"/>
      <c r="H96" s="212"/>
      <c r="I96" s="212"/>
      <c r="J96" s="212"/>
      <c r="K96" s="263"/>
    </row>
    <row r="97" spans="2:11">
      <c r="B97" s="260">
        <v>48</v>
      </c>
      <c r="C97" s="261" t="s">
        <v>384</v>
      </c>
      <c r="D97" s="264" t="s">
        <v>474</v>
      </c>
      <c r="E97" s="212"/>
      <c r="F97" s="212"/>
      <c r="G97" s="212"/>
      <c r="H97" s="212"/>
      <c r="I97" s="212"/>
      <c r="J97" s="212"/>
      <c r="K97" s="263"/>
    </row>
    <row r="98" spans="2:11">
      <c r="B98" s="260">
        <v>58</v>
      </c>
      <c r="C98" s="261" t="s">
        <v>394</v>
      </c>
      <c r="D98" s="264" t="s">
        <v>474</v>
      </c>
      <c r="E98" s="212"/>
      <c r="F98" s="212"/>
      <c r="G98" s="212"/>
      <c r="H98" s="212"/>
      <c r="I98" s="212"/>
      <c r="J98" s="212"/>
      <c r="K98" s="263"/>
    </row>
    <row r="99" spans="2:11">
      <c r="B99" s="260">
        <v>68</v>
      </c>
      <c r="C99" s="261" t="s">
        <v>404</v>
      </c>
      <c r="D99" s="264" t="s">
        <v>474</v>
      </c>
      <c r="E99" s="212"/>
      <c r="F99" s="212"/>
      <c r="G99" s="212"/>
      <c r="H99" s="212"/>
      <c r="I99" s="212"/>
      <c r="J99" s="212"/>
      <c r="K99" s="263"/>
    </row>
    <row r="100" spans="2:11">
      <c r="B100" s="260">
        <v>69</v>
      </c>
      <c r="C100" s="261" t="s">
        <v>405</v>
      </c>
      <c r="D100" s="264" t="s">
        <v>474</v>
      </c>
      <c r="E100" s="212"/>
      <c r="F100" s="212"/>
      <c r="G100" s="212"/>
      <c r="H100" s="212"/>
      <c r="I100" s="212"/>
      <c r="J100" s="212"/>
      <c r="K100" s="263"/>
    </row>
    <row r="101" spans="2:11">
      <c r="B101" s="260">
        <v>70</v>
      </c>
      <c r="C101" s="261" t="s">
        <v>406</v>
      </c>
      <c r="D101" s="264" t="s">
        <v>508</v>
      </c>
      <c r="E101" s="212"/>
      <c r="F101" s="212"/>
      <c r="G101" s="212"/>
      <c r="H101" s="212"/>
      <c r="I101" s="212"/>
      <c r="J101" s="212"/>
      <c r="K101" s="263"/>
    </row>
    <row r="102" spans="2:11">
      <c r="B102" s="260">
        <v>80</v>
      </c>
      <c r="C102" s="261" t="s">
        <v>416</v>
      </c>
      <c r="D102" s="264" t="s">
        <v>510</v>
      </c>
      <c r="E102" s="212"/>
      <c r="F102" s="212"/>
      <c r="G102" s="212"/>
      <c r="H102" s="212"/>
      <c r="I102" s="212"/>
      <c r="J102" s="212"/>
      <c r="K102" s="263"/>
    </row>
    <row r="103" spans="2:11">
      <c r="B103" s="260">
        <v>90</v>
      </c>
      <c r="C103" s="261" t="s">
        <v>426</v>
      </c>
      <c r="D103" s="262" t="s">
        <v>509</v>
      </c>
      <c r="E103" s="212"/>
      <c r="F103" s="212"/>
      <c r="G103" s="212"/>
      <c r="H103" s="212"/>
      <c r="I103" s="212"/>
      <c r="J103" s="212"/>
      <c r="K103" s="263"/>
    </row>
    <row r="104" spans="2:11">
      <c r="B104" s="260">
        <v>106</v>
      </c>
      <c r="C104" s="261" t="s">
        <v>25</v>
      </c>
      <c r="D104" s="262" t="s">
        <v>482</v>
      </c>
      <c r="E104" s="212"/>
      <c r="F104" s="212"/>
      <c r="G104" s="212"/>
      <c r="H104" s="212"/>
      <c r="I104" s="212"/>
      <c r="J104" s="212"/>
      <c r="K104" s="263"/>
    </row>
    <row r="105" spans="2:11">
      <c r="B105" s="260">
        <v>116</v>
      </c>
      <c r="C105" s="261" t="s">
        <v>35</v>
      </c>
      <c r="D105" s="262" t="s">
        <v>482</v>
      </c>
      <c r="E105" s="212"/>
      <c r="F105" s="212"/>
      <c r="G105" s="212"/>
      <c r="H105" s="212"/>
      <c r="I105" s="212"/>
      <c r="J105" s="212"/>
      <c r="K105" s="263"/>
    </row>
    <row r="106" spans="2:11">
      <c r="B106" s="260">
        <v>126</v>
      </c>
      <c r="C106" s="261" t="s">
        <v>45</v>
      </c>
      <c r="D106" s="262" t="s">
        <v>482</v>
      </c>
      <c r="E106" s="212"/>
      <c r="F106" s="212"/>
      <c r="G106" s="212"/>
      <c r="H106" s="212"/>
      <c r="I106" s="212"/>
      <c r="J106" s="212"/>
      <c r="K106" s="263"/>
    </row>
    <row r="107" spans="2:11">
      <c r="B107" s="260">
        <v>136</v>
      </c>
      <c r="C107" s="261" t="s">
        <v>55</v>
      </c>
      <c r="D107" s="262" t="s">
        <v>482</v>
      </c>
      <c r="E107" s="212"/>
      <c r="F107" s="212"/>
      <c r="G107" s="212"/>
      <c r="H107" s="212"/>
      <c r="I107" s="212"/>
      <c r="J107" s="212"/>
      <c r="K107" s="263"/>
    </row>
    <row r="108" spans="2:11">
      <c r="B108" s="260">
        <v>97</v>
      </c>
      <c r="C108" s="261" t="s">
        <v>9</v>
      </c>
      <c r="D108" s="262" t="s">
        <v>482</v>
      </c>
      <c r="E108" s="212"/>
      <c r="F108" s="212"/>
      <c r="G108" s="212"/>
      <c r="H108" s="212"/>
      <c r="I108" s="212"/>
      <c r="J108" s="212"/>
      <c r="K108" s="263"/>
    </row>
    <row r="109" spans="2:11">
      <c r="B109" s="260">
        <v>107</v>
      </c>
      <c r="C109" s="261" t="s">
        <v>26</v>
      </c>
      <c r="D109" s="262" t="s">
        <v>482</v>
      </c>
      <c r="E109" s="212"/>
      <c r="F109" s="212"/>
      <c r="G109" s="212"/>
      <c r="H109" s="212"/>
      <c r="I109" s="212"/>
      <c r="J109" s="212"/>
      <c r="K109" s="263"/>
    </row>
    <row r="110" spans="2:11">
      <c r="B110" s="260">
        <v>98</v>
      </c>
      <c r="C110" s="261" t="s">
        <v>10</v>
      </c>
      <c r="D110" s="262" t="s">
        <v>482</v>
      </c>
      <c r="E110" s="212"/>
      <c r="F110" s="212"/>
      <c r="G110" s="212"/>
      <c r="H110" s="212"/>
      <c r="I110" s="212"/>
      <c r="J110" s="212"/>
      <c r="K110" s="263"/>
    </row>
    <row r="111" spans="2:11">
      <c r="B111" s="260">
        <v>108</v>
      </c>
      <c r="C111" s="261" t="s">
        <v>27</v>
      </c>
      <c r="D111" s="262" t="s">
        <v>482</v>
      </c>
      <c r="E111" s="212"/>
      <c r="F111" s="212"/>
      <c r="G111" s="212"/>
      <c r="H111" s="212"/>
      <c r="I111" s="212"/>
      <c r="J111" s="212"/>
      <c r="K111" s="263"/>
    </row>
    <row r="112" spans="2:11">
      <c r="B112" s="260">
        <v>109</v>
      </c>
      <c r="C112" s="261" t="s">
        <v>28</v>
      </c>
      <c r="D112" s="262" t="s">
        <v>482</v>
      </c>
      <c r="E112" s="212"/>
      <c r="F112" s="212"/>
      <c r="G112" s="212"/>
      <c r="H112" s="212"/>
      <c r="I112" s="212"/>
      <c r="J112" s="212"/>
      <c r="K112" s="263"/>
    </row>
    <row r="113" spans="2:11">
      <c r="B113" s="260">
        <v>100</v>
      </c>
      <c r="C113" s="261" t="s">
        <v>12</v>
      </c>
      <c r="D113" s="262" t="s">
        <v>482</v>
      </c>
      <c r="E113" s="212"/>
      <c r="F113" s="212"/>
      <c r="G113" s="212"/>
      <c r="H113" s="212"/>
      <c r="I113" s="212"/>
      <c r="J113" s="212"/>
      <c r="K113" s="263"/>
    </row>
    <row r="114" spans="2:11">
      <c r="B114" s="260">
        <v>110</v>
      </c>
      <c r="C114" s="261" t="s">
        <v>29</v>
      </c>
      <c r="D114" s="262" t="s">
        <v>482</v>
      </c>
      <c r="E114" s="212"/>
      <c r="F114" s="212"/>
      <c r="G114" s="212"/>
      <c r="H114" s="212"/>
      <c r="I114" s="212"/>
      <c r="J114" s="212"/>
      <c r="K114" s="263"/>
    </row>
    <row r="115" spans="2:11">
      <c r="B115" s="260">
        <v>30</v>
      </c>
      <c r="C115" s="261" t="s">
        <v>366</v>
      </c>
      <c r="D115" s="262" t="s">
        <v>511</v>
      </c>
      <c r="E115" s="212"/>
      <c r="F115" s="212"/>
      <c r="G115" s="212"/>
      <c r="H115" s="212"/>
      <c r="I115" s="212"/>
      <c r="J115" s="212"/>
      <c r="K115" s="263"/>
    </row>
    <row r="116" spans="2:11">
      <c r="B116" s="260">
        <v>29</v>
      </c>
      <c r="C116" s="261" t="s">
        <v>365</v>
      </c>
      <c r="D116" s="326" t="s">
        <v>500</v>
      </c>
      <c r="E116" s="325" t="s">
        <v>870</v>
      </c>
      <c r="F116" s="325"/>
      <c r="G116" s="325" t="s">
        <v>1039</v>
      </c>
      <c r="H116" s="212"/>
      <c r="I116" s="212"/>
      <c r="J116" s="212"/>
      <c r="K116" s="263"/>
    </row>
    <row r="117" spans="2:11">
      <c r="B117" s="260">
        <v>39</v>
      </c>
      <c r="C117" s="261" t="s">
        <v>375</v>
      </c>
      <c r="D117" s="326" t="s">
        <v>483</v>
      </c>
      <c r="E117" s="325" t="s">
        <v>870</v>
      </c>
      <c r="F117" s="212"/>
      <c r="G117" s="325" t="s">
        <v>972</v>
      </c>
      <c r="H117" s="212"/>
      <c r="I117" s="212"/>
      <c r="J117" s="212"/>
      <c r="K117" s="263"/>
    </row>
    <row r="118" spans="2:11">
      <c r="B118" s="260">
        <v>40</v>
      </c>
      <c r="C118" s="261" t="s">
        <v>376</v>
      </c>
      <c r="D118" s="326" t="s">
        <v>492</v>
      </c>
      <c r="E118" s="325" t="s">
        <v>870</v>
      </c>
      <c r="F118" s="212"/>
      <c r="G118" s="325" t="s">
        <v>973</v>
      </c>
      <c r="H118" s="212"/>
      <c r="I118" s="212"/>
      <c r="J118" s="212"/>
      <c r="K118" s="263"/>
    </row>
    <row r="119" spans="2:11">
      <c r="B119" s="260">
        <v>119</v>
      </c>
      <c r="C119" s="261" t="s">
        <v>38</v>
      </c>
      <c r="D119" s="326" t="s">
        <v>506</v>
      </c>
      <c r="E119" s="325" t="s">
        <v>870</v>
      </c>
      <c r="F119" s="212"/>
      <c r="G119" s="325"/>
      <c r="H119" s="212"/>
      <c r="I119" s="212"/>
      <c r="J119" s="212"/>
      <c r="K119" s="263"/>
    </row>
    <row r="120" spans="2:11">
      <c r="B120" s="260">
        <v>120</v>
      </c>
      <c r="C120" s="261" t="s">
        <v>39</v>
      </c>
      <c r="D120" s="326" t="s">
        <v>496</v>
      </c>
      <c r="E120" s="325" t="s">
        <v>870</v>
      </c>
      <c r="F120" s="212"/>
      <c r="G120" s="325" t="s">
        <v>287</v>
      </c>
      <c r="H120" s="212"/>
      <c r="I120" s="212"/>
      <c r="J120" s="212"/>
      <c r="K120" s="263"/>
    </row>
    <row r="121" spans="2:11">
      <c r="B121" s="42">
        <v>267</v>
      </c>
      <c r="C121" s="21" t="s">
        <v>186</v>
      </c>
      <c r="D121" s="22" t="s">
        <v>485</v>
      </c>
      <c r="E121" s="323" t="s">
        <v>873</v>
      </c>
      <c r="F121" s="5"/>
      <c r="G121" s="387" t="s">
        <v>226</v>
      </c>
      <c r="H121" s="5"/>
      <c r="I121" s="5"/>
      <c r="J121" s="5"/>
      <c r="K121" s="14"/>
    </row>
    <row r="122" spans="2:11">
      <c r="B122" s="42">
        <v>268</v>
      </c>
      <c r="C122" s="21" t="s">
        <v>187</v>
      </c>
      <c r="D122" s="22" t="s">
        <v>494</v>
      </c>
      <c r="E122" s="323" t="s">
        <v>873</v>
      </c>
      <c r="F122" s="5"/>
      <c r="G122" s="387" t="s">
        <v>236</v>
      </c>
      <c r="H122" s="5"/>
      <c r="I122" s="5"/>
      <c r="J122" s="5"/>
      <c r="K122" s="14"/>
    </row>
    <row r="123" spans="2:11">
      <c r="B123" s="42">
        <v>258</v>
      </c>
      <c r="C123" s="21" t="s">
        <v>177</v>
      </c>
      <c r="D123" s="22" t="s">
        <v>493</v>
      </c>
      <c r="E123" s="5"/>
      <c r="F123" s="5"/>
      <c r="G123" s="5"/>
      <c r="H123" s="5"/>
      <c r="I123" s="5"/>
      <c r="J123" s="5"/>
      <c r="K123" s="14"/>
    </row>
    <row r="124" spans="2:11">
      <c r="B124" s="42">
        <v>257</v>
      </c>
      <c r="C124" s="21" t="s">
        <v>176</v>
      </c>
      <c r="D124" s="22" t="s">
        <v>484</v>
      </c>
      <c r="E124" s="323" t="s">
        <v>873</v>
      </c>
      <c r="F124" s="323"/>
      <c r="G124" s="387" t="s">
        <v>1034</v>
      </c>
      <c r="H124" s="5"/>
      <c r="I124" s="5"/>
      <c r="J124" s="5"/>
      <c r="K124" s="14"/>
    </row>
    <row r="125" spans="2:11">
      <c r="B125" s="42">
        <v>260</v>
      </c>
      <c r="C125" s="21" t="s">
        <v>179</v>
      </c>
      <c r="D125" s="22" t="s">
        <v>516</v>
      </c>
      <c r="E125" s="5"/>
      <c r="F125" s="5"/>
      <c r="G125" s="5"/>
      <c r="H125" s="5"/>
      <c r="I125" s="5"/>
      <c r="J125" s="5"/>
      <c r="K125" s="14"/>
    </row>
    <row r="126" spans="2:11">
      <c r="B126" s="42">
        <v>259</v>
      </c>
      <c r="C126" s="21" t="s">
        <v>178</v>
      </c>
      <c r="D126" s="22" t="s">
        <v>504</v>
      </c>
      <c r="E126" s="323" t="s">
        <v>873</v>
      </c>
      <c r="F126" s="323"/>
      <c r="G126" s="387" t="s">
        <v>1035</v>
      </c>
      <c r="H126" s="5"/>
      <c r="I126" s="5"/>
      <c r="J126" s="5"/>
      <c r="K126" s="14"/>
    </row>
    <row r="127" spans="2:11">
      <c r="B127" s="42">
        <v>206</v>
      </c>
      <c r="C127" s="21" t="s">
        <v>125</v>
      </c>
      <c r="D127" s="22" t="s">
        <v>475</v>
      </c>
      <c r="E127" s="5"/>
      <c r="F127" s="5"/>
      <c r="G127" s="5"/>
      <c r="H127" s="5"/>
      <c r="I127" s="5"/>
      <c r="J127" s="5"/>
      <c r="K127" s="14"/>
    </row>
    <row r="128" spans="2:11">
      <c r="B128" s="42">
        <v>216</v>
      </c>
      <c r="C128" s="21" t="s">
        <v>135</v>
      </c>
      <c r="D128" s="22" t="s">
        <v>475</v>
      </c>
      <c r="E128" s="5"/>
      <c r="F128" s="5"/>
      <c r="G128" s="5"/>
      <c r="H128" s="5"/>
      <c r="I128" s="5"/>
      <c r="J128" s="5"/>
      <c r="K128" s="14"/>
    </row>
    <row r="129" spans="2:11">
      <c r="B129" s="42">
        <v>226</v>
      </c>
      <c r="C129" s="21" t="s">
        <v>145</v>
      </c>
      <c r="D129" s="22" t="s">
        <v>475</v>
      </c>
      <c r="E129" s="5"/>
      <c r="F129" s="5"/>
      <c r="G129" s="5"/>
      <c r="H129" s="5"/>
      <c r="I129" s="5"/>
      <c r="J129" s="5"/>
      <c r="K129" s="14"/>
    </row>
    <row r="130" spans="2:11">
      <c r="B130" s="42">
        <v>236</v>
      </c>
      <c r="C130" s="21" t="s">
        <v>155</v>
      </c>
      <c r="D130" s="22" t="s">
        <v>475</v>
      </c>
      <c r="E130" s="5"/>
      <c r="F130" s="5"/>
      <c r="G130" s="5"/>
      <c r="H130" s="5"/>
      <c r="I130" s="5"/>
      <c r="J130" s="5"/>
      <c r="K130" s="14"/>
    </row>
    <row r="131" spans="2:11">
      <c r="B131" s="42">
        <v>246</v>
      </c>
      <c r="C131" s="21" t="s">
        <v>165</v>
      </c>
      <c r="D131" s="22" t="s">
        <v>475</v>
      </c>
      <c r="E131" s="5"/>
      <c r="F131" s="5"/>
      <c r="G131" s="5"/>
      <c r="H131" s="5"/>
      <c r="I131" s="5"/>
      <c r="J131" s="5"/>
      <c r="K131" s="14"/>
    </row>
    <row r="132" spans="2:11">
      <c r="B132" s="42">
        <v>256</v>
      </c>
      <c r="C132" s="21" t="s">
        <v>175</v>
      </c>
      <c r="D132" s="22" t="s">
        <v>475</v>
      </c>
      <c r="E132" s="5"/>
      <c r="F132" s="5"/>
      <c r="G132" s="5"/>
      <c r="H132" s="5"/>
      <c r="I132" s="5"/>
      <c r="J132" s="5"/>
      <c r="K132" s="14"/>
    </row>
    <row r="133" spans="2:11">
      <c r="B133" s="42">
        <v>237</v>
      </c>
      <c r="C133" s="21" t="s">
        <v>156</v>
      </c>
      <c r="D133" s="22" t="s">
        <v>475</v>
      </c>
      <c r="E133" s="5"/>
      <c r="F133" s="5"/>
      <c r="G133" s="5"/>
      <c r="H133" s="5"/>
      <c r="I133" s="5"/>
      <c r="J133" s="5"/>
      <c r="K133" s="14"/>
    </row>
    <row r="134" spans="2:11">
      <c r="B134" s="42">
        <v>247</v>
      </c>
      <c r="C134" s="21" t="s">
        <v>166</v>
      </c>
      <c r="D134" s="22" t="s">
        <v>475</v>
      </c>
      <c r="E134" s="5"/>
      <c r="F134" s="5"/>
      <c r="G134" s="5"/>
      <c r="H134" s="5"/>
      <c r="I134" s="5"/>
      <c r="J134" s="5"/>
      <c r="K134" s="14"/>
    </row>
    <row r="135" spans="2:11">
      <c r="B135" s="42">
        <v>238</v>
      </c>
      <c r="C135" s="21" t="s">
        <v>157</v>
      </c>
      <c r="D135" s="22" t="s">
        <v>475</v>
      </c>
      <c r="E135" s="5"/>
      <c r="F135" s="5"/>
      <c r="G135" s="5"/>
      <c r="H135" s="5"/>
      <c r="I135" s="5"/>
      <c r="J135" s="5"/>
      <c r="K135" s="14"/>
    </row>
    <row r="136" spans="2:11">
      <c r="B136" s="42">
        <v>248</v>
      </c>
      <c r="C136" s="21" t="s">
        <v>167</v>
      </c>
      <c r="D136" s="22" t="s">
        <v>475</v>
      </c>
      <c r="E136" s="5"/>
      <c r="F136" s="5"/>
      <c r="G136" s="5"/>
      <c r="H136" s="5"/>
      <c r="I136" s="5"/>
      <c r="J136" s="5"/>
      <c r="K136" s="14"/>
    </row>
    <row r="137" spans="2:11">
      <c r="B137" s="42">
        <v>239</v>
      </c>
      <c r="C137" s="21" t="s">
        <v>158</v>
      </c>
      <c r="D137" s="22" t="s">
        <v>475</v>
      </c>
      <c r="E137" s="5"/>
      <c r="F137" s="5"/>
      <c r="G137" s="5"/>
      <c r="H137" s="5"/>
      <c r="I137" s="5"/>
      <c r="J137" s="5"/>
      <c r="K137" s="14"/>
    </row>
    <row r="138" spans="2:11">
      <c r="B138" s="42">
        <v>240</v>
      </c>
      <c r="C138" s="21" t="s">
        <v>159</v>
      </c>
      <c r="D138" s="22" t="s">
        <v>514</v>
      </c>
      <c r="E138" s="5"/>
      <c r="F138" s="5"/>
      <c r="G138" s="5"/>
      <c r="H138" s="5"/>
      <c r="I138" s="5"/>
      <c r="J138" s="5"/>
      <c r="K138" s="14"/>
    </row>
    <row r="139" spans="2:11">
      <c r="B139" s="42">
        <v>250</v>
      </c>
      <c r="C139" s="21" t="s">
        <v>169</v>
      </c>
      <c r="D139" s="22" t="s">
        <v>515</v>
      </c>
      <c r="E139" s="5"/>
      <c r="F139" s="5"/>
      <c r="G139" s="5"/>
      <c r="H139" s="5"/>
      <c r="I139" s="5"/>
      <c r="J139" s="5"/>
      <c r="K139" s="14"/>
    </row>
    <row r="140" spans="2:11">
      <c r="B140" s="42">
        <v>249</v>
      </c>
      <c r="C140" s="21" t="s">
        <v>168</v>
      </c>
      <c r="D140" s="22" t="s">
        <v>503</v>
      </c>
      <c r="E140" s="5"/>
      <c r="F140" s="5"/>
      <c r="G140" s="5"/>
      <c r="H140" s="5"/>
      <c r="I140" s="5"/>
      <c r="J140" s="5"/>
      <c r="K140" s="14"/>
    </row>
    <row r="141" spans="2:11">
      <c r="B141" s="42">
        <v>266</v>
      </c>
      <c r="C141" s="21" t="s">
        <v>185</v>
      </c>
      <c r="D141" s="22" t="s">
        <v>476</v>
      </c>
      <c r="E141" s="5"/>
      <c r="F141" s="5"/>
      <c r="G141" s="5"/>
      <c r="H141" s="5"/>
      <c r="I141" s="5"/>
      <c r="J141" s="5"/>
      <c r="K141" s="14"/>
    </row>
    <row r="142" spans="2:11">
      <c r="B142" s="42">
        <v>276</v>
      </c>
      <c r="C142" s="21" t="s">
        <v>195</v>
      </c>
      <c r="D142" s="22" t="s">
        <v>476</v>
      </c>
      <c r="E142" s="5"/>
      <c r="F142" s="5"/>
      <c r="G142" s="5"/>
      <c r="H142" s="5"/>
      <c r="I142" s="5"/>
      <c r="J142" s="5"/>
      <c r="K142" s="14"/>
    </row>
    <row r="143" spans="2:11">
      <c r="B143" s="42">
        <v>286</v>
      </c>
      <c r="C143" s="21" t="s">
        <v>205</v>
      </c>
      <c r="D143" s="22" t="s">
        <v>476</v>
      </c>
      <c r="E143" s="5"/>
      <c r="F143" s="5"/>
      <c r="G143" s="5"/>
      <c r="H143" s="5"/>
      <c r="I143" s="5"/>
      <c r="J143" s="5"/>
      <c r="K143" s="14"/>
    </row>
    <row r="144" spans="2:11">
      <c r="B144" s="42">
        <v>296</v>
      </c>
      <c r="C144" s="21" t="s">
        <v>215</v>
      </c>
      <c r="D144" s="22" t="s">
        <v>476</v>
      </c>
      <c r="E144" s="5"/>
      <c r="F144" s="5"/>
      <c r="G144" s="5"/>
      <c r="H144" s="5"/>
      <c r="I144" s="5"/>
      <c r="J144" s="5"/>
      <c r="K144" s="14"/>
    </row>
    <row r="145" spans="2:11">
      <c r="B145" s="42">
        <v>306</v>
      </c>
      <c r="C145" s="21" t="s">
        <v>225</v>
      </c>
      <c r="D145" s="22" t="s">
        <v>476</v>
      </c>
      <c r="E145" s="5"/>
      <c r="F145" s="5"/>
      <c r="G145" s="5"/>
      <c r="H145" s="5"/>
      <c r="I145" s="5"/>
      <c r="J145" s="5"/>
      <c r="K145" s="14"/>
    </row>
    <row r="146" spans="2:11">
      <c r="B146" s="42">
        <v>316</v>
      </c>
      <c r="C146" s="21" t="s">
        <v>235</v>
      </c>
      <c r="D146" s="22" t="s">
        <v>476</v>
      </c>
      <c r="E146" s="5"/>
      <c r="F146" s="5"/>
      <c r="G146" s="5"/>
      <c r="H146" s="5"/>
      <c r="I146" s="5"/>
      <c r="J146" s="5"/>
      <c r="K146" s="14"/>
    </row>
    <row r="147" spans="2:11">
      <c r="B147" s="42">
        <v>326</v>
      </c>
      <c r="C147" s="21" t="s">
        <v>245</v>
      </c>
      <c r="D147" s="22" t="s">
        <v>476</v>
      </c>
      <c r="E147" s="5"/>
      <c r="F147" s="5"/>
      <c r="G147" s="5"/>
      <c r="H147" s="5"/>
      <c r="I147" s="5"/>
      <c r="J147" s="5"/>
      <c r="K147" s="14"/>
    </row>
    <row r="148" spans="2:11">
      <c r="B148" s="42">
        <v>328</v>
      </c>
      <c r="C148" s="21" t="s">
        <v>247</v>
      </c>
      <c r="D148" s="22" t="s">
        <v>476</v>
      </c>
      <c r="E148" s="5"/>
      <c r="F148" s="5"/>
      <c r="G148" s="5"/>
      <c r="H148" s="5"/>
      <c r="I148" s="5"/>
      <c r="J148" s="5"/>
      <c r="K148" s="14"/>
    </row>
    <row r="149" spans="2:11">
      <c r="B149" s="42">
        <v>329</v>
      </c>
      <c r="C149" s="21" t="s">
        <v>248</v>
      </c>
      <c r="D149" s="22" t="s">
        <v>476</v>
      </c>
      <c r="E149" s="5"/>
      <c r="F149" s="5"/>
      <c r="G149" s="5"/>
      <c r="H149" s="5"/>
      <c r="I149" s="5"/>
      <c r="J149" s="5"/>
      <c r="K149" s="14"/>
    </row>
    <row r="150" spans="2:11">
      <c r="B150" s="42">
        <v>330</v>
      </c>
      <c r="C150" s="21" t="s">
        <v>249</v>
      </c>
      <c r="D150" s="22" t="s">
        <v>476</v>
      </c>
      <c r="E150" s="5"/>
      <c r="F150" s="5"/>
      <c r="G150" s="5"/>
      <c r="H150" s="5"/>
      <c r="I150" s="5"/>
      <c r="J150" s="5"/>
      <c r="K150" s="14"/>
    </row>
    <row r="151" spans="2:11">
      <c r="B151" s="42">
        <v>219</v>
      </c>
      <c r="C151" s="21" t="s">
        <v>138</v>
      </c>
      <c r="D151" s="22" t="s">
        <v>501</v>
      </c>
      <c r="E151" s="5"/>
      <c r="F151" s="5"/>
      <c r="G151" s="5"/>
      <c r="H151" s="5"/>
      <c r="I151" s="5"/>
      <c r="J151" s="5"/>
      <c r="K151" s="14"/>
    </row>
    <row r="152" spans="2:11">
      <c r="B152" s="42">
        <v>220</v>
      </c>
      <c r="C152" s="21" t="s">
        <v>139</v>
      </c>
      <c r="D152" s="327" t="s">
        <v>512</v>
      </c>
      <c r="E152" s="323" t="s">
        <v>873</v>
      </c>
      <c r="F152" s="323"/>
      <c r="G152" s="387" t="s">
        <v>147</v>
      </c>
      <c r="H152" s="5"/>
      <c r="I152" s="5"/>
      <c r="J152" s="5"/>
      <c r="K152" s="14"/>
    </row>
    <row r="153" spans="2:11">
      <c r="B153" s="42">
        <v>229</v>
      </c>
      <c r="C153" s="21" t="s">
        <v>148</v>
      </c>
      <c r="D153" s="327" t="s">
        <v>502</v>
      </c>
      <c r="E153" s="324" t="s">
        <v>873</v>
      </c>
      <c r="F153" s="13"/>
      <c r="G153" s="387" t="s">
        <v>247</v>
      </c>
      <c r="H153" s="5"/>
      <c r="I153" s="5"/>
      <c r="J153" s="5"/>
      <c r="K153" s="14"/>
    </row>
    <row r="154" spans="2:11" ht="16.5" thickBot="1">
      <c r="B154" s="42">
        <v>230</v>
      </c>
      <c r="C154" s="21" t="s">
        <v>149</v>
      </c>
      <c r="D154" s="327" t="s">
        <v>513</v>
      </c>
      <c r="E154" s="324" t="s">
        <v>873</v>
      </c>
      <c r="F154" s="13"/>
      <c r="G154" s="392" t="s">
        <v>257</v>
      </c>
      <c r="H154" s="5"/>
      <c r="I154" s="5"/>
      <c r="J154" s="5"/>
      <c r="K154" s="14"/>
    </row>
    <row r="155" spans="2:11">
      <c r="B155" s="42">
        <v>269</v>
      </c>
      <c r="C155" s="21" t="s">
        <v>188</v>
      </c>
      <c r="D155" s="327" t="s">
        <v>517</v>
      </c>
      <c r="E155" s="324" t="s">
        <v>873</v>
      </c>
      <c r="F155" s="5"/>
      <c r="G155" s="323" t="s">
        <v>317</v>
      </c>
      <c r="H155" s="5"/>
      <c r="I155" s="5"/>
      <c r="J155" s="5"/>
      <c r="K155" s="14"/>
    </row>
    <row r="156" spans="2:11">
      <c r="B156" s="42">
        <v>270</v>
      </c>
      <c r="C156" s="21" t="s">
        <v>189</v>
      </c>
      <c r="D156" s="327" t="s">
        <v>505</v>
      </c>
      <c r="E156" s="324" t="s">
        <v>873</v>
      </c>
      <c r="F156" s="323"/>
      <c r="G156" s="387" t="s">
        <v>1033</v>
      </c>
      <c r="H156" s="5"/>
      <c r="I156" s="5"/>
      <c r="J156" s="5"/>
      <c r="K156" s="14"/>
    </row>
    <row r="157" spans="2:11">
      <c r="B157" s="197">
        <v>400</v>
      </c>
      <c r="C157" s="198" t="s">
        <v>319</v>
      </c>
      <c r="D157" s="292" t="s">
        <v>709</v>
      </c>
      <c r="E157" s="199"/>
      <c r="F157" s="199"/>
      <c r="G157" s="199"/>
      <c r="H157" s="199"/>
      <c r="I157" s="199"/>
      <c r="J157" s="199"/>
      <c r="K157" s="200"/>
    </row>
    <row r="158" spans="2:11">
      <c r="B158" s="197">
        <v>399</v>
      </c>
      <c r="C158" s="198" t="s">
        <v>318</v>
      </c>
      <c r="D158" s="292" t="s">
        <v>687</v>
      </c>
      <c r="E158" s="199"/>
      <c r="F158" s="199"/>
      <c r="G158" s="199"/>
      <c r="H158" s="199"/>
      <c r="I158" s="199"/>
      <c r="J158" s="199"/>
      <c r="K158" s="200"/>
    </row>
    <row r="159" spans="2:11">
      <c r="B159" s="197">
        <v>398</v>
      </c>
      <c r="C159" s="198" t="s">
        <v>317</v>
      </c>
      <c r="D159" s="292" t="s">
        <v>665</v>
      </c>
      <c r="E159" s="199"/>
      <c r="F159" s="199"/>
      <c r="G159" s="199"/>
      <c r="H159" s="199"/>
      <c r="I159" s="199"/>
      <c r="J159" s="199"/>
      <c r="K159" s="200"/>
    </row>
    <row r="160" spans="2:11">
      <c r="B160" s="197">
        <v>397</v>
      </c>
      <c r="C160" s="198" t="s">
        <v>316</v>
      </c>
      <c r="D160" s="292" t="s">
        <v>642</v>
      </c>
      <c r="E160" s="199"/>
      <c r="F160" s="199"/>
      <c r="G160" s="199"/>
      <c r="H160" s="199"/>
      <c r="I160" s="199"/>
      <c r="J160" s="199"/>
      <c r="K160" s="200"/>
    </row>
    <row r="161" spans="2:11">
      <c r="B161" s="197">
        <v>366</v>
      </c>
      <c r="C161" s="198" t="s">
        <v>285</v>
      </c>
      <c r="D161" s="292" t="s">
        <v>618</v>
      </c>
      <c r="E161" s="199"/>
      <c r="F161" s="199"/>
      <c r="G161" s="199"/>
      <c r="H161" s="199"/>
      <c r="I161" s="199"/>
      <c r="J161" s="199"/>
      <c r="K161" s="200"/>
    </row>
    <row r="162" spans="2:11">
      <c r="B162" s="197">
        <v>376</v>
      </c>
      <c r="C162" s="198" t="s">
        <v>295</v>
      </c>
      <c r="D162" s="292" t="s">
        <v>619</v>
      </c>
      <c r="E162" s="199"/>
      <c r="F162" s="199"/>
      <c r="G162" s="199"/>
      <c r="H162" s="199"/>
      <c r="I162" s="199"/>
      <c r="J162" s="199"/>
      <c r="K162" s="200"/>
    </row>
    <row r="163" spans="2:11">
      <c r="B163" s="197">
        <v>390</v>
      </c>
      <c r="C163" s="198" t="s">
        <v>309</v>
      </c>
      <c r="D163" s="292" t="s">
        <v>708</v>
      </c>
      <c r="E163" s="199"/>
      <c r="F163" s="199"/>
      <c r="G163" s="199"/>
      <c r="H163" s="199"/>
      <c r="I163" s="199"/>
      <c r="J163" s="199"/>
      <c r="K163" s="200"/>
    </row>
    <row r="164" spans="2:11">
      <c r="B164" s="197">
        <v>389</v>
      </c>
      <c r="C164" s="198" t="s">
        <v>308</v>
      </c>
      <c r="D164" s="292" t="s">
        <v>686</v>
      </c>
      <c r="E164" s="199"/>
      <c r="F164" s="199"/>
      <c r="G164" s="199"/>
      <c r="H164" s="199"/>
      <c r="I164" s="199"/>
      <c r="J164" s="199"/>
      <c r="K164" s="200"/>
    </row>
    <row r="165" spans="2:11">
      <c r="B165" s="197">
        <v>370</v>
      </c>
      <c r="C165" s="198" t="s">
        <v>289</v>
      </c>
      <c r="D165" s="292" t="s">
        <v>706</v>
      </c>
      <c r="E165" s="199"/>
      <c r="F165" s="199"/>
      <c r="G165" s="199"/>
      <c r="H165" s="199"/>
      <c r="I165" s="199"/>
      <c r="J165" s="199"/>
      <c r="K165" s="200"/>
    </row>
    <row r="166" spans="2:11">
      <c r="B166" s="197">
        <v>369</v>
      </c>
      <c r="C166" s="198" t="s">
        <v>288</v>
      </c>
      <c r="D166" s="292" t="s">
        <v>684</v>
      </c>
      <c r="E166" s="199"/>
      <c r="F166" s="199"/>
      <c r="G166" s="199"/>
      <c r="H166" s="199"/>
      <c r="I166" s="199"/>
      <c r="J166" s="199"/>
      <c r="K166" s="200"/>
    </row>
    <row r="167" spans="2:11">
      <c r="B167" s="197">
        <v>377</v>
      </c>
      <c r="C167" s="198" t="s">
        <v>296</v>
      </c>
      <c r="D167" s="292" t="s">
        <v>641</v>
      </c>
      <c r="E167" s="199"/>
      <c r="F167" s="199"/>
      <c r="G167" s="199"/>
      <c r="H167" s="199"/>
      <c r="I167" s="199"/>
      <c r="J167" s="199"/>
      <c r="K167" s="200"/>
    </row>
    <row r="168" spans="2:11">
      <c r="B168" s="197">
        <v>378</v>
      </c>
      <c r="C168" s="198" t="s">
        <v>297</v>
      </c>
      <c r="D168" s="292" t="s">
        <v>664</v>
      </c>
      <c r="E168" s="199"/>
      <c r="F168" s="199"/>
      <c r="G168" s="199"/>
      <c r="H168" s="199"/>
      <c r="I168" s="199"/>
      <c r="J168" s="199"/>
      <c r="K168" s="200"/>
    </row>
    <row r="169" spans="2:11">
      <c r="B169" s="197">
        <v>367</v>
      </c>
      <c r="C169" s="198" t="s">
        <v>286</v>
      </c>
      <c r="D169" s="292" t="s">
        <v>640</v>
      </c>
      <c r="E169" s="199"/>
      <c r="F169" s="199"/>
      <c r="G169" s="199"/>
      <c r="H169" s="199"/>
      <c r="I169" s="199"/>
      <c r="J169" s="199"/>
      <c r="K169" s="200"/>
    </row>
    <row r="170" spans="2:11">
      <c r="B170" s="197">
        <v>368</v>
      </c>
      <c r="C170" s="198" t="s">
        <v>287</v>
      </c>
      <c r="D170" s="292" t="s">
        <v>663</v>
      </c>
      <c r="E170" s="199"/>
      <c r="F170" s="199"/>
      <c r="G170" s="199"/>
      <c r="H170" s="199"/>
      <c r="I170" s="199"/>
      <c r="J170" s="199"/>
      <c r="K170" s="200"/>
    </row>
    <row r="171" spans="2:11">
      <c r="B171" s="197">
        <v>380</v>
      </c>
      <c r="C171" s="198" t="s">
        <v>299</v>
      </c>
      <c r="D171" s="292" t="s">
        <v>707</v>
      </c>
      <c r="E171" s="199"/>
      <c r="F171" s="199"/>
      <c r="G171" s="199"/>
      <c r="H171" s="199"/>
      <c r="I171" s="199"/>
      <c r="J171" s="199"/>
      <c r="K171" s="200"/>
    </row>
    <row r="172" spans="2:11">
      <c r="B172" s="197">
        <v>379</v>
      </c>
      <c r="C172" s="198" t="s">
        <v>298</v>
      </c>
      <c r="D172" s="292" t="s">
        <v>685</v>
      </c>
      <c r="E172" s="199"/>
      <c r="F172" s="199"/>
      <c r="G172" s="199"/>
      <c r="H172" s="199"/>
      <c r="I172" s="199"/>
      <c r="J172" s="199"/>
      <c r="K172" s="200"/>
    </row>
    <row r="173" spans="2:11">
      <c r="B173" s="197">
        <v>394</v>
      </c>
      <c r="C173" s="198" t="s">
        <v>313</v>
      </c>
      <c r="D173" s="292" t="s">
        <v>599</v>
      </c>
      <c r="E173" s="199"/>
      <c r="F173" s="199"/>
      <c r="G173" s="199"/>
      <c r="H173" s="199"/>
      <c r="I173" s="199"/>
      <c r="J173" s="199"/>
      <c r="K173" s="200"/>
    </row>
    <row r="174" spans="2:11">
      <c r="B174" s="197">
        <v>384</v>
      </c>
      <c r="C174" s="198" t="s">
        <v>303</v>
      </c>
      <c r="D174" s="292" t="s">
        <v>598</v>
      </c>
      <c r="E174" s="199"/>
      <c r="F174" s="199"/>
      <c r="G174" s="199"/>
      <c r="H174" s="199"/>
      <c r="I174" s="199"/>
      <c r="J174" s="199"/>
      <c r="K174" s="200"/>
    </row>
    <row r="175" spans="2:11">
      <c r="B175" s="197">
        <v>374</v>
      </c>
      <c r="C175" s="198" t="s">
        <v>293</v>
      </c>
      <c r="D175" s="292" t="s">
        <v>597</v>
      </c>
      <c r="E175" s="199"/>
      <c r="F175" s="199"/>
      <c r="G175" s="199"/>
      <c r="H175" s="199"/>
      <c r="I175" s="199"/>
      <c r="J175" s="199"/>
      <c r="K175" s="200"/>
    </row>
    <row r="176" spans="2:11">
      <c r="B176" s="197">
        <v>364</v>
      </c>
      <c r="C176" s="198" t="s">
        <v>283</v>
      </c>
      <c r="D176" s="292" t="s">
        <v>596</v>
      </c>
      <c r="E176" s="199"/>
      <c r="F176" s="199"/>
      <c r="G176" s="199"/>
      <c r="H176" s="199"/>
      <c r="I176" s="199"/>
      <c r="J176" s="199"/>
      <c r="K176" s="200"/>
    </row>
    <row r="177" spans="2:11">
      <c r="B177" s="197">
        <v>375</v>
      </c>
      <c r="C177" s="198" t="s">
        <v>294</v>
      </c>
      <c r="D177" s="292" t="s">
        <v>609</v>
      </c>
      <c r="E177" s="199"/>
      <c r="F177" s="199"/>
      <c r="G177" s="199"/>
      <c r="H177" s="199"/>
      <c r="I177" s="199"/>
      <c r="J177" s="199"/>
      <c r="K177" s="200"/>
    </row>
    <row r="178" spans="2:11">
      <c r="B178" s="197">
        <v>365</v>
      </c>
      <c r="C178" s="198" t="s">
        <v>284</v>
      </c>
      <c r="D178" s="292" t="s">
        <v>608</v>
      </c>
      <c r="E178" s="199"/>
      <c r="F178" s="199"/>
      <c r="G178" s="199"/>
      <c r="H178" s="199"/>
      <c r="I178" s="199"/>
      <c r="J178" s="199"/>
      <c r="K178" s="200"/>
    </row>
    <row r="179" spans="2:11">
      <c r="B179" s="197">
        <v>373</v>
      </c>
      <c r="C179" s="198" t="s">
        <v>292</v>
      </c>
      <c r="D179" s="292" t="s">
        <v>576</v>
      </c>
      <c r="E179" s="199"/>
      <c r="F179" s="199"/>
      <c r="G179" s="199"/>
      <c r="H179" s="199"/>
      <c r="I179" s="199"/>
      <c r="J179" s="199"/>
      <c r="K179" s="200"/>
    </row>
    <row r="180" spans="2:11">
      <c r="B180" s="197">
        <v>363</v>
      </c>
      <c r="C180" s="198" t="s">
        <v>282</v>
      </c>
      <c r="D180" s="292" t="s">
        <v>575</v>
      </c>
      <c r="E180" s="199"/>
      <c r="F180" s="199"/>
      <c r="G180" s="199"/>
      <c r="H180" s="199"/>
      <c r="I180" s="199"/>
      <c r="J180" s="199"/>
      <c r="K180" s="200"/>
    </row>
    <row r="181" spans="2:11">
      <c r="B181" s="197">
        <v>391</v>
      </c>
      <c r="C181" s="198" t="s">
        <v>310</v>
      </c>
      <c r="D181" s="292" t="s">
        <v>533</v>
      </c>
      <c r="E181" s="199"/>
      <c r="F181" s="199"/>
      <c r="G181" s="199"/>
      <c r="H181" s="199"/>
      <c r="I181" s="199"/>
      <c r="J181" s="199"/>
      <c r="K181" s="200"/>
    </row>
    <row r="182" spans="2:11">
      <c r="B182" s="197">
        <v>381</v>
      </c>
      <c r="C182" s="198" t="s">
        <v>300</v>
      </c>
      <c r="D182" s="292" t="s">
        <v>532</v>
      </c>
      <c r="E182" s="199"/>
      <c r="F182" s="199"/>
      <c r="G182" s="199"/>
      <c r="H182" s="199"/>
      <c r="I182" s="199"/>
      <c r="J182" s="199"/>
      <c r="K182" s="200"/>
    </row>
    <row r="183" spans="2:11">
      <c r="B183" s="197">
        <v>371</v>
      </c>
      <c r="C183" s="198" t="s">
        <v>290</v>
      </c>
      <c r="D183" s="292" t="s">
        <v>531</v>
      </c>
      <c r="E183" s="199"/>
      <c r="F183" s="199"/>
      <c r="G183" s="199"/>
      <c r="H183" s="199"/>
      <c r="I183" s="199"/>
      <c r="J183" s="199"/>
      <c r="K183" s="200"/>
    </row>
    <row r="184" spans="2:11">
      <c r="B184" s="197">
        <v>361</v>
      </c>
      <c r="C184" s="198" t="s">
        <v>280</v>
      </c>
      <c r="D184" s="292" t="s">
        <v>530</v>
      </c>
      <c r="E184" s="199"/>
      <c r="F184" s="199"/>
      <c r="G184" s="199"/>
      <c r="H184" s="199"/>
      <c r="I184" s="199"/>
      <c r="J184" s="199"/>
      <c r="K184" s="200"/>
    </row>
    <row r="185" spans="2:11">
      <c r="B185" s="197">
        <v>372</v>
      </c>
      <c r="C185" s="198" t="s">
        <v>291</v>
      </c>
      <c r="D185" s="292" t="s">
        <v>551</v>
      </c>
      <c r="E185" s="199"/>
      <c r="F185" s="199"/>
      <c r="G185" s="199"/>
      <c r="H185" s="199"/>
      <c r="I185" s="199"/>
      <c r="J185" s="199"/>
      <c r="K185" s="200"/>
    </row>
    <row r="186" spans="2:11">
      <c r="B186" s="197">
        <v>362</v>
      </c>
      <c r="C186" s="198" t="s">
        <v>281</v>
      </c>
      <c r="D186" s="292" t="s">
        <v>550</v>
      </c>
      <c r="E186" s="199"/>
      <c r="F186" s="199"/>
      <c r="G186" s="199"/>
      <c r="H186" s="199"/>
      <c r="I186" s="199"/>
      <c r="J186" s="199"/>
      <c r="K186" s="200"/>
    </row>
    <row r="187" spans="2:11">
      <c r="B187" s="197">
        <v>354</v>
      </c>
      <c r="C187" s="198" t="s">
        <v>273</v>
      </c>
      <c r="D187" s="292" t="s">
        <v>595</v>
      </c>
      <c r="E187" s="199"/>
      <c r="F187" s="199"/>
      <c r="G187" s="199"/>
      <c r="H187" s="199"/>
      <c r="I187" s="199"/>
      <c r="J187" s="199"/>
      <c r="K187" s="200"/>
    </row>
    <row r="188" spans="2:11">
      <c r="B188" s="197">
        <v>353</v>
      </c>
      <c r="C188" s="198" t="s">
        <v>272</v>
      </c>
      <c r="D188" s="292" t="s">
        <v>574</v>
      </c>
      <c r="E188" s="199"/>
      <c r="F188" s="199"/>
      <c r="G188" s="199"/>
      <c r="H188" s="199"/>
      <c r="I188" s="199"/>
      <c r="J188" s="199"/>
      <c r="K188" s="200"/>
    </row>
    <row r="189" spans="2:11">
      <c r="B189" s="42">
        <v>93</v>
      </c>
      <c r="C189" s="258" t="s">
        <v>5</v>
      </c>
      <c r="D189" s="257" t="s">
        <v>558</v>
      </c>
      <c r="E189" s="324" t="s">
        <v>874</v>
      </c>
      <c r="F189" s="13"/>
      <c r="G189" s="389" t="s">
        <v>1020</v>
      </c>
      <c r="H189" s="340" t="s">
        <v>968</v>
      </c>
      <c r="I189" s="13"/>
      <c r="J189" s="13"/>
      <c r="K189" s="20"/>
    </row>
    <row r="190" spans="2:11">
      <c r="B190" s="42">
        <v>94</v>
      </c>
      <c r="C190" s="258" t="s">
        <v>6</v>
      </c>
      <c r="D190" s="257" t="s">
        <v>583</v>
      </c>
      <c r="E190" s="324" t="s">
        <v>874</v>
      </c>
      <c r="F190" s="13"/>
      <c r="G190" s="389" t="s">
        <v>1021</v>
      </c>
      <c r="H190" s="312" t="s">
        <v>968</v>
      </c>
      <c r="I190" s="13"/>
      <c r="J190" s="13"/>
      <c r="K190" s="20"/>
    </row>
    <row r="191" spans="2:11">
      <c r="B191" s="42">
        <v>103</v>
      </c>
      <c r="C191" s="258" t="s">
        <v>22</v>
      </c>
      <c r="D191" s="257" t="s">
        <v>559</v>
      </c>
      <c r="E191" s="324" t="s">
        <v>874</v>
      </c>
      <c r="F191" s="13"/>
      <c r="G191" s="389" t="s">
        <v>1018</v>
      </c>
      <c r="H191" s="312" t="s">
        <v>968</v>
      </c>
      <c r="I191" s="13"/>
      <c r="J191" s="13"/>
      <c r="K191" s="20"/>
    </row>
    <row r="192" spans="2:11">
      <c r="B192" s="42">
        <v>104</v>
      </c>
      <c r="C192" s="258" t="s">
        <v>23</v>
      </c>
      <c r="D192" s="257" t="s">
        <v>584</v>
      </c>
      <c r="E192" s="324" t="s">
        <v>874</v>
      </c>
      <c r="F192" s="13"/>
      <c r="G192" s="389" t="s">
        <v>1019</v>
      </c>
      <c r="H192" s="312" t="s">
        <v>968</v>
      </c>
      <c r="I192" s="13"/>
      <c r="J192" s="13"/>
      <c r="K192" s="20"/>
    </row>
    <row r="193" spans="2:11">
      <c r="B193" s="42">
        <v>101</v>
      </c>
      <c r="C193" s="258" t="s">
        <v>20</v>
      </c>
      <c r="D193" s="257" t="s">
        <v>522</v>
      </c>
      <c r="E193" s="324" t="s">
        <v>874</v>
      </c>
      <c r="F193" s="13"/>
      <c r="G193" s="389" t="s">
        <v>1016</v>
      </c>
      <c r="H193" s="312" t="s">
        <v>968</v>
      </c>
      <c r="I193" s="13"/>
      <c r="J193" s="13"/>
      <c r="K193" s="20"/>
    </row>
    <row r="194" spans="2:11">
      <c r="B194" s="42">
        <v>102</v>
      </c>
      <c r="C194" s="258" t="s">
        <v>21</v>
      </c>
      <c r="D194" s="257" t="s">
        <v>538</v>
      </c>
      <c r="E194" s="324" t="s">
        <v>874</v>
      </c>
      <c r="F194" s="13"/>
      <c r="G194" s="389" t="s">
        <v>1017</v>
      </c>
      <c r="H194" s="312" t="s">
        <v>968</v>
      </c>
      <c r="I194" s="13"/>
      <c r="J194" s="13"/>
      <c r="K194" s="20"/>
    </row>
    <row r="195" spans="2:11">
      <c r="B195" s="213">
        <v>95</v>
      </c>
      <c r="C195" s="214" t="s">
        <v>7</v>
      </c>
      <c r="D195" s="215" t="s">
        <v>602</v>
      </c>
      <c r="E195" s="199"/>
      <c r="F195" s="216"/>
      <c r="G195" s="359"/>
      <c r="H195" s="312"/>
      <c r="I195" s="216"/>
      <c r="J195" s="216"/>
      <c r="K195" s="217"/>
    </row>
    <row r="196" spans="2:11">
      <c r="B196" s="213">
        <v>96</v>
      </c>
      <c r="C196" s="214" t="s">
        <v>8</v>
      </c>
      <c r="D196" s="215" t="s">
        <v>616</v>
      </c>
      <c r="E196" s="199"/>
      <c r="F196" s="216"/>
      <c r="G196" s="359"/>
      <c r="H196" s="312"/>
      <c r="I196" s="216"/>
      <c r="J196" s="216"/>
      <c r="K196" s="217"/>
    </row>
    <row r="197" spans="2:11">
      <c r="B197" s="42">
        <v>86</v>
      </c>
      <c r="C197" s="258" t="s">
        <v>422</v>
      </c>
      <c r="D197" s="257" t="s">
        <v>615</v>
      </c>
      <c r="E197" s="324" t="s">
        <v>874</v>
      </c>
      <c r="F197" s="13"/>
      <c r="G197" s="389" t="s">
        <v>983</v>
      </c>
      <c r="H197" s="312" t="s">
        <v>968</v>
      </c>
      <c r="I197" s="13"/>
      <c r="J197" s="13"/>
      <c r="K197" s="20"/>
    </row>
    <row r="198" spans="2:11">
      <c r="B198" s="42">
        <v>85</v>
      </c>
      <c r="C198" s="258" t="s">
        <v>421</v>
      </c>
      <c r="D198" s="257" t="s">
        <v>601</v>
      </c>
      <c r="E198" s="324" t="s">
        <v>874</v>
      </c>
      <c r="F198" s="13"/>
      <c r="G198" s="389" t="s">
        <v>984</v>
      </c>
      <c r="H198" s="312" t="s">
        <v>968</v>
      </c>
      <c r="I198" s="13"/>
      <c r="J198" s="13"/>
      <c r="K198" s="20"/>
    </row>
    <row r="199" spans="2:11">
      <c r="B199" s="42">
        <v>76</v>
      </c>
      <c r="C199" s="258" t="s">
        <v>412</v>
      </c>
      <c r="D199" s="271" t="s">
        <v>614</v>
      </c>
      <c r="E199" s="324" t="s">
        <v>874</v>
      </c>
      <c r="F199" s="13"/>
      <c r="G199" s="389" t="s">
        <v>981</v>
      </c>
      <c r="H199" s="312" t="s">
        <v>968</v>
      </c>
      <c r="I199" s="13"/>
      <c r="J199" s="13"/>
      <c r="K199" s="20"/>
    </row>
    <row r="200" spans="2:11">
      <c r="B200" s="42">
        <v>75</v>
      </c>
      <c r="C200" s="258" t="s">
        <v>411</v>
      </c>
      <c r="D200" s="271" t="s">
        <v>600</v>
      </c>
      <c r="E200" s="324" t="s">
        <v>874</v>
      </c>
      <c r="F200" s="13"/>
      <c r="G200" s="389" t="s">
        <v>982</v>
      </c>
      <c r="H200" s="312" t="s">
        <v>968</v>
      </c>
      <c r="I200" s="13"/>
      <c r="J200" s="13"/>
      <c r="K200" s="20"/>
    </row>
    <row r="201" spans="2:11">
      <c r="B201" s="42">
        <v>74</v>
      </c>
      <c r="C201" s="258" t="s">
        <v>410</v>
      </c>
      <c r="D201" s="271" t="s">
        <v>581</v>
      </c>
      <c r="E201" s="324" t="s">
        <v>874</v>
      </c>
      <c r="F201" s="13"/>
      <c r="G201" s="389" t="s">
        <v>980</v>
      </c>
      <c r="H201" s="312" t="s">
        <v>968</v>
      </c>
      <c r="I201" s="13"/>
      <c r="J201" s="13"/>
      <c r="K201" s="20"/>
    </row>
    <row r="202" spans="2:11">
      <c r="B202" s="42">
        <v>73</v>
      </c>
      <c r="C202" s="258" t="s">
        <v>409</v>
      </c>
      <c r="D202" s="271" t="s">
        <v>556</v>
      </c>
      <c r="E202" s="324" t="s">
        <v>874</v>
      </c>
      <c r="F202" s="13"/>
      <c r="G202" s="389" t="s">
        <v>4</v>
      </c>
      <c r="H202" s="312" t="s">
        <v>968</v>
      </c>
      <c r="I202" s="13"/>
      <c r="J202" s="13"/>
      <c r="K202" s="20"/>
    </row>
    <row r="203" spans="2:11">
      <c r="B203" s="213">
        <v>83</v>
      </c>
      <c r="C203" s="214" t="s">
        <v>419</v>
      </c>
      <c r="D203" s="215" t="s">
        <v>557</v>
      </c>
      <c r="E203" s="199"/>
      <c r="F203" s="216"/>
      <c r="G203" s="359"/>
      <c r="H203" s="312"/>
      <c r="I203" s="216"/>
      <c r="J203" s="216"/>
      <c r="K203" s="217"/>
    </row>
    <row r="204" spans="2:11">
      <c r="B204" s="213">
        <v>84</v>
      </c>
      <c r="C204" s="214" t="s">
        <v>420</v>
      </c>
      <c r="D204" s="215" t="s">
        <v>582</v>
      </c>
      <c r="E204" s="199"/>
      <c r="F204" s="216"/>
      <c r="G204" s="359"/>
      <c r="H204" s="312"/>
      <c r="I204" s="216"/>
      <c r="J204" s="216"/>
      <c r="K204" s="217"/>
    </row>
    <row r="205" spans="2:11">
      <c r="B205" s="42">
        <v>24</v>
      </c>
      <c r="C205" s="258" t="s">
        <v>360</v>
      </c>
      <c r="D205" s="257" t="s">
        <v>579</v>
      </c>
      <c r="E205" s="324" t="s">
        <v>874</v>
      </c>
      <c r="F205" s="13"/>
      <c r="G205" s="389" t="s">
        <v>987</v>
      </c>
      <c r="H205" s="312" t="s">
        <v>968</v>
      </c>
      <c r="I205" s="13"/>
      <c r="J205" s="13"/>
      <c r="K205" s="20"/>
    </row>
    <row r="206" spans="2:11">
      <c r="B206" s="42">
        <v>34</v>
      </c>
      <c r="C206" s="258" t="s">
        <v>370</v>
      </c>
      <c r="D206" s="257" t="s">
        <v>580</v>
      </c>
      <c r="E206" s="324" t="s">
        <v>874</v>
      </c>
      <c r="F206" s="13"/>
      <c r="G206" s="389" t="s">
        <v>988</v>
      </c>
      <c r="H206" s="312" t="s">
        <v>968</v>
      </c>
      <c r="I206" s="13"/>
      <c r="J206" s="13"/>
      <c r="K206" s="20"/>
    </row>
    <row r="207" spans="2:11">
      <c r="B207" s="42">
        <v>14</v>
      </c>
      <c r="C207" s="258" t="s">
        <v>350</v>
      </c>
      <c r="D207" s="257" t="s">
        <v>578</v>
      </c>
      <c r="E207" s="324" t="s">
        <v>874</v>
      </c>
      <c r="F207" s="13"/>
      <c r="G207" s="389" t="s">
        <v>1022</v>
      </c>
      <c r="H207" s="312" t="s">
        <v>968</v>
      </c>
      <c r="I207" s="13"/>
      <c r="J207" s="13"/>
      <c r="K207" s="20"/>
    </row>
    <row r="208" spans="2:11">
      <c r="B208" s="42">
        <v>4</v>
      </c>
      <c r="C208" s="258" t="s">
        <v>340</v>
      </c>
      <c r="D208" s="257" t="s">
        <v>577</v>
      </c>
      <c r="E208" s="324" t="s">
        <v>874</v>
      </c>
      <c r="F208" s="13"/>
      <c r="G208" s="389" t="s">
        <v>6</v>
      </c>
      <c r="H208" s="312" t="s">
        <v>968</v>
      </c>
      <c r="I208" s="13"/>
      <c r="J208" s="13"/>
      <c r="K208" s="20"/>
    </row>
    <row r="209" spans="2:11">
      <c r="B209" s="42">
        <v>13</v>
      </c>
      <c r="C209" s="258" t="s">
        <v>349</v>
      </c>
      <c r="D209" s="257" t="s">
        <v>553</v>
      </c>
      <c r="E209" s="324" t="s">
        <v>874</v>
      </c>
      <c r="F209" s="13"/>
      <c r="G209" s="389" t="s">
        <v>985</v>
      </c>
      <c r="H209" s="312" t="s">
        <v>968</v>
      </c>
      <c r="I209" s="13"/>
      <c r="J209" s="13"/>
      <c r="K209" s="20"/>
    </row>
    <row r="210" spans="2:11">
      <c r="B210" s="42">
        <v>3</v>
      </c>
      <c r="C210" s="258" t="s">
        <v>339</v>
      </c>
      <c r="D210" s="257" t="s">
        <v>552</v>
      </c>
      <c r="E210" s="324" t="s">
        <v>874</v>
      </c>
      <c r="F210" s="13"/>
      <c r="G210" s="389" t="s">
        <v>986</v>
      </c>
      <c r="H210" s="312" t="s">
        <v>968</v>
      </c>
      <c r="I210" s="13"/>
      <c r="J210" s="13"/>
      <c r="K210" s="20"/>
    </row>
    <row r="211" spans="2:11">
      <c r="B211" s="213">
        <v>33</v>
      </c>
      <c r="C211" s="214" t="s">
        <v>369</v>
      </c>
      <c r="D211" s="215" t="s">
        <v>555</v>
      </c>
      <c r="E211" s="199"/>
      <c r="F211" s="216"/>
      <c r="G211" s="359"/>
      <c r="H211" s="312"/>
      <c r="I211" s="216"/>
      <c r="J211" s="216"/>
      <c r="K211" s="217"/>
    </row>
    <row r="212" spans="2:11">
      <c r="B212" s="213">
        <v>23</v>
      </c>
      <c r="C212" s="214" t="s">
        <v>359</v>
      </c>
      <c r="D212" s="215" t="s">
        <v>554</v>
      </c>
      <c r="E212" s="199"/>
      <c r="F212" s="216"/>
      <c r="G212" s="359"/>
      <c r="H212" s="312"/>
      <c r="I212" s="216"/>
      <c r="J212" s="216"/>
      <c r="K212" s="217"/>
    </row>
    <row r="213" spans="2:11">
      <c r="B213" s="42">
        <v>31</v>
      </c>
      <c r="C213" s="258" t="s">
        <v>367</v>
      </c>
      <c r="D213" s="257" t="s">
        <v>521</v>
      </c>
      <c r="E213" s="324" t="s">
        <v>874</v>
      </c>
      <c r="F213" s="13"/>
      <c r="G213" s="389" t="s">
        <v>993</v>
      </c>
      <c r="H213" s="312" t="s">
        <v>968</v>
      </c>
      <c r="I213" s="13"/>
      <c r="J213" s="13"/>
      <c r="K213" s="20"/>
    </row>
    <row r="214" spans="2:11">
      <c r="B214" s="42">
        <v>32</v>
      </c>
      <c r="C214" s="258" t="s">
        <v>368</v>
      </c>
      <c r="D214" s="257" t="s">
        <v>537</v>
      </c>
      <c r="E214" s="324" t="s">
        <v>874</v>
      </c>
      <c r="F214" s="13"/>
      <c r="G214" s="389" t="s">
        <v>8</v>
      </c>
      <c r="H214" s="312" t="s">
        <v>968</v>
      </c>
      <c r="I214" s="13"/>
      <c r="J214" s="13"/>
      <c r="K214" s="20"/>
    </row>
    <row r="215" spans="2:11">
      <c r="B215" s="42">
        <v>21</v>
      </c>
      <c r="C215" s="258" t="s">
        <v>357</v>
      </c>
      <c r="D215" s="257" t="s">
        <v>520</v>
      </c>
      <c r="E215" s="324" t="s">
        <v>874</v>
      </c>
      <c r="F215" s="13"/>
      <c r="G215" s="389" t="s">
        <v>991</v>
      </c>
      <c r="H215" s="312" t="s">
        <v>968</v>
      </c>
      <c r="I215" s="13"/>
      <c r="J215" s="13"/>
      <c r="K215" s="20"/>
    </row>
    <row r="216" spans="2:11">
      <c r="B216" s="42">
        <v>22</v>
      </c>
      <c r="C216" s="258" t="s">
        <v>358</v>
      </c>
      <c r="D216" s="257" t="s">
        <v>536</v>
      </c>
      <c r="E216" s="324" t="s">
        <v>874</v>
      </c>
      <c r="F216" s="13"/>
      <c r="G216" s="389" t="s">
        <v>992</v>
      </c>
      <c r="H216" s="312" t="s">
        <v>968</v>
      </c>
      <c r="I216" s="13"/>
      <c r="J216" s="13"/>
      <c r="K216" s="20"/>
    </row>
    <row r="217" spans="2:11">
      <c r="B217" s="42">
        <v>11</v>
      </c>
      <c r="C217" s="258" t="s">
        <v>347</v>
      </c>
      <c r="D217" s="257" t="s">
        <v>519</v>
      </c>
      <c r="E217" s="324" t="s">
        <v>874</v>
      </c>
      <c r="F217" s="13"/>
      <c r="G217" s="389" t="s">
        <v>989</v>
      </c>
      <c r="H217" s="312" t="s">
        <v>968</v>
      </c>
      <c r="I217" s="13"/>
      <c r="J217" s="13"/>
      <c r="K217" s="20"/>
    </row>
    <row r="218" spans="2:11">
      <c r="B218" s="42">
        <v>12</v>
      </c>
      <c r="C218" s="258" t="s">
        <v>348</v>
      </c>
      <c r="D218" s="257" t="s">
        <v>535</v>
      </c>
      <c r="E218" s="324" t="s">
        <v>874</v>
      </c>
      <c r="F218" s="13"/>
      <c r="G218" s="389" t="s">
        <v>990</v>
      </c>
      <c r="H218" s="312" t="s">
        <v>968</v>
      </c>
      <c r="I218" s="13"/>
      <c r="J218" s="13"/>
      <c r="K218" s="20"/>
    </row>
    <row r="219" spans="2:11">
      <c r="B219" s="213">
        <v>1</v>
      </c>
      <c r="C219" s="214" t="s">
        <v>337</v>
      </c>
      <c r="D219" s="215" t="s">
        <v>518</v>
      </c>
      <c r="E219" s="199"/>
      <c r="F219" s="216"/>
      <c r="G219" s="216"/>
      <c r="H219" s="199"/>
      <c r="I219" s="216"/>
      <c r="J219" s="216"/>
      <c r="K219" s="217"/>
    </row>
    <row r="220" spans="2:11">
      <c r="B220" s="213">
        <v>2</v>
      </c>
      <c r="C220" s="214" t="s">
        <v>338</v>
      </c>
      <c r="D220" s="215" t="s">
        <v>534</v>
      </c>
      <c r="E220" s="199"/>
      <c r="F220" s="216"/>
      <c r="G220" s="216"/>
      <c r="H220" s="199"/>
      <c r="I220" s="216"/>
      <c r="J220" s="216"/>
      <c r="K220" s="217"/>
    </row>
    <row r="221" spans="2:11">
      <c r="B221" s="42">
        <v>43</v>
      </c>
      <c r="C221" s="258" t="s">
        <v>379</v>
      </c>
      <c r="D221" s="271" t="s">
        <v>447</v>
      </c>
      <c r="E221" s="324" t="s">
        <v>874</v>
      </c>
      <c r="F221" s="13"/>
      <c r="G221" s="387" t="s">
        <v>226</v>
      </c>
      <c r="H221" s="13"/>
      <c r="I221" s="13"/>
      <c r="J221" s="13"/>
      <c r="K221" s="20"/>
    </row>
    <row r="222" spans="2:11">
      <c r="B222" s="42">
        <v>44</v>
      </c>
      <c r="C222" s="258" t="s">
        <v>380</v>
      </c>
      <c r="D222" s="271" t="s">
        <v>455</v>
      </c>
      <c r="E222" s="324" t="s">
        <v>874</v>
      </c>
      <c r="F222" s="13"/>
      <c r="G222" s="387" t="s">
        <v>236</v>
      </c>
      <c r="H222" s="13"/>
      <c r="I222" s="13"/>
      <c r="J222" s="13"/>
      <c r="K222" s="20"/>
    </row>
    <row r="223" spans="2:11">
      <c r="B223" s="42">
        <v>62</v>
      </c>
      <c r="C223" s="258" t="s">
        <v>398</v>
      </c>
      <c r="D223" s="271" t="s">
        <v>428</v>
      </c>
      <c r="E223" s="13"/>
      <c r="F223" s="13"/>
      <c r="G223" s="13"/>
      <c r="H223" s="13"/>
      <c r="I223" s="13"/>
      <c r="J223" s="13"/>
      <c r="K223" s="20"/>
    </row>
    <row r="224" spans="2:11">
      <c r="B224" s="42">
        <v>61</v>
      </c>
      <c r="C224" s="258" t="s">
        <v>397</v>
      </c>
      <c r="D224" s="271" t="s">
        <v>322</v>
      </c>
      <c r="E224" s="324" t="s">
        <v>874</v>
      </c>
      <c r="F224" s="324"/>
      <c r="G224" s="387" t="s">
        <v>1034</v>
      </c>
      <c r="H224" s="13"/>
      <c r="I224" s="13"/>
      <c r="J224" s="13"/>
      <c r="K224" s="20"/>
    </row>
    <row r="225" spans="2:11">
      <c r="B225" s="42">
        <v>71</v>
      </c>
      <c r="C225" s="258" t="s">
        <v>407</v>
      </c>
      <c r="D225" s="271" t="s">
        <v>323</v>
      </c>
      <c r="E225" s="13"/>
      <c r="F225" s="13"/>
      <c r="G225" s="13"/>
      <c r="H225" s="13"/>
      <c r="I225" s="13"/>
      <c r="J225" s="13"/>
      <c r="K225" s="20"/>
    </row>
    <row r="226" spans="2:11">
      <c r="B226" s="42">
        <v>72</v>
      </c>
      <c r="C226" s="258" t="s">
        <v>408</v>
      </c>
      <c r="D226" s="271" t="s">
        <v>429</v>
      </c>
      <c r="E226" s="324" t="s">
        <v>874</v>
      </c>
      <c r="F226" s="324"/>
      <c r="G226" s="387" t="s">
        <v>1035</v>
      </c>
      <c r="H226" s="13"/>
      <c r="I226" s="13"/>
      <c r="J226" s="13"/>
      <c r="K226" s="20"/>
    </row>
    <row r="227" spans="2:11">
      <c r="B227" s="42">
        <v>51</v>
      </c>
      <c r="C227" s="258" t="s">
        <v>387</v>
      </c>
      <c r="D227" s="271" t="s">
        <v>464</v>
      </c>
      <c r="E227" s="13"/>
      <c r="F227" s="13"/>
      <c r="G227" s="13"/>
      <c r="H227" s="13"/>
      <c r="I227" s="13"/>
      <c r="J227" s="13"/>
      <c r="K227" s="20"/>
    </row>
    <row r="228" spans="2:11">
      <c r="B228" s="42">
        <v>52</v>
      </c>
      <c r="C228" s="258" t="s">
        <v>388</v>
      </c>
      <c r="D228" s="271" t="s">
        <v>464</v>
      </c>
      <c r="E228" s="13"/>
      <c r="F228" s="13"/>
      <c r="G228" s="13"/>
      <c r="H228" s="13"/>
      <c r="I228" s="13"/>
      <c r="J228" s="13"/>
      <c r="K228" s="20"/>
    </row>
    <row r="229" spans="2:11">
      <c r="B229" s="42">
        <v>53</v>
      </c>
      <c r="C229" s="258" t="s">
        <v>389</v>
      </c>
      <c r="D229" s="271" t="s">
        <v>464</v>
      </c>
      <c r="E229" s="13"/>
      <c r="F229" s="13"/>
      <c r="G229" s="13"/>
      <c r="H229" s="13"/>
      <c r="I229" s="13"/>
      <c r="J229" s="13"/>
      <c r="K229" s="20"/>
    </row>
    <row r="230" spans="2:11">
      <c r="B230" s="42">
        <v>63</v>
      </c>
      <c r="C230" s="258" t="s">
        <v>399</v>
      </c>
      <c r="D230" s="271" t="s">
        <v>464</v>
      </c>
      <c r="E230" s="13"/>
      <c r="F230" s="13"/>
      <c r="G230" s="13"/>
      <c r="H230" s="13"/>
      <c r="I230" s="13"/>
      <c r="J230" s="13"/>
      <c r="K230" s="20"/>
    </row>
    <row r="231" spans="2:11">
      <c r="B231" s="42">
        <v>54</v>
      </c>
      <c r="C231" s="258" t="s">
        <v>390</v>
      </c>
      <c r="D231" s="271" t="s">
        <v>464</v>
      </c>
      <c r="E231" s="13"/>
      <c r="F231" s="13"/>
      <c r="G231" s="13"/>
      <c r="H231" s="13"/>
      <c r="I231" s="13"/>
      <c r="J231" s="13"/>
      <c r="K231" s="20"/>
    </row>
    <row r="232" spans="2:11">
      <c r="B232" s="42">
        <v>64</v>
      </c>
      <c r="C232" s="258" t="s">
        <v>400</v>
      </c>
      <c r="D232" s="271" t="s">
        <v>464</v>
      </c>
      <c r="E232" s="13"/>
      <c r="F232" s="13"/>
      <c r="G232" s="13"/>
      <c r="H232" s="13"/>
      <c r="I232" s="13"/>
      <c r="J232" s="13"/>
      <c r="K232" s="20"/>
    </row>
    <row r="233" spans="2:11">
      <c r="B233" s="42">
        <v>105</v>
      </c>
      <c r="C233" s="258" t="s">
        <v>24</v>
      </c>
      <c r="D233" s="257" t="s">
        <v>464</v>
      </c>
      <c r="E233" s="13"/>
      <c r="F233" s="13"/>
      <c r="G233" s="13"/>
      <c r="H233" s="13"/>
      <c r="I233" s="13"/>
      <c r="J233" s="13"/>
      <c r="K233" s="20"/>
    </row>
    <row r="234" spans="2:11">
      <c r="B234" s="42">
        <v>46</v>
      </c>
      <c r="C234" s="258" t="s">
        <v>382</v>
      </c>
      <c r="D234" s="271" t="s">
        <v>471</v>
      </c>
      <c r="E234" s="13"/>
      <c r="F234" s="13"/>
      <c r="G234" s="13"/>
      <c r="H234" s="13"/>
      <c r="I234" s="13"/>
      <c r="J234" s="13"/>
      <c r="K234" s="20"/>
    </row>
    <row r="235" spans="2:11">
      <c r="B235" s="42">
        <v>66</v>
      </c>
      <c r="C235" s="258" t="s">
        <v>402</v>
      </c>
      <c r="D235" s="271" t="s">
        <v>473</v>
      </c>
      <c r="E235" s="13"/>
      <c r="F235" s="13"/>
      <c r="G235" s="13"/>
      <c r="H235" s="13"/>
      <c r="I235" s="13"/>
      <c r="J235" s="13"/>
      <c r="K235" s="20"/>
    </row>
    <row r="236" spans="2:11">
      <c r="B236" s="42">
        <v>56</v>
      </c>
      <c r="C236" s="258" t="s">
        <v>392</v>
      </c>
      <c r="D236" s="271" t="s">
        <v>472</v>
      </c>
      <c r="E236" s="13"/>
      <c r="F236" s="13"/>
      <c r="G236" s="13"/>
      <c r="H236" s="13"/>
      <c r="I236" s="13"/>
      <c r="J236" s="13"/>
      <c r="K236" s="20"/>
    </row>
    <row r="237" spans="2:11">
      <c r="B237" s="42">
        <v>5</v>
      </c>
      <c r="C237" s="258" t="s">
        <v>341</v>
      </c>
      <c r="D237" s="257" t="s">
        <v>321</v>
      </c>
      <c r="E237" s="13"/>
      <c r="F237" s="13"/>
      <c r="G237" s="13"/>
      <c r="H237" s="13"/>
      <c r="I237" s="13"/>
      <c r="J237" s="13"/>
      <c r="K237" s="20"/>
    </row>
    <row r="238" spans="2:11">
      <c r="B238" s="42">
        <v>15</v>
      </c>
      <c r="C238" s="258" t="s">
        <v>351</v>
      </c>
      <c r="D238" s="257" t="s">
        <v>321</v>
      </c>
      <c r="E238" s="13"/>
      <c r="F238" s="13"/>
      <c r="G238" s="13"/>
      <c r="H238" s="13"/>
      <c r="I238" s="13"/>
      <c r="J238" s="13"/>
      <c r="K238" s="20"/>
    </row>
    <row r="239" spans="2:11">
      <c r="B239" s="42">
        <v>25</v>
      </c>
      <c r="C239" s="258" t="s">
        <v>361</v>
      </c>
      <c r="D239" s="257" t="s">
        <v>321</v>
      </c>
      <c r="E239" s="13"/>
      <c r="F239" s="13"/>
      <c r="G239" s="13"/>
      <c r="H239" s="13"/>
      <c r="I239" s="13"/>
      <c r="J239" s="13"/>
      <c r="K239" s="20"/>
    </row>
    <row r="240" spans="2:11">
      <c r="B240" s="42">
        <v>35</v>
      </c>
      <c r="C240" s="258" t="s">
        <v>371</v>
      </c>
      <c r="D240" s="257" t="s">
        <v>321</v>
      </c>
      <c r="E240" s="13"/>
      <c r="F240" s="13"/>
      <c r="G240" s="13"/>
      <c r="H240" s="13"/>
      <c r="I240" s="13"/>
      <c r="J240" s="13"/>
      <c r="K240" s="20"/>
    </row>
    <row r="241" spans="2:11">
      <c r="B241" s="42">
        <v>45</v>
      </c>
      <c r="C241" s="258" t="s">
        <v>381</v>
      </c>
      <c r="D241" s="271" t="s">
        <v>321</v>
      </c>
      <c r="E241" s="13"/>
      <c r="F241" s="13"/>
      <c r="G241" s="13"/>
      <c r="H241" s="13"/>
      <c r="I241" s="13"/>
      <c r="J241" s="13"/>
      <c r="K241" s="20"/>
    </row>
    <row r="242" spans="2:11">
      <c r="B242" s="42">
        <v>55</v>
      </c>
      <c r="C242" s="258" t="s">
        <v>391</v>
      </c>
      <c r="D242" s="271" t="s">
        <v>321</v>
      </c>
      <c r="E242" s="13"/>
      <c r="F242" s="13"/>
      <c r="G242" s="13"/>
      <c r="H242" s="13"/>
      <c r="I242" s="13"/>
      <c r="J242" s="13"/>
      <c r="K242" s="20"/>
    </row>
    <row r="243" spans="2:11">
      <c r="B243" s="42">
        <v>65</v>
      </c>
      <c r="C243" s="258" t="s">
        <v>401</v>
      </c>
      <c r="D243" s="271" t="s">
        <v>321</v>
      </c>
      <c r="E243" s="13"/>
      <c r="F243" s="13"/>
      <c r="G243" s="13"/>
      <c r="H243" s="13"/>
      <c r="I243" s="13"/>
      <c r="J243" s="13"/>
      <c r="K243" s="20"/>
    </row>
    <row r="244" spans="2:11">
      <c r="B244" s="42">
        <v>92</v>
      </c>
      <c r="C244" s="258" t="s">
        <v>4</v>
      </c>
      <c r="D244" s="257" t="s">
        <v>431</v>
      </c>
      <c r="E244" s="13"/>
      <c r="F244" s="13"/>
      <c r="G244" s="13"/>
      <c r="H244" s="13"/>
      <c r="I244" s="13"/>
      <c r="J244" s="13"/>
      <c r="K244" s="20"/>
    </row>
    <row r="245" spans="2:11">
      <c r="B245" s="42">
        <v>91</v>
      </c>
      <c r="C245" s="258" t="s">
        <v>0</v>
      </c>
      <c r="D245" s="328" t="s">
        <v>325</v>
      </c>
      <c r="E245" s="324" t="s">
        <v>874</v>
      </c>
      <c r="F245" s="324"/>
      <c r="G245" s="387" t="s">
        <v>147</v>
      </c>
      <c r="H245" s="13"/>
      <c r="I245" s="13"/>
      <c r="J245" s="13"/>
      <c r="K245" s="20"/>
    </row>
    <row r="246" spans="2:11">
      <c r="B246" s="42">
        <v>81</v>
      </c>
      <c r="C246" s="258" t="s">
        <v>417</v>
      </c>
      <c r="D246" s="328" t="s">
        <v>324</v>
      </c>
      <c r="E246" s="324" t="s">
        <v>874</v>
      </c>
      <c r="F246" s="5"/>
      <c r="G246" s="387" t="s">
        <v>247</v>
      </c>
      <c r="H246" s="13"/>
      <c r="I246" s="13"/>
      <c r="J246" s="13"/>
      <c r="K246" s="20"/>
    </row>
    <row r="247" spans="2:11" ht="16.5" thickBot="1">
      <c r="B247" s="42">
        <v>82</v>
      </c>
      <c r="C247" s="258" t="s">
        <v>418</v>
      </c>
      <c r="D247" s="328" t="s">
        <v>430</v>
      </c>
      <c r="E247" s="324" t="s">
        <v>874</v>
      </c>
      <c r="F247" s="5"/>
      <c r="G247" s="392" t="s">
        <v>257</v>
      </c>
      <c r="H247" s="13"/>
      <c r="I247" s="13"/>
      <c r="J247" s="13"/>
      <c r="K247" s="20"/>
    </row>
    <row r="248" spans="2:11">
      <c r="B248" s="42">
        <v>41</v>
      </c>
      <c r="C248" s="258" t="s">
        <v>377</v>
      </c>
      <c r="D248" s="330" t="s">
        <v>427</v>
      </c>
      <c r="E248" s="324" t="s">
        <v>874</v>
      </c>
      <c r="F248" s="13"/>
      <c r="G248" s="324" t="s">
        <v>317</v>
      </c>
      <c r="H248" s="13"/>
      <c r="I248" s="13"/>
      <c r="J248" s="13"/>
      <c r="K248" s="20"/>
    </row>
    <row r="249" spans="2:11">
      <c r="B249" s="42">
        <v>42</v>
      </c>
      <c r="C249" s="258" t="s">
        <v>378</v>
      </c>
      <c r="D249" s="330" t="s">
        <v>320</v>
      </c>
      <c r="E249" s="324" t="s">
        <v>874</v>
      </c>
      <c r="F249" s="324"/>
      <c r="G249" s="387" t="s">
        <v>1033</v>
      </c>
      <c r="H249" s="13"/>
      <c r="I249" s="13"/>
      <c r="J249" s="13"/>
      <c r="K249" s="20"/>
    </row>
    <row r="250" spans="2:11">
      <c r="B250" s="197">
        <v>393</v>
      </c>
      <c r="C250" s="198" t="s">
        <v>312</v>
      </c>
      <c r="D250" s="292" t="s">
        <v>453</v>
      </c>
      <c r="E250" s="199"/>
      <c r="F250" s="199"/>
      <c r="G250" s="199"/>
      <c r="H250" s="199"/>
      <c r="I250" s="199"/>
      <c r="J250" s="199"/>
      <c r="K250" s="200"/>
    </row>
    <row r="251" spans="2:11">
      <c r="B251" s="197">
        <v>383</v>
      </c>
      <c r="C251" s="198" t="s">
        <v>302</v>
      </c>
      <c r="D251" s="292" t="s">
        <v>452</v>
      </c>
      <c r="E251" s="199"/>
      <c r="F251" s="199"/>
      <c r="G251" s="199"/>
      <c r="H251" s="199"/>
      <c r="I251" s="199"/>
      <c r="J251" s="199"/>
      <c r="K251" s="200"/>
    </row>
    <row r="252" spans="2:11">
      <c r="B252" s="197">
        <v>337</v>
      </c>
      <c r="C252" s="198" t="s">
        <v>256</v>
      </c>
      <c r="D252" s="292" t="s">
        <v>487</v>
      </c>
      <c r="E252" s="199"/>
      <c r="F252" s="199"/>
      <c r="G252" s="199"/>
      <c r="H252" s="199"/>
      <c r="I252" s="199"/>
      <c r="J252" s="199"/>
      <c r="K252" s="200"/>
    </row>
    <row r="253" spans="2:11">
      <c r="B253" s="197">
        <v>327</v>
      </c>
      <c r="C253" s="198" t="s">
        <v>246</v>
      </c>
      <c r="D253" s="292" t="s">
        <v>486</v>
      </c>
      <c r="E253" s="199"/>
      <c r="F253" s="199"/>
      <c r="G253" s="199"/>
      <c r="H253" s="199"/>
      <c r="I253" s="199"/>
      <c r="J253" s="199"/>
      <c r="K253" s="200"/>
    </row>
    <row r="254" spans="2:11">
      <c r="B254" s="197">
        <v>346</v>
      </c>
      <c r="C254" s="198" t="s">
        <v>265</v>
      </c>
      <c r="D254" s="292" t="s">
        <v>478</v>
      </c>
      <c r="E254" s="199"/>
      <c r="F254" s="199"/>
      <c r="G254" s="199"/>
      <c r="H254" s="199"/>
      <c r="I254" s="199"/>
      <c r="J254" s="199"/>
      <c r="K254" s="200"/>
    </row>
    <row r="255" spans="2:11">
      <c r="B255" s="197">
        <v>336</v>
      </c>
      <c r="C255" s="198" t="s">
        <v>255</v>
      </c>
      <c r="D255" s="292" t="s">
        <v>477</v>
      </c>
      <c r="E255" s="199"/>
      <c r="F255" s="199"/>
      <c r="G255" s="199"/>
      <c r="H255" s="199"/>
      <c r="I255" s="199"/>
      <c r="J255" s="199"/>
      <c r="K255" s="200"/>
    </row>
    <row r="256" spans="2:11">
      <c r="B256" s="197">
        <v>347</v>
      </c>
      <c r="C256" s="198" t="s">
        <v>266</v>
      </c>
      <c r="D256" s="292" t="s">
        <v>488</v>
      </c>
      <c r="E256" s="199"/>
      <c r="F256" s="199"/>
      <c r="G256" s="199"/>
      <c r="H256" s="199"/>
      <c r="I256" s="199"/>
      <c r="J256" s="199"/>
      <c r="K256" s="200"/>
    </row>
    <row r="257" spans="2:11">
      <c r="B257" s="197">
        <v>357</v>
      </c>
      <c r="C257" s="198" t="s">
        <v>276</v>
      </c>
      <c r="D257" s="292" t="s">
        <v>488</v>
      </c>
      <c r="E257" s="199"/>
      <c r="F257" s="199"/>
      <c r="G257" s="199"/>
      <c r="H257" s="199"/>
      <c r="I257" s="199"/>
      <c r="J257" s="199"/>
      <c r="K257" s="200"/>
    </row>
    <row r="258" spans="2:11">
      <c r="B258" s="197">
        <v>338</v>
      </c>
      <c r="C258" s="198" t="s">
        <v>257</v>
      </c>
      <c r="D258" s="292" t="s">
        <v>488</v>
      </c>
      <c r="E258" s="199"/>
      <c r="F258" s="199"/>
      <c r="G258" s="199"/>
      <c r="H258" s="199"/>
      <c r="I258" s="199"/>
      <c r="J258" s="199"/>
      <c r="K258" s="200"/>
    </row>
    <row r="259" spans="2:11">
      <c r="B259" s="197">
        <v>348</v>
      </c>
      <c r="C259" s="198" t="s">
        <v>267</v>
      </c>
      <c r="D259" s="292" t="s">
        <v>488</v>
      </c>
      <c r="E259" s="199"/>
      <c r="F259" s="199"/>
      <c r="G259" s="199"/>
      <c r="H259" s="199"/>
      <c r="I259" s="199"/>
      <c r="J259" s="199"/>
      <c r="K259" s="200"/>
    </row>
    <row r="260" spans="2:11">
      <c r="B260" s="197">
        <v>358</v>
      </c>
      <c r="C260" s="198" t="s">
        <v>277</v>
      </c>
      <c r="D260" s="292" t="s">
        <v>488</v>
      </c>
      <c r="E260" s="199"/>
      <c r="F260" s="199"/>
      <c r="G260" s="199"/>
      <c r="H260" s="199"/>
      <c r="I260" s="199"/>
      <c r="J260" s="199"/>
      <c r="K260" s="200"/>
    </row>
    <row r="261" spans="2:11">
      <c r="B261" s="197">
        <v>339</v>
      </c>
      <c r="C261" s="198" t="s">
        <v>258</v>
      </c>
      <c r="D261" s="292" t="s">
        <v>488</v>
      </c>
      <c r="E261" s="199"/>
      <c r="F261" s="199"/>
      <c r="G261" s="199"/>
      <c r="H261" s="199"/>
      <c r="I261" s="199"/>
      <c r="J261" s="199"/>
      <c r="K261" s="200"/>
    </row>
    <row r="262" spans="2:11">
      <c r="B262" s="197">
        <v>349</v>
      </c>
      <c r="C262" s="198" t="s">
        <v>268</v>
      </c>
      <c r="D262" s="292" t="s">
        <v>488</v>
      </c>
      <c r="E262" s="199"/>
      <c r="F262" s="199"/>
      <c r="G262" s="199"/>
      <c r="H262" s="199"/>
      <c r="I262" s="199"/>
      <c r="J262" s="199"/>
      <c r="K262" s="200"/>
    </row>
    <row r="263" spans="2:11">
      <c r="B263" s="197">
        <v>359</v>
      </c>
      <c r="C263" s="198" t="s">
        <v>278</v>
      </c>
      <c r="D263" s="292" t="s">
        <v>488</v>
      </c>
      <c r="E263" s="199"/>
      <c r="F263" s="199"/>
      <c r="G263" s="199"/>
      <c r="H263" s="199"/>
      <c r="I263" s="199"/>
      <c r="J263" s="199"/>
      <c r="K263" s="200"/>
    </row>
    <row r="264" spans="2:11">
      <c r="B264" s="197">
        <v>340</v>
      </c>
      <c r="C264" s="198" t="s">
        <v>259</v>
      </c>
      <c r="D264" s="292" t="s">
        <v>488</v>
      </c>
      <c r="E264" s="199"/>
      <c r="F264" s="199"/>
      <c r="G264" s="199"/>
      <c r="H264" s="199"/>
      <c r="I264" s="199"/>
      <c r="J264" s="199"/>
      <c r="K264" s="200"/>
    </row>
    <row r="265" spans="2:11">
      <c r="B265" s="197">
        <v>350</v>
      </c>
      <c r="C265" s="198" t="s">
        <v>269</v>
      </c>
      <c r="D265" s="292" t="s">
        <v>488</v>
      </c>
      <c r="E265" s="199"/>
      <c r="F265" s="199"/>
      <c r="G265" s="199"/>
      <c r="H265" s="199"/>
      <c r="I265" s="199"/>
      <c r="J265" s="199"/>
      <c r="K265" s="200"/>
    </row>
    <row r="266" spans="2:11">
      <c r="B266" s="197">
        <v>360</v>
      </c>
      <c r="C266" s="198" t="s">
        <v>279</v>
      </c>
      <c r="D266" s="292" t="s">
        <v>488</v>
      </c>
      <c r="E266" s="199"/>
      <c r="F266" s="199"/>
      <c r="G266" s="199"/>
      <c r="H266" s="199"/>
      <c r="I266" s="199"/>
      <c r="J266" s="199"/>
      <c r="K266" s="200"/>
    </row>
    <row r="267" spans="2:11">
      <c r="B267" s="197">
        <v>356</v>
      </c>
      <c r="C267" s="198" t="s">
        <v>275</v>
      </c>
      <c r="D267" s="292" t="s">
        <v>479</v>
      </c>
      <c r="E267" s="199"/>
      <c r="F267" s="199"/>
      <c r="G267" s="199"/>
      <c r="H267" s="199"/>
      <c r="I267" s="199"/>
      <c r="J267" s="199"/>
      <c r="K267" s="200"/>
    </row>
    <row r="268" spans="2:11">
      <c r="B268" s="197">
        <v>385</v>
      </c>
      <c r="C268" s="198" t="s">
        <v>304</v>
      </c>
      <c r="D268" s="292" t="s">
        <v>469</v>
      </c>
      <c r="E268" s="199"/>
      <c r="F268" s="199"/>
      <c r="G268" s="199"/>
      <c r="H268" s="199"/>
      <c r="I268" s="199"/>
      <c r="J268" s="199"/>
      <c r="K268" s="200"/>
    </row>
    <row r="269" spans="2:11">
      <c r="B269" s="197">
        <v>395</v>
      </c>
      <c r="C269" s="198" t="s">
        <v>314</v>
      </c>
      <c r="D269" s="292" t="s">
        <v>470</v>
      </c>
      <c r="E269" s="199"/>
      <c r="F269" s="199"/>
      <c r="G269" s="199"/>
      <c r="H269" s="199"/>
      <c r="I269" s="199"/>
      <c r="J269" s="199"/>
      <c r="K269" s="200"/>
    </row>
    <row r="270" spans="2:11">
      <c r="B270" s="197">
        <v>341</v>
      </c>
      <c r="C270" s="198" t="s">
        <v>260</v>
      </c>
      <c r="D270" s="292" t="s">
        <v>336</v>
      </c>
      <c r="E270" s="199"/>
      <c r="F270" s="199"/>
      <c r="G270" s="199"/>
      <c r="H270" s="199"/>
      <c r="I270" s="199"/>
      <c r="J270" s="199"/>
      <c r="K270" s="200"/>
    </row>
    <row r="271" spans="2:11">
      <c r="B271" s="197">
        <v>351</v>
      </c>
      <c r="C271" s="198" t="s">
        <v>270</v>
      </c>
      <c r="D271" s="292" t="s">
        <v>336</v>
      </c>
      <c r="E271" s="199"/>
      <c r="F271" s="199"/>
      <c r="G271" s="199"/>
      <c r="H271" s="199"/>
      <c r="I271" s="199"/>
      <c r="J271" s="199"/>
      <c r="K271" s="200"/>
    </row>
    <row r="272" spans="2:11">
      <c r="B272" s="197">
        <v>342</v>
      </c>
      <c r="C272" s="198" t="s">
        <v>261</v>
      </c>
      <c r="D272" s="292" t="s">
        <v>336</v>
      </c>
      <c r="E272" s="199"/>
      <c r="F272" s="199"/>
      <c r="G272" s="199"/>
      <c r="H272" s="199"/>
      <c r="I272" s="199"/>
      <c r="J272" s="199"/>
      <c r="K272" s="200"/>
    </row>
    <row r="273" spans="2:11">
      <c r="B273" s="197">
        <v>352</v>
      </c>
      <c r="C273" s="198" t="s">
        <v>271</v>
      </c>
      <c r="D273" s="292" t="s">
        <v>336</v>
      </c>
      <c r="E273" s="199"/>
      <c r="F273" s="199"/>
      <c r="G273" s="199"/>
      <c r="H273" s="199"/>
      <c r="I273" s="199"/>
      <c r="J273" s="199"/>
      <c r="K273" s="200"/>
    </row>
    <row r="274" spans="2:11">
      <c r="B274" s="197">
        <v>333</v>
      </c>
      <c r="C274" s="198" t="s">
        <v>252</v>
      </c>
      <c r="D274" s="292" t="s">
        <v>336</v>
      </c>
      <c r="E274" s="199"/>
      <c r="F274" s="199"/>
      <c r="G274" s="199"/>
      <c r="H274" s="199"/>
      <c r="I274" s="199"/>
      <c r="J274" s="199"/>
      <c r="K274" s="200"/>
    </row>
    <row r="275" spans="2:11">
      <c r="B275" s="197">
        <v>343</v>
      </c>
      <c r="C275" s="198" t="s">
        <v>262</v>
      </c>
      <c r="D275" s="292" t="s">
        <v>336</v>
      </c>
      <c r="E275" s="199"/>
      <c r="F275" s="199"/>
      <c r="G275" s="199"/>
      <c r="H275" s="199"/>
      <c r="I275" s="199"/>
      <c r="J275" s="199"/>
      <c r="K275" s="200"/>
    </row>
    <row r="276" spans="2:11">
      <c r="B276" s="197">
        <v>334</v>
      </c>
      <c r="C276" s="198" t="s">
        <v>253</v>
      </c>
      <c r="D276" s="292" t="s">
        <v>336</v>
      </c>
      <c r="E276" s="199"/>
      <c r="F276" s="199"/>
      <c r="G276" s="199"/>
      <c r="H276" s="199"/>
      <c r="I276" s="199"/>
      <c r="J276" s="199"/>
      <c r="K276" s="200"/>
    </row>
    <row r="277" spans="2:11">
      <c r="B277" s="197">
        <v>344</v>
      </c>
      <c r="C277" s="198" t="s">
        <v>263</v>
      </c>
      <c r="D277" s="292" t="s">
        <v>336</v>
      </c>
      <c r="E277" s="199"/>
      <c r="F277" s="199"/>
      <c r="G277" s="199"/>
      <c r="H277" s="199"/>
      <c r="I277" s="199"/>
      <c r="J277" s="199"/>
      <c r="K277" s="200"/>
    </row>
    <row r="278" spans="2:11">
      <c r="B278" s="197">
        <v>345</v>
      </c>
      <c r="C278" s="198" t="s">
        <v>264</v>
      </c>
      <c r="D278" s="292" t="s">
        <v>336</v>
      </c>
      <c r="E278" s="199"/>
      <c r="F278" s="199"/>
      <c r="G278" s="199"/>
      <c r="H278" s="199"/>
      <c r="I278" s="199"/>
      <c r="J278" s="199"/>
      <c r="K278" s="200"/>
    </row>
    <row r="279" spans="2:11">
      <c r="B279" s="197">
        <v>355</v>
      </c>
      <c r="C279" s="198" t="s">
        <v>274</v>
      </c>
      <c r="D279" s="292" t="s">
        <v>336</v>
      </c>
      <c r="E279" s="199"/>
      <c r="F279" s="199"/>
      <c r="G279" s="199"/>
      <c r="H279" s="199"/>
      <c r="I279" s="199"/>
      <c r="J279" s="199"/>
      <c r="K279" s="200"/>
    </row>
    <row r="280" spans="2:11">
      <c r="B280" s="197">
        <v>396</v>
      </c>
      <c r="C280" s="198" t="s">
        <v>315</v>
      </c>
      <c r="D280" s="292" t="s">
        <v>481</v>
      </c>
      <c r="E280" s="199"/>
      <c r="F280" s="199"/>
      <c r="G280" s="199"/>
      <c r="H280" s="199"/>
      <c r="I280" s="199"/>
      <c r="J280" s="199"/>
      <c r="K280" s="200"/>
    </row>
    <row r="281" spans="2:11">
      <c r="B281" s="197">
        <v>386</v>
      </c>
      <c r="C281" s="198" t="s">
        <v>305</v>
      </c>
      <c r="D281" s="292" t="s">
        <v>480</v>
      </c>
      <c r="E281" s="199"/>
      <c r="F281" s="199"/>
      <c r="G281" s="199"/>
      <c r="H281" s="199"/>
      <c r="I281" s="199"/>
      <c r="J281" s="199"/>
      <c r="K281" s="200"/>
    </row>
    <row r="282" spans="2:11">
      <c r="B282" s="197">
        <v>387</v>
      </c>
      <c r="C282" s="198" t="s">
        <v>306</v>
      </c>
      <c r="D282" s="292" t="s">
        <v>489</v>
      </c>
      <c r="E282" s="199"/>
      <c r="F282" s="199"/>
      <c r="G282" s="199"/>
      <c r="H282" s="199"/>
      <c r="I282" s="199"/>
      <c r="J282" s="199"/>
      <c r="K282" s="200"/>
    </row>
    <row r="283" spans="2:11">
      <c r="B283" s="197">
        <v>388</v>
      </c>
      <c r="C283" s="198" t="s">
        <v>307</v>
      </c>
      <c r="D283" s="292" t="s">
        <v>495</v>
      </c>
      <c r="E283" s="199"/>
      <c r="F283" s="199"/>
      <c r="G283" s="199"/>
      <c r="H283" s="199"/>
      <c r="I283" s="199"/>
      <c r="J283" s="199"/>
      <c r="K283" s="200"/>
    </row>
    <row r="284" spans="2:11">
      <c r="B284" s="197">
        <v>392</v>
      </c>
      <c r="C284" s="198" t="s">
        <v>311</v>
      </c>
      <c r="D284" s="292" t="s">
        <v>440</v>
      </c>
      <c r="E284" s="199"/>
      <c r="F284" s="199"/>
      <c r="G284" s="199"/>
      <c r="H284" s="199"/>
      <c r="I284" s="199"/>
      <c r="J284" s="199"/>
      <c r="K284" s="200"/>
    </row>
    <row r="285" spans="2:11">
      <c r="B285" s="197">
        <v>382</v>
      </c>
      <c r="C285" s="198" t="s">
        <v>301</v>
      </c>
      <c r="D285" s="292" t="s">
        <v>441</v>
      </c>
      <c r="E285" s="199"/>
      <c r="F285" s="199"/>
      <c r="G285" s="199"/>
      <c r="H285" s="199"/>
      <c r="I285" s="199"/>
      <c r="J285" s="199"/>
      <c r="K285" s="200"/>
    </row>
    <row r="286" spans="2:11">
      <c r="B286" s="42">
        <v>194</v>
      </c>
      <c r="C286" s="21" t="s">
        <v>113</v>
      </c>
      <c r="D286" s="22" t="s">
        <v>587</v>
      </c>
      <c r="E286" s="323" t="s">
        <v>874</v>
      </c>
      <c r="F286" s="323"/>
      <c r="G286" s="389" t="s">
        <v>1027</v>
      </c>
      <c r="H286" s="340" t="s">
        <v>949</v>
      </c>
      <c r="I286" s="5"/>
      <c r="J286" s="5"/>
      <c r="K286" s="14"/>
    </row>
    <row r="287" spans="2:11">
      <c r="B287" s="42">
        <v>193</v>
      </c>
      <c r="C287" s="21" t="s">
        <v>112</v>
      </c>
      <c r="D287" s="22" t="s">
        <v>564</v>
      </c>
      <c r="E287" s="323" t="s">
        <v>874</v>
      </c>
      <c r="F287" s="323"/>
      <c r="G287" s="389" t="s">
        <v>1028</v>
      </c>
      <c r="H287" s="316" t="s">
        <v>949</v>
      </c>
      <c r="I287" s="5"/>
      <c r="J287" s="5"/>
      <c r="K287" s="14"/>
    </row>
    <row r="288" spans="2:11">
      <c r="B288" s="42">
        <v>184</v>
      </c>
      <c r="C288" s="21" t="s">
        <v>103</v>
      </c>
      <c r="D288" s="22" t="s">
        <v>586</v>
      </c>
      <c r="E288" s="323" t="s">
        <v>874</v>
      </c>
      <c r="F288" s="323"/>
      <c r="G288" s="389" t="s">
        <v>1025</v>
      </c>
      <c r="H288" s="316" t="s">
        <v>949</v>
      </c>
      <c r="I288" s="5"/>
      <c r="J288" s="5"/>
      <c r="K288" s="14"/>
    </row>
    <row r="289" spans="2:11">
      <c r="B289" s="42">
        <v>183</v>
      </c>
      <c r="C289" s="21" t="s">
        <v>102</v>
      </c>
      <c r="D289" s="22" t="s">
        <v>563</v>
      </c>
      <c r="E289" s="323" t="s">
        <v>874</v>
      </c>
      <c r="F289" s="323"/>
      <c r="G289" s="389" t="s">
        <v>1026</v>
      </c>
      <c r="H289" s="316" t="s">
        <v>949</v>
      </c>
      <c r="I289" s="5"/>
      <c r="J289" s="5"/>
      <c r="K289" s="14"/>
    </row>
    <row r="290" spans="2:11">
      <c r="B290" s="42">
        <v>182</v>
      </c>
      <c r="C290" s="21" t="s">
        <v>101</v>
      </c>
      <c r="D290" s="22" t="s">
        <v>542</v>
      </c>
      <c r="E290" s="323" t="s">
        <v>874</v>
      </c>
      <c r="F290" s="323"/>
      <c r="G290" s="389" t="s">
        <v>1023</v>
      </c>
      <c r="H290" s="316" t="s">
        <v>949</v>
      </c>
      <c r="I290" s="5"/>
      <c r="J290" s="5"/>
      <c r="K290" s="14"/>
    </row>
    <row r="291" spans="2:11">
      <c r="B291" s="42">
        <v>192</v>
      </c>
      <c r="C291" s="21" t="s">
        <v>111</v>
      </c>
      <c r="D291" s="22" t="s">
        <v>543</v>
      </c>
      <c r="E291" s="323" t="s">
        <v>874</v>
      </c>
      <c r="F291" s="323"/>
      <c r="G291" s="389" t="s">
        <v>1024</v>
      </c>
      <c r="H291" s="316" t="s">
        <v>949</v>
      </c>
      <c r="I291" s="5"/>
      <c r="J291" s="5"/>
      <c r="K291" s="14"/>
    </row>
    <row r="292" spans="2:11">
      <c r="B292" s="42">
        <v>214</v>
      </c>
      <c r="C292" s="21" t="s">
        <v>133</v>
      </c>
      <c r="D292" s="22" t="s">
        <v>589</v>
      </c>
      <c r="E292" s="323" t="s">
        <v>874</v>
      </c>
      <c r="F292" s="323"/>
      <c r="G292" s="389" t="s">
        <v>998</v>
      </c>
      <c r="H292" s="316" t="s">
        <v>949</v>
      </c>
      <c r="I292" s="5"/>
      <c r="J292" s="5"/>
      <c r="K292" s="14"/>
    </row>
    <row r="293" spans="2:11">
      <c r="B293" s="42">
        <v>213</v>
      </c>
      <c r="C293" s="21" t="s">
        <v>132</v>
      </c>
      <c r="D293" s="22" t="s">
        <v>566</v>
      </c>
      <c r="E293" s="323" t="s">
        <v>874</v>
      </c>
      <c r="F293" s="323"/>
      <c r="G293" s="389" t="s">
        <v>999</v>
      </c>
      <c r="H293" s="316" t="s">
        <v>949</v>
      </c>
      <c r="I293" s="5"/>
      <c r="J293" s="5"/>
      <c r="K293" s="14"/>
    </row>
    <row r="294" spans="2:11">
      <c r="B294" s="42">
        <v>204</v>
      </c>
      <c r="C294" s="21" t="s">
        <v>123</v>
      </c>
      <c r="D294" s="22" t="s">
        <v>588</v>
      </c>
      <c r="E294" s="323" t="s">
        <v>874</v>
      </c>
      <c r="F294" s="323"/>
      <c r="G294" s="389" t="s">
        <v>996</v>
      </c>
      <c r="H294" s="316" t="s">
        <v>949</v>
      </c>
      <c r="I294" s="5"/>
      <c r="J294" s="5"/>
      <c r="K294" s="14"/>
    </row>
    <row r="295" spans="2:11">
      <c r="B295" s="42">
        <v>203</v>
      </c>
      <c r="C295" s="21" t="s">
        <v>122</v>
      </c>
      <c r="D295" s="22" t="s">
        <v>565</v>
      </c>
      <c r="E295" s="323" t="s">
        <v>874</v>
      </c>
      <c r="F295" s="323"/>
      <c r="G295" s="389" t="s">
        <v>997</v>
      </c>
      <c r="H295" s="316" t="s">
        <v>949</v>
      </c>
      <c r="I295" s="5"/>
      <c r="J295" s="5"/>
      <c r="K295" s="14"/>
    </row>
    <row r="296" spans="2:11">
      <c r="B296" s="42">
        <v>176</v>
      </c>
      <c r="C296" s="21" t="s">
        <v>95</v>
      </c>
      <c r="D296" s="22" t="s">
        <v>617</v>
      </c>
      <c r="E296" s="323" t="s">
        <v>874</v>
      </c>
      <c r="F296" s="323"/>
      <c r="G296" s="389" t="s">
        <v>994</v>
      </c>
      <c r="H296" s="316" t="s">
        <v>949</v>
      </c>
      <c r="I296" s="5"/>
      <c r="J296" s="5"/>
      <c r="K296" s="14"/>
    </row>
    <row r="297" spans="2:11">
      <c r="B297" s="42">
        <v>175</v>
      </c>
      <c r="C297" s="21" t="s">
        <v>94</v>
      </c>
      <c r="D297" s="22" t="s">
        <v>604</v>
      </c>
      <c r="E297" s="323" t="s">
        <v>874</v>
      </c>
      <c r="F297" s="323"/>
      <c r="G297" s="389" t="s">
        <v>995</v>
      </c>
      <c r="H297" s="316" t="s">
        <v>949</v>
      </c>
      <c r="I297" s="5"/>
      <c r="J297" s="5"/>
      <c r="K297" s="14"/>
    </row>
    <row r="298" spans="2:11">
      <c r="B298" s="42">
        <v>114</v>
      </c>
      <c r="C298" s="21" t="s">
        <v>33</v>
      </c>
      <c r="D298" s="22" t="s">
        <v>585</v>
      </c>
      <c r="E298" s="323" t="s">
        <v>874</v>
      </c>
      <c r="F298" s="323"/>
      <c r="G298" s="389" t="s">
        <v>1006</v>
      </c>
      <c r="H298" s="316" t="s">
        <v>949</v>
      </c>
      <c r="I298" s="5"/>
      <c r="J298" s="5"/>
      <c r="K298" s="14"/>
    </row>
    <row r="299" spans="2:11">
      <c r="B299" s="42">
        <v>115</v>
      </c>
      <c r="C299" s="21" t="s">
        <v>34</v>
      </c>
      <c r="D299" s="22" t="s">
        <v>603</v>
      </c>
      <c r="E299" s="323" t="s">
        <v>874</v>
      </c>
      <c r="F299" s="323"/>
      <c r="G299" s="389" t="s">
        <v>1007</v>
      </c>
      <c r="H299" s="316" t="s">
        <v>949</v>
      </c>
      <c r="I299" s="5"/>
      <c r="J299" s="5"/>
      <c r="K299" s="14"/>
    </row>
    <row r="300" spans="2:11">
      <c r="B300" s="42">
        <v>122</v>
      </c>
      <c r="C300" s="21" t="s">
        <v>41</v>
      </c>
      <c r="D300" s="22" t="s">
        <v>540</v>
      </c>
      <c r="E300" s="323" t="s">
        <v>874</v>
      </c>
      <c r="F300" s="323"/>
      <c r="G300" s="389" t="s">
        <v>1029</v>
      </c>
      <c r="H300" s="316" t="s">
        <v>949</v>
      </c>
      <c r="I300" s="5"/>
      <c r="J300" s="5"/>
      <c r="K300" s="14"/>
    </row>
    <row r="301" spans="2:11">
      <c r="B301" s="42">
        <v>123</v>
      </c>
      <c r="C301" s="21" t="s">
        <v>42</v>
      </c>
      <c r="D301" s="22" t="s">
        <v>561</v>
      </c>
      <c r="E301" s="323" t="s">
        <v>874</v>
      </c>
      <c r="F301" s="323"/>
      <c r="G301" s="389" t="s">
        <v>1030</v>
      </c>
      <c r="H301" s="316" t="s">
        <v>949</v>
      </c>
      <c r="I301" s="5"/>
      <c r="J301" s="5"/>
      <c r="K301" s="14"/>
    </row>
    <row r="302" spans="2:11">
      <c r="B302" s="42">
        <v>112</v>
      </c>
      <c r="C302" s="21" t="s">
        <v>31</v>
      </c>
      <c r="D302" s="22" t="s">
        <v>539</v>
      </c>
      <c r="E302" s="323" t="s">
        <v>874</v>
      </c>
      <c r="F302" s="323"/>
      <c r="G302" s="389" t="s">
        <v>1000</v>
      </c>
      <c r="H302" s="316" t="s">
        <v>949</v>
      </c>
      <c r="I302" s="5"/>
      <c r="J302" s="5"/>
      <c r="K302" s="14"/>
    </row>
    <row r="303" spans="2:11">
      <c r="B303" s="42">
        <v>113</v>
      </c>
      <c r="C303" s="21" t="s">
        <v>32</v>
      </c>
      <c r="D303" s="22" t="s">
        <v>560</v>
      </c>
      <c r="E303" s="323" t="s">
        <v>874</v>
      </c>
      <c r="F303" s="323"/>
      <c r="G303" s="389" t="s">
        <v>1001</v>
      </c>
      <c r="H303" s="316" t="s">
        <v>949</v>
      </c>
      <c r="I303" s="5"/>
      <c r="J303" s="5"/>
      <c r="K303" s="14"/>
    </row>
    <row r="304" spans="2:11">
      <c r="B304" s="42">
        <v>141</v>
      </c>
      <c r="C304" s="21" t="s">
        <v>60</v>
      </c>
      <c r="D304" s="22" t="s">
        <v>526</v>
      </c>
      <c r="E304" s="323" t="s">
        <v>874</v>
      </c>
      <c r="F304" s="323"/>
      <c r="G304" s="389" t="s">
        <v>1002</v>
      </c>
      <c r="H304" s="316" t="s">
        <v>949</v>
      </c>
      <c r="I304" s="5"/>
      <c r="J304" s="5"/>
      <c r="K304" s="14"/>
    </row>
    <row r="305" spans="2:11">
      <c r="B305" s="42">
        <v>131</v>
      </c>
      <c r="C305" s="21" t="s">
        <v>50</v>
      </c>
      <c r="D305" s="22" t="s">
        <v>525</v>
      </c>
      <c r="E305" s="323" t="s">
        <v>874</v>
      </c>
      <c r="F305" s="323"/>
      <c r="G305" s="389" t="s">
        <v>1003</v>
      </c>
      <c r="H305" s="316" t="s">
        <v>949</v>
      </c>
      <c r="I305" s="5"/>
      <c r="J305" s="5"/>
      <c r="K305" s="14"/>
    </row>
    <row r="306" spans="2:11">
      <c r="B306" s="42">
        <v>121</v>
      </c>
      <c r="C306" s="21" t="s">
        <v>40</v>
      </c>
      <c r="D306" s="22" t="s">
        <v>524</v>
      </c>
      <c r="E306" s="323" t="s">
        <v>874</v>
      </c>
      <c r="F306" s="323"/>
      <c r="G306" s="389" t="s">
        <v>1004</v>
      </c>
      <c r="H306" s="316" t="s">
        <v>949</v>
      </c>
      <c r="I306" s="5"/>
      <c r="J306" s="5"/>
      <c r="K306" s="14"/>
    </row>
    <row r="307" spans="2:11">
      <c r="B307" s="42">
        <v>111</v>
      </c>
      <c r="C307" s="21" t="s">
        <v>30</v>
      </c>
      <c r="D307" s="22" t="s">
        <v>523</v>
      </c>
      <c r="E307" s="323" t="s">
        <v>874</v>
      </c>
      <c r="F307" s="323"/>
      <c r="G307" s="389" t="s">
        <v>1005</v>
      </c>
      <c r="H307" s="316" t="s">
        <v>949</v>
      </c>
      <c r="I307" s="5"/>
      <c r="J307" s="5"/>
      <c r="K307" s="14"/>
    </row>
    <row r="308" spans="2:11">
      <c r="B308" s="42">
        <v>132</v>
      </c>
      <c r="C308" s="21" t="s">
        <v>51</v>
      </c>
      <c r="D308" s="22" t="s">
        <v>541</v>
      </c>
      <c r="E308" s="323" t="s">
        <v>874</v>
      </c>
      <c r="F308" s="323"/>
      <c r="G308" s="389" t="s">
        <v>1008</v>
      </c>
      <c r="H308" s="316" t="s">
        <v>949</v>
      </c>
      <c r="I308" s="5"/>
      <c r="J308" s="5"/>
      <c r="K308" s="14"/>
    </row>
    <row r="309" spans="2:11">
      <c r="B309" s="42">
        <v>133</v>
      </c>
      <c r="C309" s="21" t="s">
        <v>52</v>
      </c>
      <c r="D309" s="22" t="s">
        <v>562</v>
      </c>
      <c r="E309" s="323" t="s">
        <v>874</v>
      </c>
      <c r="F309" s="323"/>
      <c r="G309" s="389" t="s">
        <v>1009</v>
      </c>
      <c r="H309" s="316" t="s">
        <v>949</v>
      </c>
      <c r="I309" s="5"/>
      <c r="J309" s="5"/>
      <c r="K309" s="14"/>
    </row>
    <row r="310" spans="2:11">
      <c r="B310" s="42">
        <v>124</v>
      </c>
      <c r="C310" s="21" t="s">
        <v>43</v>
      </c>
      <c r="D310" s="22" t="s">
        <v>465</v>
      </c>
      <c r="E310" s="323" t="s">
        <v>874</v>
      </c>
      <c r="F310" s="5"/>
      <c r="G310" s="320" t="s">
        <v>186</v>
      </c>
      <c r="H310" s="5"/>
      <c r="I310" s="5"/>
      <c r="J310" s="5"/>
      <c r="K310" s="14"/>
    </row>
    <row r="311" spans="2:11">
      <c r="B311" s="42">
        <v>125</v>
      </c>
      <c r="C311" s="21" t="s">
        <v>44</v>
      </c>
      <c r="D311" s="22" t="s">
        <v>456</v>
      </c>
      <c r="E311" s="323" t="s">
        <v>874</v>
      </c>
      <c r="F311" s="5"/>
      <c r="G311" s="320" t="s">
        <v>196</v>
      </c>
      <c r="H311" s="5"/>
      <c r="I311" s="5"/>
      <c r="J311" s="5"/>
      <c r="K311" s="14"/>
    </row>
    <row r="312" spans="2:11">
      <c r="B312" s="42">
        <v>162</v>
      </c>
      <c r="C312" s="21" t="s">
        <v>81</v>
      </c>
      <c r="D312" s="22" t="s">
        <v>433</v>
      </c>
      <c r="E312" s="5"/>
      <c r="F312" s="5"/>
      <c r="G312" s="5"/>
      <c r="H312" s="5"/>
      <c r="I312" s="5"/>
      <c r="J312" s="5"/>
      <c r="K312" s="14"/>
    </row>
    <row r="313" spans="2:11">
      <c r="B313" s="42">
        <v>161</v>
      </c>
      <c r="C313" s="21" t="s">
        <v>80</v>
      </c>
      <c r="D313" s="22" t="s">
        <v>327</v>
      </c>
      <c r="E313" s="323" t="s">
        <v>874</v>
      </c>
      <c r="F313" s="323"/>
      <c r="G313" s="332" t="s">
        <v>167</v>
      </c>
      <c r="H313" s="5"/>
      <c r="I313" s="5"/>
      <c r="J313" s="5"/>
      <c r="K313" s="14"/>
    </row>
    <row r="314" spans="2:11">
      <c r="B314" s="42">
        <v>164</v>
      </c>
      <c r="C314" s="21" t="s">
        <v>83</v>
      </c>
      <c r="D314" s="22" t="s">
        <v>458</v>
      </c>
      <c r="E314" s="5"/>
      <c r="F314" s="5"/>
      <c r="G314" s="5"/>
      <c r="H314" s="5"/>
      <c r="I314" s="5"/>
      <c r="J314" s="5"/>
      <c r="K314" s="14"/>
    </row>
    <row r="315" spans="2:11">
      <c r="B315" s="42">
        <v>163</v>
      </c>
      <c r="C315" s="21" t="s">
        <v>82</v>
      </c>
      <c r="D315" s="22" t="s">
        <v>448</v>
      </c>
      <c r="E315" s="323" t="s">
        <v>874</v>
      </c>
      <c r="F315" s="323"/>
      <c r="G315" s="320" t="s">
        <v>177</v>
      </c>
      <c r="H315" s="5"/>
      <c r="I315" s="5"/>
      <c r="J315" s="5"/>
      <c r="K315" s="14"/>
    </row>
    <row r="316" spans="2:11">
      <c r="B316" s="42">
        <v>181</v>
      </c>
      <c r="C316" s="21" t="s">
        <v>100</v>
      </c>
      <c r="D316" s="22" t="s">
        <v>432</v>
      </c>
      <c r="E316" s="5"/>
      <c r="F316" s="5"/>
      <c r="G316" s="5"/>
      <c r="H316" s="5"/>
      <c r="I316" s="5"/>
      <c r="J316" s="5"/>
      <c r="K316" s="14"/>
    </row>
    <row r="317" spans="2:11">
      <c r="B317" s="42">
        <v>191</v>
      </c>
      <c r="C317" s="21" t="s">
        <v>110</v>
      </c>
      <c r="D317" s="22" t="s">
        <v>432</v>
      </c>
      <c r="E317" s="5"/>
      <c r="F317" s="5"/>
      <c r="G317" s="5"/>
      <c r="H317" s="5"/>
      <c r="I317" s="5"/>
      <c r="J317" s="5"/>
      <c r="K317" s="14"/>
    </row>
    <row r="318" spans="2:11">
      <c r="B318" s="42">
        <v>201</v>
      </c>
      <c r="C318" s="21" t="s">
        <v>120</v>
      </c>
      <c r="D318" s="22" t="s">
        <v>432</v>
      </c>
      <c r="E318" s="5"/>
      <c r="F318" s="5"/>
      <c r="G318" s="5"/>
      <c r="H318" s="5"/>
      <c r="I318" s="5"/>
      <c r="J318" s="5"/>
      <c r="K318" s="14"/>
    </row>
    <row r="319" spans="2:11">
      <c r="B319" s="42">
        <v>211</v>
      </c>
      <c r="C319" s="21" t="s">
        <v>130</v>
      </c>
      <c r="D319" s="22" t="s">
        <v>432</v>
      </c>
      <c r="E319" s="5"/>
      <c r="F319" s="5"/>
      <c r="G319" s="5"/>
      <c r="H319" s="5"/>
      <c r="I319" s="5"/>
      <c r="J319" s="5"/>
      <c r="K319" s="14"/>
    </row>
    <row r="320" spans="2:11">
      <c r="B320" s="42">
        <v>185</v>
      </c>
      <c r="C320" s="21" t="s">
        <v>104</v>
      </c>
      <c r="D320" s="22" t="s">
        <v>432</v>
      </c>
      <c r="E320" s="5"/>
      <c r="F320" s="5"/>
      <c r="G320" s="5"/>
      <c r="H320" s="5"/>
      <c r="I320" s="5"/>
      <c r="J320" s="5"/>
      <c r="K320" s="14"/>
    </row>
    <row r="321" spans="2:11">
      <c r="B321" s="42">
        <v>195</v>
      </c>
      <c r="C321" s="21" t="s">
        <v>114</v>
      </c>
      <c r="D321" s="22" t="s">
        <v>432</v>
      </c>
      <c r="E321" s="5"/>
      <c r="F321" s="5"/>
      <c r="G321" s="5"/>
      <c r="H321" s="5"/>
      <c r="I321" s="5"/>
      <c r="J321" s="5"/>
      <c r="K321" s="14"/>
    </row>
    <row r="322" spans="2:11">
      <c r="B322" s="42">
        <v>205</v>
      </c>
      <c r="C322" s="21" t="s">
        <v>124</v>
      </c>
      <c r="D322" s="22" t="s">
        <v>432</v>
      </c>
      <c r="E322" s="5"/>
      <c r="F322" s="5"/>
      <c r="G322" s="5"/>
      <c r="H322" s="5"/>
      <c r="I322" s="5"/>
      <c r="J322" s="5"/>
      <c r="K322" s="14"/>
    </row>
    <row r="323" spans="2:11">
      <c r="B323" s="42">
        <v>215</v>
      </c>
      <c r="C323" s="21" t="s">
        <v>134</v>
      </c>
      <c r="D323" s="22" t="s">
        <v>432</v>
      </c>
      <c r="E323" s="5"/>
      <c r="F323" s="5"/>
      <c r="G323" s="5"/>
      <c r="H323" s="5"/>
      <c r="I323" s="5"/>
      <c r="J323" s="5"/>
      <c r="K323" s="14"/>
    </row>
    <row r="324" spans="2:11">
      <c r="B324" s="42">
        <v>186</v>
      </c>
      <c r="C324" s="21" t="s">
        <v>105</v>
      </c>
      <c r="D324" s="22" t="s">
        <v>432</v>
      </c>
      <c r="E324" s="5"/>
      <c r="F324" s="5"/>
      <c r="G324" s="5"/>
      <c r="H324" s="5"/>
      <c r="I324" s="5"/>
      <c r="J324" s="5"/>
      <c r="K324" s="14"/>
    </row>
    <row r="325" spans="2:11">
      <c r="B325" s="42">
        <v>196</v>
      </c>
      <c r="C325" s="21" t="s">
        <v>115</v>
      </c>
      <c r="D325" s="22" t="s">
        <v>432</v>
      </c>
      <c r="E325" s="5"/>
      <c r="F325" s="5"/>
      <c r="G325" s="5"/>
      <c r="H325" s="5"/>
      <c r="I325" s="5"/>
      <c r="J325" s="5"/>
      <c r="K325" s="14"/>
    </row>
    <row r="326" spans="2:11">
      <c r="B326" s="42">
        <v>151</v>
      </c>
      <c r="C326" s="21" t="s">
        <v>70</v>
      </c>
      <c r="D326" s="22" t="s">
        <v>326</v>
      </c>
      <c r="E326" s="5"/>
      <c r="F326" s="5"/>
      <c r="G326" s="5"/>
      <c r="H326" s="5"/>
      <c r="I326" s="5"/>
      <c r="J326" s="5"/>
      <c r="K326" s="14"/>
    </row>
    <row r="327" spans="2:11">
      <c r="B327" s="42">
        <v>172</v>
      </c>
      <c r="C327" s="21" t="s">
        <v>91</v>
      </c>
      <c r="D327" s="22" t="s">
        <v>434</v>
      </c>
      <c r="E327" s="5"/>
      <c r="F327" s="5"/>
      <c r="G327" s="5"/>
      <c r="H327" s="5"/>
      <c r="I327" s="5"/>
      <c r="J327" s="5"/>
      <c r="K327" s="14"/>
    </row>
    <row r="328" spans="2:11">
      <c r="B328" s="42">
        <v>171</v>
      </c>
      <c r="C328" s="21" t="s">
        <v>90</v>
      </c>
      <c r="D328" s="22" t="s">
        <v>328</v>
      </c>
      <c r="E328" s="5"/>
      <c r="F328" s="5"/>
      <c r="G328" s="5"/>
      <c r="H328" s="5"/>
      <c r="I328" s="5"/>
      <c r="J328" s="5"/>
      <c r="K328" s="14"/>
    </row>
    <row r="329" spans="2:11">
      <c r="B329" s="42">
        <v>142</v>
      </c>
      <c r="C329" s="21" t="s">
        <v>61</v>
      </c>
      <c r="D329" s="22" t="s">
        <v>329</v>
      </c>
      <c r="E329" s="5"/>
      <c r="F329" s="5"/>
      <c r="G329" s="5"/>
      <c r="H329" s="5"/>
      <c r="I329" s="5"/>
      <c r="J329" s="5"/>
      <c r="K329" s="14"/>
    </row>
    <row r="330" spans="2:11">
      <c r="B330" s="42">
        <v>152</v>
      </c>
      <c r="C330" s="21" t="s">
        <v>71</v>
      </c>
      <c r="D330" s="22" t="s">
        <v>329</v>
      </c>
      <c r="E330" s="5"/>
      <c r="F330" s="5"/>
      <c r="G330" s="5"/>
      <c r="H330" s="5"/>
      <c r="I330" s="5"/>
      <c r="J330" s="5"/>
      <c r="K330" s="14"/>
    </row>
    <row r="331" spans="2:11">
      <c r="B331" s="42">
        <v>143</v>
      </c>
      <c r="C331" s="21" t="s">
        <v>62</v>
      </c>
      <c r="D331" s="22" t="s">
        <v>329</v>
      </c>
      <c r="E331" s="5"/>
      <c r="F331" s="5"/>
      <c r="G331" s="5"/>
      <c r="H331" s="5"/>
      <c r="I331" s="5"/>
      <c r="J331" s="5"/>
      <c r="K331" s="14"/>
    </row>
    <row r="332" spans="2:11">
      <c r="B332" s="42">
        <v>153</v>
      </c>
      <c r="C332" s="21" t="s">
        <v>72</v>
      </c>
      <c r="D332" s="22" t="s">
        <v>329</v>
      </c>
      <c r="E332" s="5"/>
      <c r="F332" s="5"/>
      <c r="G332" s="5"/>
      <c r="H332" s="5"/>
      <c r="I332" s="5"/>
      <c r="J332" s="5"/>
      <c r="K332" s="14"/>
    </row>
    <row r="333" spans="2:11">
      <c r="B333" s="42">
        <v>144</v>
      </c>
      <c r="C333" s="21" t="s">
        <v>63</v>
      </c>
      <c r="D333" s="22" t="s">
        <v>329</v>
      </c>
      <c r="E333" s="5"/>
      <c r="F333" s="5"/>
      <c r="G333" s="5"/>
      <c r="H333" s="5"/>
      <c r="I333" s="5"/>
      <c r="J333" s="5"/>
      <c r="K333" s="14"/>
    </row>
    <row r="334" spans="2:11">
      <c r="B334" s="42">
        <v>154</v>
      </c>
      <c r="C334" s="21" t="s">
        <v>73</v>
      </c>
      <c r="D334" s="22" t="s">
        <v>329</v>
      </c>
      <c r="E334" s="5"/>
      <c r="F334" s="5"/>
      <c r="G334" s="5"/>
      <c r="H334" s="5"/>
      <c r="I334" s="5"/>
      <c r="J334" s="5"/>
      <c r="K334" s="14"/>
    </row>
    <row r="335" spans="2:11">
      <c r="B335" s="42">
        <v>145</v>
      </c>
      <c r="C335" s="21" t="s">
        <v>64</v>
      </c>
      <c r="D335" s="22" t="s">
        <v>329</v>
      </c>
      <c r="E335" s="5"/>
      <c r="F335" s="5"/>
      <c r="G335" s="5"/>
      <c r="H335" s="5"/>
      <c r="I335" s="5"/>
      <c r="J335" s="5"/>
      <c r="K335" s="14"/>
    </row>
    <row r="336" spans="2:11">
      <c r="B336" s="42">
        <v>155</v>
      </c>
      <c r="C336" s="21" t="s">
        <v>74</v>
      </c>
      <c r="D336" s="22" t="s">
        <v>329</v>
      </c>
      <c r="E336" s="5"/>
      <c r="F336" s="5"/>
      <c r="G336" s="5"/>
      <c r="H336" s="5"/>
      <c r="I336" s="5"/>
      <c r="J336" s="5"/>
      <c r="K336" s="14"/>
    </row>
    <row r="337" spans="2:11">
      <c r="B337" s="42">
        <v>165</v>
      </c>
      <c r="C337" s="21" t="s">
        <v>84</v>
      </c>
      <c r="D337" s="22" t="s">
        <v>329</v>
      </c>
      <c r="E337" s="5"/>
      <c r="F337" s="5"/>
      <c r="G337" s="5"/>
      <c r="H337" s="5"/>
      <c r="I337" s="5"/>
      <c r="J337" s="5"/>
      <c r="K337" s="14"/>
    </row>
    <row r="338" spans="2:11">
      <c r="B338" s="42">
        <v>146</v>
      </c>
      <c r="C338" s="21" t="s">
        <v>65</v>
      </c>
      <c r="D338" s="22" t="s">
        <v>329</v>
      </c>
      <c r="E338" s="5"/>
      <c r="F338" s="5"/>
      <c r="G338" s="5"/>
      <c r="H338" s="5"/>
      <c r="I338" s="5"/>
      <c r="J338" s="5"/>
      <c r="K338" s="14"/>
    </row>
    <row r="339" spans="2:11">
      <c r="B339" s="42">
        <v>156</v>
      </c>
      <c r="C339" s="21" t="s">
        <v>75</v>
      </c>
      <c r="D339" s="22" t="s">
        <v>329</v>
      </c>
      <c r="E339" s="5"/>
      <c r="F339" s="5"/>
      <c r="G339" s="5"/>
      <c r="H339" s="5"/>
      <c r="I339" s="5"/>
      <c r="J339" s="5"/>
      <c r="K339" s="14"/>
    </row>
    <row r="340" spans="2:11">
      <c r="B340" s="42">
        <v>166</v>
      </c>
      <c r="C340" s="21" t="s">
        <v>85</v>
      </c>
      <c r="D340" s="22" t="s">
        <v>329</v>
      </c>
      <c r="E340" s="5"/>
      <c r="F340" s="5"/>
      <c r="G340" s="5"/>
      <c r="H340" s="5"/>
      <c r="I340" s="5"/>
      <c r="J340" s="5"/>
      <c r="K340" s="14"/>
    </row>
    <row r="341" spans="2:11">
      <c r="B341" s="42">
        <v>212</v>
      </c>
      <c r="C341" s="21" t="s">
        <v>131</v>
      </c>
      <c r="D341" s="22" t="s">
        <v>436</v>
      </c>
      <c r="E341" s="5"/>
      <c r="F341" s="5"/>
      <c r="G341" s="5"/>
      <c r="H341" s="5"/>
      <c r="I341" s="5"/>
      <c r="J341" s="5"/>
      <c r="K341" s="14"/>
    </row>
    <row r="342" spans="2:11">
      <c r="B342" s="42">
        <v>202</v>
      </c>
      <c r="C342" s="21" t="s">
        <v>121</v>
      </c>
      <c r="D342" s="327" t="s">
        <v>435</v>
      </c>
      <c r="E342" s="323" t="s">
        <v>874</v>
      </c>
      <c r="F342" s="323"/>
      <c r="G342" s="387" t="s">
        <v>107</v>
      </c>
      <c r="H342" s="5"/>
      <c r="I342" s="5"/>
      <c r="J342" s="5"/>
      <c r="K342" s="14"/>
    </row>
    <row r="343" spans="2:11">
      <c r="B343" s="42">
        <v>174</v>
      </c>
      <c r="C343" s="21" t="s">
        <v>93</v>
      </c>
      <c r="D343" s="327" t="s">
        <v>459</v>
      </c>
      <c r="E343" s="323" t="s">
        <v>874</v>
      </c>
      <c r="F343" s="5"/>
      <c r="G343" s="387" t="s">
        <v>207</v>
      </c>
      <c r="H343" s="5"/>
      <c r="I343" s="5"/>
      <c r="J343" s="5"/>
      <c r="K343" s="14"/>
    </row>
    <row r="344" spans="2:11">
      <c r="B344" s="42">
        <v>173</v>
      </c>
      <c r="C344" s="21" t="s">
        <v>92</v>
      </c>
      <c r="D344" s="327" t="s">
        <v>449</v>
      </c>
      <c r="E344" s="323" t="s">
        <v>874</v>
      </c>
      <c r="F344" s="5"/>
      <c r="G344" s="387" t="s">
        <v>217</v>
      </c>
      <c r="H344" s="5"/>
      <c r="I344" s="5"/>
      <c r="J344" s="5"/>
      <c r="K344" s="14"/>
    </row>
    <row r="345" spans="2:11">
      <c r="B345" s="42">
        <v>135</v>
      </c>
      <c r="C345" s="21" t="s">
        <v>54</v>
      </c>
      <c r="D345" s="327" t="s">
        <v>457</v>
      </c>
      <c r="E345" s="323" t="s">
        <v>874</v>
      </c>
      <c r="F345" s="323"/>
      <c r="G345" s="323" t="s">
        <v>317</v>
      </c>
      <c r="H345" s="5"/>
      <c r="I345" s="5"/>
      <c r="J345" s="5"/>
      <c r="K345" s="14"/>
    </row>
    <row r="346" spans="2:11">
      <c r="B346" s="42">
        <v>134</v>
      </c>
      <c r="C346" s="21" t="s">
        <v>53</v>
      </c>
      <c r="D346" s="327" t="s">
        <v>466</v>
      </c>
      <c r="E346" s="323" t="s">
        <v>874</v>
      </c>
      <c r="F346" s="323"/>
      <c r="G346" s="387" t="s">
        <v>1036</v>
      </c>
      <c r="H346" s="5"/>
      <c r="I346" s="5"/>
      <c r="J346" s="5"/>
      <c r="K346" s="14"/>
    </row>
    <row r="347" spans="2:11">
      <c r="B347" s="213">
        <v>332</v>
      </c>
      <c r="C347" s="214" t="s">
        <v>251</v>
      </c>
      <c r="D347" s="215" t="s">
        <v>549</v>
      </c>
      <c r="E347" s="199"/>
      <c r="F347" s="216"/>
      <c r="G347" s="216"/>
      <c r="H347" s="199"/>
      <c r="I347" s="216"/>
      <c r="J347" s="216"/>
      <c r="K347" s="217"/>
    </row>
    <row r="348" spans="2:11">
      <c r="B348" s="213">
        <v>331</v>
      </c>
      <c r="C348" s="214" t="s">
        <v>250</v>
      </c>
      <c r="D348" s="215" t="s">
        <v>529</v>
      </c>
      <c r="E348" s="199"/>
      <c r="F348" s="216"/>
      <c r="G348" s="216"/>
      <c r="H348" s="199"/>
      <c r="I348" s="216"/>
      <c r="J348" s="216"/>
      <c r="K348" s="217"/>
    </row>
    <row r="349" spans="2:11">
      <c r="B349" s="213">
        <v>322</v>
      </c>
      <c r="C349" s="214" t="s">
        <v>241</v>
      </c>
      <c r="D349" s="215" t="s">
        <v>548</v>
      </c>
      <c r="E349" s="199"/>
      <c r="F349" s="216"/>
      <c r="G349" s="216"/>
      <c r="H349" s="199"/>
      <c r="I349" s="216"/>
      <c r="J349" s="216"/>
      <c r="K349" s="217"/>
    </row>
    <row r="350" spans="2:11">
      <c r="B350" s="213">
        <v>321</v>
      </c>
      <c r="C350" s="214" t="s">
        <v>240</v>
      </c>
      <c r="D350" s="215" t="s">
        <v>528</v>
      </c>
      <c r="E350" s="199"/>
      <c r="F350" s="216"/>
      <c r="G350" s="216"/>
      <c r="H350" s="199"/>
      <c r="I350" s="216"/>
      <c r="J350" s="216"/>
      <c r="K350" s="217"/>
    </row>
    <row r="351" spans="2:11">
      <c r="B351" s="213">
        <v>312</v>
      </c>
      <c r="C351" s="214" t="s">
        <v>231</v>
      </c>
      <c r="D351" s="215" t="s">
        <v>547</v>
      </c>
      <c r="E351" s="199"/>
      <c r="F351" s="216"/>
      <c r="G351" s="216"/>
      <c r="H351" s="199"/>
      <c r="I351" s="216"/>
      <c r="J351" s="216"/>
      <c r="K351" s="217"/>
    </row>
    <row r="352" spans="2:11">
      <c r="B352" s="213">
        <v>311</v>
      </c>
      <c r="C352" s="214" t="s">
        <v>230</v>
      </c>
      <c r="D352" s="215" t="s">
        <v>527</v>
      </c>
      <c r="E352" s="199"/>
      <c r="F352" s="216"/>
      <c r="G352" s="216"/>
      <c r="H352" s="199"/>
      <c r="I352" s="216"/>
      <c r="J352" s="216"/>
      <c r="K352" s="217"/>
    </row>
    <row r="353" spans="2:11">
      <c r="B353" s="213">
        <v>313</v>
      </c>
      <c r="C353" s="214" t="s">
        <v>232</v>
      </c>
      <c r="D353" s="215" t="s">
        <v>572</v>
      </c>
      <c r="E353" s="199"/>
      <c r="F353" s="216"/>
      <c r="G353" s="216"/>
      <c r="H353" s="199"/>
      <c r="I353" s="216"/>
      <c r="J353" s="216"/>
      <c r="K353" s="217"/>
    </row>
    <row r="354" spans="2:11">
      <c r="B354" s="213">
        <v>323</v>
      </c>
      <c r="C354" s="214" t="s">
        <v>242</v>
      </c>
      <c r="D354" s="215" t="s">
        <v>573</v>
      </c>
      <c r="E354" s="199"/>
      <c r="F354" s="216"/>
      <c r="G354" s="216"/>
      <c r="H354" s="199"/>
      <c r="I354" s="216"/>
      <c r="J354" s="216"/>
      <c r="K354" s="217"/>
    </row>
    <row r="355" spans="2:11">
      <c r="B355" s="213">
        <v>303</v>
      </c>
      <c r="C355" s="214" t="s">
        <v>222</v>
      </c>
      <c r="D355" s="215" t="s">
        <v>571</v>
      </c>
      <c r="E355" s="199"/>
      <c r="F355" s="216"/>
      <c r="G355" s="216"/>
      <c r="H355" s="199"/>
      <c r="I355" s="216"/>
      <c r="J355" s="216"/>
      <c r="K355" s="217"/>
    </row>
    <row r="356" spans="2:11">
      <c r="B356" s="213">
        <v>293</v>
      </c>
      <c r="C356" s="214" t="s">
        <v>212</v>
      </c>
      <c r="D356" s="215" t="s">
        <v>570</v>
      </c>
      <c r="E356" s="199"/>
      <c r="F356" s="216"/>
      <c r="G356" s="216"/>
      <c r="H356" s="199"/>
      <c r="I356" s="216"/>
      <c r="J356" s="216"/>
      <c r="K356" s="217"/>
    </row>
    <row r="357" spans="2:11">
      <c r="B357" s="213">
        <v>324</v>
      </c>
      <c r="C357" s="214" t="s">
        <v>243</v>
      </c>
      <c r="D357" s="215" t="s">
        <v>594</v>
      </c>
      <c r="E357" s="199"/>
      <c r="F357" s="216"/>
      <c r="G357" s="216"/>
      <c r="H357" s="199"/>
      <c r="I357" s="216"/>
      <c r="J357" s="216"/>
      <c r="K357" s="217"/>
    </row>
    <row r="358" spans="2:11">
      <c r="B358" s="213">
        <v>314</v>
      </c>
      <c r="C358" s="214" t="s">
        <v>233</v>
      </c>
      <c r="D358" s="215" t="s">
        <v>593</v>
      </c>
      <c r="E358" s="199"/>
      <c r="F358" s="216"/>
      <c r="G358" s="216"/>
      <c r="H358" s="199"/>
      <c r="I358" s="216"/>
      <c r="J358" s="216"/>
      <c r="K358" s="217"/>
    </row>
    <row r="359" spans="2:11">
      <c r="B359" s="213">
        <v>244</v>
      </c>
      <c r="C359" s="214" t="s">
        <v>163</v>
      </c>
      <c r="D359" s="215" t="s">
        <v>592</v>
      </c>
      <c r="E359" s="199"/>
      <c r="F359" s="216"/>
      <c r="G359" s="216"/>
      <c r="H359" s="199"/>
      <c r="I359" s="216"/>
      <c r="J359" s="216"/>
      <c r="K359" s="217"/>
    </row>
    <row r="360" spans="2:11">
      <c r="B360" s="213">
        <v>245</v>
      </c>
      <c r="C360" s="214" t="s">
        <v>164</v>
      </c>
      <c r="D360" s="215" t="s">
        <v>607</v>
      </c>
      <c r="E360" s="199"/>
      <c r="F360" s="216"/>
      <c r="G360" s="216"/>
      <c r="H360" s="199"/>
      <c r="I360" s="216"/>
      <c r="J360" s="216"/>
      <c r="K360" s="217"/>
    </row>
    <row r="361" spans="2:11">
      <c r="B361" s="213">
        <v>234</v>
      </c>
      <c r="C361" s="214" t="s">
        <v>153</v>
      </c>
      <c r="D361" s="215" t="s">
        <v>591</v>
      </c>
      <c r="E361" s="199"/>
      <c r="F361" s="216"/>
      <c r="G361" s="216"/>
      <c r="H361" s="199"/>
      <c r="I361" s="216"/>
      <c r="J361" s="216"/>
      <c r="K361" s="217"/>
    </row>
    <row r="362" spans="2:11">
      <c r="B362" s="213">
        <v>235</v>
      </c>
      <c r="C362" s="214" t="s">
        <v>154</v>
      </c>
      <c r="D362" s="215" t="s">
        <v>606</v>
      </c>
      <c r="E362" s="199"/>
      <c r="F362" s="216"/>
      <c r="G362" s="216"/>
      <c r="H362" s="199"/>
      <c r="I362" s="216"/>
      <c r="J362" s="216"/>
      <c r="K362" s="217"/>
    </row>
    <row r="363" spans="2:11">
      <c r="B363" s="213">
        <v>224</v>
      </c>
      <c r="C363" s="214" t="s">
        <v>143</v>
      </c>
      <c r="D363" s="215" t="s">
        <v>590</v>
      </c>
      <c r="E363" s="199"/>
      <c r="F363" s="216"/>
      <c r="G363" s="216"/>
      <c r="H363" s="199"/>
      <c r="I363" s="216"/>
      <c r="J363" s="216"/>
      <c r="K363" s="217"/>
    </row>
    <row r="364" spans="2:11">
      <c r="B364" s="213">
        <v>225</v>
      </c>
      <c r="C364" s="214" t="s">
        <v>144</v>
      </c>
      <c r="D364" s="215" t="s">
        <v>605</v>
      </c>
      <c r="E364" s="199"/>
      <c r="F364" s="216"/>
      <c r="G364" s="216"/>
      <c r="H364" s="199"/>
      <c r="I364" s="216"/>
      <c r="J364" s="216"/>
      <c r="K364" s="217"/>
    </row>
    <row r="365" spans="2:11">
      <c r="B365" s="213">
        <v>252</v>
      </c>
      <c r="C365" s="214" t="s">
        <v>171</v>
      </c>
      <c r="D365" s="215" t="s">
        <v>546</v>
      </c>
      <c r="E365" s="199"/>
      <c r="F365" s="216"/>
      <c r="G365" s="216"/>
      <c r="H365" s="199"/>
      <c r="I365" s="216"/>
      <c r="J365" s="216"/>
      <c r="K365" s="217"/>
    </row>
    <row r="366" spans="2:11">
      <c r="B366" s="213">
        <v>253</v>
      </c>
      <c r="C366" s="214" t="s">
        <v>172</v>
      </c>
      <c r="D366" s="215" t="s">
        <v>569</v>
      </c>
      <c r="E366" s="199"/>
      <c r="F366" s="216"/>
      <c r="G366" s="216"/>
      <c r="H366" s="199"/>
      <c r="I366" s="216"/>
      <c r="J366" s="216"/>
      <c r="K366" s="217"/>
    </row>
    <row r="367" spans="2:11">
      <c r="B367" s="213">
        <v>242</v>
      </c>
      <c r="C367" s="214" t="s">
        <v>161</v>
      </c>
      <c r="D367" s="215" t="s">
        <v>545</v>
      </c>
      <c r="E367" s="199"/>
      <c r="F367" s="216"/>
      <c r="G367" s="216"/>
      <c r="H367" s="199"/>
      <c r="I367" s="216"/>
      <c r="J367" s="216"/>
      <c r="K367" s="217"/>
    </row>
    <row r="368" spans="2:11">
      <c r="B368" s="213">
        <v>243</v>
      </c>
      <c r="C368" s="214" t="s">
        <v>162</v>
      </c>
      <c r="D368" s="215" t="s">
        <v>568</v>
      </c>
      <c r="E368" s="199"/>
      <c r="F368" s="216"/>
      <c r="G368" s="216"/>
      <c r="H368" s="199"/>
      <c r="I368" s="216"/>
      <c r="J368" s="216"/>
      <c r="K368" s="217"/>
    </row>
    <row r="369" spans="2:11">
      <c r="B369" s="213">
        <v>222</v>
      </c>
      <c r="C369" s="214" t="s">
        <v>141</v>
      </c>
      <c r="D369" s="215" t="s">
        <v>544</v>
      </c>
      <c r="E369" s="199"/>
      <c r="F369" s="216"/>
      <c r="G369" s="216"/>
      <c r="H369" s="199"/>
      <c r="I369" s="216"/>
      <c r="J369" s="216"/>
      <c r="K369" s="217"/>
    </row>
    <row r="370" spans="2:11">
      <c r="B370" s="213">
        <v>223</v>
      </c>
      <c r="C370" s="214" t="s">
        <v>142</v>
      </c>
      <c r="D370" s="215" t="s">
        <v>567</v>
      </c>
      <c r="E370" s="199"/>
      <c r="F370" s="216"/>
      <c r="G370" s="216"/>
      <c r="H370" s="199"/>
      <c r="I370" s="216"/>
      <c r="J370" s="216"/>
      <c r="K370" s="217"/>
    </row>
    <row r="371" spans="2:11">
      <c r="B371" s="213">
        <v>254</v>
      </c>
      <c r="C371" s="214" t="s">
        <v>173</v>
      </c>
      <c r="D371" s="215" t="s">
        <v>460</v>
      </c>
      <c r="E371" s="199"/>
      <c r="F371" s="216"/>
      <c r="G371" s="216"/>
      <c r="H371" s="199"/>
      <c r="I371" s="216"/>
      <c r="J371" s="216"/>
      <c r="K371" s="217"/>
    </row>
    <row r="372" spans="2:11">
      <c r="B372" s="213">
        <v>255</v>
      </c>
      <c r="C372" s="214" t="s">
        <v>174</v>
      </c>
      <c r="D372" s="215" t="s">
        <v>467</v>
      </c>
      <c r="E372" s="199"/>
      <c r="F372" s="216"/>
      <c r="G372" s="216"/>
      <c r="H372" s="199"/>
      <c r="I372" s="216"/>
      <c r="J372" s="216"/>
      <c r="K372" s="217"/>
    </row>
    <row r="373" spans="2:11">
      <c r="B373" s="213">
        <v>275</v>
      </c>
      <c r="C373" s="214" t="s">
        <v>194</v>
      </c>
      <c r="D373" s="215" t="s">
        <v>468</v>
      </c>
      <c r="E373" s="199"/>
      <c r="F373" s="216"/>
      <c r="G373" s="216"/>
      <c r="H373" s="199"/>
      <c r="I373" s="216"/>
      <c r="J373" s="216"/>
      <c r="K373" s="217"/>
    </row>
    <row r="374" spans="2:11">
      <c r="B374" s="213">
        <v>274</v>
      </c>
      <c r="C374" s="214" t="s">
        <v>193</v>
      </c>
      <c r="D374" s="215" t="s">
        <v>461</v>
      </c>
      <c r="E374" s="199"/>
      <c r="F374" s="216"/>
      <c r="G374" s="216"/>
      <c r="H374" s="199"/>
      <c r="I374" s="216"/>
      <c r="J374" s="216"/>
      <c r="K374" s="217"/>
    </row>
    <row r="375" spans="2:11">
      <c r="B375" s="213">
        <v>272</v>
      </c>
      <c r="C375" s="214" t="s">
        <v>191</v>
      </c>
      <c r="D375" s="215" t="s">
        <v>438</v>
      </c>
      <c r="E375" s="199"/>
      <c r="F375" s="216"/>
      <c r="G375" s="216"/>
      <c r="H375" s="199"/>
      <c r="I375" s="216"/>
      <c r="J375" s="216"/>
      <c r="K375" s="217"/>
    </row>
    <row r="376" spans="2:11">
      <c r="B376" s="213">
        <v>273</v>
      </c>
      <c r="C376" s="214" t="s">
        <v>192</v>
      </c>
      <c r="D376" s="215" t="s">
        <v>451</v>
      </c>
      <c r="E376" s="199"/>
      <c r="F376" s="216"/>
      <c r="G376" s="216"/>
      <c r="H376" s="199"/>
      <c r="I376" s="216"/>
      <c r="J376" s="216"/>
      <c r="K376" s="217"/>
    </row>
    <row r="377" spans="2:11">
      <c r="B377" s="213">
        <v>291</v>
      </c>
      <c r="C377" s="214" t="s">
        <v>210</v>
      </c>
      <c r="D377" s="215" t="s">
        <v>330</v>
      </c>
      <c r="E377" s="199"/>
      <c r="F377" s="216"/>
      <c r="G377" s="216"/>
      <c r="H377" s="199"/>
      <c r="I377" s="216"/>
      <c r="J377" s="216"/>
      <c r="K377" s="217"/>
    </row>
    <row r="378" spans="2:11">
      <c r="B378" s="213">
        <v>292</v>
      </c>
      <c r="C378" s="214" t="s">
        <v>211</v>
      </c>
      <c r="D378" s="215" t="s">
        <v>330</v>
      </c>
      <c r="E378" s="199"/>
      <c r="F378" s="216"/>
      <c r="G378" s="216"/>
      <c r="H378" s="199"/>
      <c r="I378" s="216"/>
      <c r="J378" s="216"/>
      <c r="K378" s="217"/>
    </row>
    <row r="379" spans="2:11">
      <c r="B379" s="213">
        <v>295</v>
      </c>
      <c r="C379" s="214" t="s">
        <v>214</v>
      </c>
      <c r="D379" s="215" t="s">
        <v>330</v>
      </c>
      <c r="E379" s="199"/>
      <c r="F379" s="216"/>
      <c r="G379" s="216"/>
      <c r="H379" s="199"/>
      <c r="I379" s="216"/>
      <c r="J379" s="216"/>
      <c r="K379" s="217"/>
    </row>
    <row r="380" spans="2:11">
      <c r="B380" s="213">
        <v>305</v>
      </c>
      <c r="C380" s="214" t="s">
        <v>224</v>
      </c>
      <c r="D380" s="215" t="s">
        <v>330</v>
      </c>
      <c r="E380" s="199"/>
      <c r="F380" s="216"/>
      <c r="G380" s="216"/>
      <c r="H380" s="199"/>
      <c r="I380" s="216"/>
      <c r="J380" s="216"/>
      <c r="K380" s="217"/>
    </row>
    <row r="381" spans="2:11">
      <c r="B381" s="213">
        <v>315</v>
      </c>
      <c r="C381" s="214" t="s">
        <v>234</v>
      </c>
      <c r="D381" s="215" t="s">
        <v>330</v>
      </c>
      <c r="E381" s="199"/>
      <c r="F381" s="216"/>
      <c r="G381" s="216"/>
      <c r="H381" s="199"/>
      <c r="I381" s="216"/>
      <c r="J381" s="216"/>
      <c r="K381" s="217"/>
    </row>
    <row r="382" spans="2:11">
      <c r="B382" s="213">
        <v>325</v>
      </c>
      <c r="C382" s="214" t="s">
        <v>244</v>
      </c>
      <c r="D382" s="215" t="s">
        <v>330</v>
      </c>
      <c r="E382" s="199"/>
      <c r="F382" s="216"/>
      <c r="G382" s="216"/>
      <c r="H382" s="199"/>
      <c r="I382" s="216"/>
      <c r="J382" s="216"/>
      <c r="K382" s="217"/>
    </row>
    <row r="383" spans="2:11">
      <c r="B383" s="213">
        <v>261</v>
      </c>
      <c r="C383" s="214" t="s">
        <v>180</v>
      </c>
      <c r="D383" s="215" t="s">
        <v>331</v>
      </c>
      <c r="E383" s="199"/>
      <c r="F383" s="216"/>
      <c r="G383" s="216"/>
      <c r="H383" s="199"/>
      <c r="I383" s="216"/>
      <c r="J383" s="216"/>
      <c r="K383" s="217"/>
    </row>
    <row r="384" spans="2:11">
      <c r="B384" s="213">
        <v>281</v>
      </c>
      <c r="C384" s="214" t="s">
        <v>200</v>
      </c>
      <c r="D384" s="215" t="s">
        <v>333</v>
      </c>
      <c r="E384" s="199"/>
      <c r="F384" s="216"/>
      <c r="G384" s="216"/>
      <c r="H384" s="199"/>
      <c r="I384" s="216"/>
      <c r="J384" s="216"/>
      <c r="K384" s="217"/>
    </row>
    <row r="385" spans="2:11">
      <c r="B385" s="213">
        <v>271</v>
      </c>
      <c r="C385" s="214" t="s">
        <v>190</v>
      </c>
      <c r="D385" s="215" t="s">
        <v>332</v>
      </c>
      <c r="E385" s="199"/>
      <c r="F385" s="216"/>
      <c r="G385" s="216"/>
      <c r="H385" s="199"/>
      <c r="I385" s="216"/>
      <c r="J385" s="216"/>
      <c r="K385" s="217"/>
    </row>
    <row r="386" spans="2:11">
      <c r="B386" s="213">
        <v>221</v>
      </c>
      <c r="C386" s="214" t="s">
        <v>140</v>
      </c>
      <c r="D386" s="215" t="s">
        <v>334</v>
      </c>
      <c r="E386" s="199"/>
      <c r="F386" s="216"/>
      <c r="G386" s="216"/>
      <c r="H386" s="199"/>
      <c r="I386" s="216"/>
      <c r="J386" s="216"/>
      <c r="K386" s="217"/>
    </row>
    <row r="387" spans="2:11">
      <c r="B387" s="213">
        <v>231</v>
      </c>
      <c r="C387" s="214" t="s">
        <v>150</v>
      </c>
      <c r="D387" s="215" t="s">
        <v>334</v>
      </c>
      <c r="E387" s="199"/>
      <c r="F387" s="216"/>
      <c r="G387" s="216"/>
      <c r="H387" s="199"/>
      <c r="I387" s="216"/>
      <c r="J387" s="216"/>
      <c r="K387" s="217"/>
    </row>
    <row r="388" spans="2:11">
      <c r="B388" s="213">
        <v>241</v>
      </c>
      <c r="C388" s="214" t="s">
        <v>160</v>
      </c>
      <c r="D388" s="215" t="s">
        <v>334</v>
      </c>
      <c r="E388" s="199"/>
      <c r="F388" s="216"/>
      <c r="G388" s="216"/>
      <c r="H388" s="199"/>
      <c r="I388" s="216"/>
      <c r="J388" s="216"/>
      <c r="K388" s="217"/>
    </row>
    <row r="389" spans="2:11">
      <c r="B389" s="213">
        <v>251</v>
      </c>
      <c r="C389" s="214" t="s">
        <v>170</v>
      </c>
      <c r="D389" s="215" t="s">
        <v>334</v>
      </c>
      <c r="E389" s="199"/>
      <c r="F389" s="216"/>
      <c r="G389" s="216"/>
      <c r="H389" s="199"/>
      <c r="I389" s="216"/>
      <c r="J389" s="216"/>
      <c r="K389" s="217"/>
    </row>
    <row r="390" spans="2:11">
      <c r="B390" s="213">
        <v>262</v>
      </c>
      <c r="C390" s="214" t="s">
        <v>181</v>
      </c>
      <c r="D390" s="215" t="s">
        <v>334</v>
      </c>
      <c r="E390" s="199"/>
      <c r="F390" s="216"/>
      <c r="G390" s="216"/>
      <c r="H390" s="199"/>
      <c r="I390" s="216"/>
      <c r="J390" s="216"/>
      <c r="K390" s="217"/>
    </row>
    <row r="391" spans="2:11">
      <c r="B391" s="213">
        <v>263</v>
      </c>
      <c r="C391" s="214" t="s">
        <v>182</v>
      </c>
      <c r="D391" s="215" t="s">
        <v>334</v>
      </c>
      <c r="E391" s="199"/>
      <c r="F391" s="216"/>
      <c r="G391" s="216"/>
      <c r="H391" s="199"/>
      <c r="I391" s="216"/>
      <c r="J391" s="216"/>
      <c r="K391" s="217"/>
    </row>
    <row r="392" spans="2:11">
      <c r="B392" s="213">
        <v>264</v>
      </c>
      <c r="C392" s="214" t="s">
        <v>183</v>
      </c>
      <c r="D392" s="215" t="s">
        <v>334</v>
      </c>
      <c r="E392" s="199"/>
      <c r="F392" s="216"/>
      <c r="G392" s="216"/>
      <c r="H392" s="199"/>
      <c r="I392" s="216"/>
      <c r="J392" s="216"/>
      <c r="K392" s="217"/>
    </row>
    <row r="393" spans="2:11">
      <c r="B393" s="213">
        <v>265</v>
      </c>
      <c r="C393" s="214" t="s">
        <v>184</v>
      </c>
      <c r="D393" s="215" t="s">
        <v>334</v>
      </c>
      <c r="E393" s="199"/>
      <c r="F393" s="216"/>
      <c r="G393" s="216"/>
      <c r="H393" s="199"/>
      <c r="I393" s="216"/>
      <c r="J393" s="216"/>
      <c r="K393" s="217"/>
    </row>
    <row r="394" spans="2:11">
      <c r="B394" s="213">
        <v>302</v>
      </c>
      <c r="C394" s="214" t="s">
        <v>221</v>
      </c>
      <c r="D394" s="215" t="s">
        <v>439</v>
      </c>
      <c r="E394" s="199"/>
      <c r="F394" s="216"/>
      <c r="G394" s="216"/>
      <c r="H394" s="199"/>
      <c r="I394" s="216"/>
      <c r="J394" s="216"/>
      <c r="K394" s="217"/>
    </row>
    <row r="395" spans="2:11">
      <c r="B395" s="213">
        <v>301</v>
      </c>
      <c r="C395" s="214" t="s">
        <v>220</v>
      </c>
      <c r="D395" s="215" t="s">
        <v>335</v>
      </c>
      <c r="E395" s="199"/>
      <c r="F395" s="216"/>
      <c r="G395" s="216"/>
      <c r="H395" s="199"/>
      <c r="I395" s="216"/>
      <c r="J395" s="216"/>
      <c r="K395" s="217"/>
    </row>
    <row r="396" spans="2:11">
      <c r="B396" s="213">
        <v>304</v>
      </c>
      <c r="C396" s="214" t="s">
        <v>223</v>
      </c>
      <c r="D396" s="215" t="s">
        <v>463</v>
      </c>
      <c r="E396" s="199"/>
      <c r="F396" s="216"/>
      <c r="G396" s="216"/>
      <c r="H396" s="199"/>
      <c r="I396" s="216"/>
      <c r="J396" s="216"/>
      <c r="K396" s="217"/>
    </row>
    <row r="397" spans="2:11">
      <c r="B397" s="213">
        <v>294</v>
      </c>
      <c r="C397" s="214" t="s">
        <v>213</v>
      </c>
      <c r="D397" s="215" t="s">
        <v>462</v>
      </c>
      <c r="E397" s="199"/>
      <c r="F397" s="216"/>
      <c r="G397" s="216"/>
      <c r="H397" s="199"/>
      <c r="I397" s="216"/>
      <c r="J397" s="216"/>
      <c r="K397" s="217"/>
    </row>
    <row r="398" spans="2:11">
      <c r="B398" s="213">
        <v>232</v>
      </c>
      <c r="C398" s="214" t="s">
        <v>151</v>
      </c>
      <c r="D398" s="215" t="s">
        <v>450</v>
      </c>
      <c r="E398" s="199"/>
      <c r="F398" s="216"/>
      <c r="G398" s="216"/>
      <c r="H398" s="199"/>
      <c r="I398" s="216"/>
      <c r="J398" s="216"/>
      <c r="K398" s="217"/>
    </row>
    <row r="399" spans="2:11">
      <c r="B399" s="213">
        <v>233</v>
      </c>
      <c r="C399" s="214" t="s">
        <v>152</v>
      </c>
      <c r="D399" s="215" t="s">
        <v>437</v>
      </c>
      <c r="E399" s="199"/>
      <c r="F399" s="216"/>
      <c r="G399" s="216"/>
      <c r="H399" s="199"/>
      <c r="I399" s="216"/>
      <c r="J399" s="216"/>
      <c r="K399" s="217"/>
    </row>
    <row r="400" spans="2:11">
      <c r="B400" s="213">
        <v>282</v>
      </c>
      <c r="C400" s="214" t="s">
        <v>201</v>
      </c>
      <c r="D400" s="267" t="s">
        <v>454</v>
      </c>
      <c r="E400" s="199"/>
      <c r="F400" s="216"/>
      <c r="G400" s="216"/>
      <c r="H400" s="199"/>
      <c r="I400" s="216"/>
      <c r="J400" s="216"/>
      <c r="K400" s="217"/>
    </row>
    <row r="401" spans="2:11">
      <c r="B401" s="197">
        <v>283</v>
      </c>
      <c r="C401" s="198" t="s">
        <v>202</v>
      </c>
      <c r="D401" s="201" t="s">
        <v>454</v>
      </c>
      <c r="E401" s="199"/>
      <c r="F401" s="199"/>
      <c r="G401" s="199"/>
      <c r="H401" s="199"/>
      <c r="I401" s="199"/>
      <c r="J401" s="199"/>
      <c r="K401" s="200"/>
    </row>
    <row r="402" spans="2:11">
      <c r="B402" s="197">
        <v>284</v>
      </c>
      <c r="C402" s="198" t="s">
        <v>203</v>
      </c>
      <c r="D402" s="201" t="s">
        <v>454</v>
      </c>
      <c r="E402" s="199"/>
      <c r="F402" s="199"/>
      <c r="G402" s="199"/>
      <c r="H402" s="199"/>
      <c r="I402" s="199"/>
      <c r="J402" s="199"/>
      <c r="K402" s="200"/>
    </row>
    <row r="403" spans="2:11">
      <c r="B403" s="197">
        <v>285</v>
      </c>
      <c r="C403" s="198" t="s">
        <v>204</v>
      </c>
      <c r="D403" s="201" t="s">
        <v>454</v>
      </c>
      <c r="E403" s="199"/>
      <c r="F403" s="199"/>
      <c r="G403" s="199"/>
      <c r="H403" s="199"/>
      <c r="I403" s="199"/>
      <c r="J403" s="199"/>
      <c r="K403" s="200"/>
    </row>
    <row r="404" spans="2:11">
      <c r="B404" s="197">
        <v>335</v>
      </c>
      <c r="C404" s="198" t="s">
        <v>254</v>
      </c>
      <c r="D404" s="201" t="s">
        <v>454</v>
      </c>
      <c r="E404" s="199"/>
      <c r="F404" s="199"/>
      <c r="G404" s="199"/>
      <c r="H404" s="199"/>
      <c r="I404" s="199"/>
      <c r="J404" s="199"/>
      <c r="K404" s="200"/>
    </row>
    <row r="405" spans="2:11" ht="16.5" thickBot="1">
      <c r="B405" s="288">
        <v>99</v>
      </c>
      <c r="C405" s="289" t="s">
        <v>11</v>
      </c>
      <c r="D405" s="295" t="s">
        <v>454</v>
      </c>
      <c r="E405" s="290"/>
      <c r="F405" s="290"/>
      <c r="G405" s="290"/>
      <c r="H405" s="290"/>
      <c r="I405" s="290"/>
      <c r="J405" s="290"/>
      <c r="K405" s="291"/>
    </row>
  </sheetData>
  <sortState ref="B6:K405">
    <sortCondition ref="D6:D405"/>
  </sortState>
  <mergeCells count="11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</mergeCells>
  <conditionalFormatting sqref="B401:D405 F405:K405 F401:G404 I401:K404">
    <cfRule type="expression" dxfId="660" priority="172">
      <formula>MOD(ROW(),2)=0</formula>
    </cfRule>
  </conditionalFormatting>
  <conditionalFormatting sqref="F126 F224 F226 F313 F315 F156 F155:G155 B6:D400 F42:G45 F248:G248 F345:G345 F346 F249 F342:F344 F245:F247 F286:F311 F221:F222 F121:F122 F152:F154 F213:F218 F219:G220 F205:F210 F211:G212 F197:F202 F203:G204 F189:F194 F195:G196 F36:F41 F26:F31 F16:F21 F6:F11 F316:G341 F227:G244 F127:G151 F347:G400 F250:G285 F157:G188 F314:G314 F312:G312 F225:G225 F223:G223 F124 F125:G125 F123:G123 F32:G35 F22:G25 F12:G15 I6:K400 F52:G55 F46:F51 F62:G65 F56:F61 F72:G75 F66:F71 F82:G120 F76:F81">
    <cfRule type="expression" dxfId="659" priority="170">
      <formula>MOD(ROW(),2)=0</formula>
    </cfRule>
  </conditionalFormatting>
  <conditionalFormatting sqref="G121:G122">
    <cfRule type="expression" dxfId="658" priority="165">
      <formula>MOD(ROW(),2)=0</formula>
    </cfRule>
  </conditionalFormatting>
  <conditionalFormatting sqref="G221:G222">
    <cfRule type="expression" dxfId="657" priority="164">
      <formula>MOD(ROW(),2)=0</formula>
    </cfRule>
  </conditionalFormatting>
  <conditionalFormatting sqref="G310:G311">
    <cfRule type="expression" dxfId="656" priority="163">
      <formula>MOD(ROW(),2)=0</formula>
    </cfRule>
  </conditionalFormatting>
  <conditionalFormatting sqref="G226">
    <cfRule type="expression" dxfId="655" priority="159">
      <formula>MOD(ROW(),2)=0</formula>
    </cfRule>
  </conditionalFormatting>
  <conditionalFormatting sqref="G156">
    <cfRule type="expression" dxfId="654" priority="151">
      <formula>MOD(ROW(),2)=0</formula>
    </cfRule>
  </conditionalFormatting>
  <conditionalFormatting sqref="G249">
    <cfRule type="expression" dxfId="653" priority="149">
      <formula>MOD(ROW(),2)=0</formula>
    </cfRule>
  </conditionalFormatting>
  <conditionalFormatting sqref="G152">
    <cfRule type="expression" dxfId="652" priority="107">
      <formula>MOD(ROW(),2)=0</formula>
    </cfRule>
  </conditionalFormatting>
  <conditionalFormatting sqref="G342">
    <cfRule type="expression" dxfId="651" priority="105">
      <formula>MOD(ROW(),2)=0</formula>
    </cfRule>
  </conditionalFormatting>
  <conditionalFormatting sqref="E155">
    <cfRule type="expression" dxfId="650" priority="86">
      <formula>MOD(ROW(),2)=0</formula>
    </cfRule>
  </conditionalFormatting>
  <conditionalFormatting sqref="E46:E51">
    <cfRule type="expression" dxfId="649" priority="85">
      <formula>MOD(ROW(),2)=0</formula>
    </cfRule>
  </conditionalFormatting>
  <conditionalFormatting sqref="E117:E118">
    <cfRule type="expression" dxfId="648" priority="84">
      <formula>MOD(ROW(),2)=0</formula>
    </cfRule>
  </conditionalFormatting>
  <conditionalFormatting sqref="E56:E61">
    <cfRule type="expression" dxfId="647" priority="83">
      <formula>MOD(ROW(),2)=0</formula>
    </cfRule>
  </conditionalFormatting>
  <conditionalFormatting sqref="E76:E81">
    <cfRule type="expression" dxfId="646" priority="81">
      <formula>MOD(ROW(),2)=0</formula>
    </cfRule>
  </conditionalFormatting>
  <conditionalFormatting sqref="E401:E405">
    <cfRule type="expression" dxfId="645" priority="94">
      <formula>MOD(ROW(),2)=0</formula>
    </cfRule>
  </conditionalFormatting>
  <conditionalFormatting sqref="E225 E314 E127:E154 E6:E45 E52:E55 E62:E65 E72:E75 E82:E85 E92:E115 E90 E88 E121:E125 E157:E223 E227:E312 E316:E400">
    <cfRule type="expression" dxfId="644" priority="93">
      <formula>MOD(ROW(),2)=0</formula>
    </cfRule>
  </conditionalFormatting>
  <conditionalFormatting sqref="E156">
    <cfRule type="expression" dxfId="643" priority="87">
      <formula>MOD(ROW(),2)=0</formula>
    </cfRule>
  </conditionalFormatting>
  <conditionalFormatting sqref="E66:E71">
    <cfRule type="expression" dxfId="642" priority="82">
      <formula>MOD(ROW(),2)=0</formula>
    </cfRule>
  </conditionalFormatting>
  <conditionalFormatting sqref="H401:H404">
    <cfRule type="expression" dxfId="641" priority="80">
      <formula>MOD(ROW(),2)=0</formula>
    </cfRule>
  </conditionalFormatting>
  <conditionalFormatting sqref="H42:H45 H82:H188 H190:H400">
    <cfRule type="expression" dxfId="640" priority="79">
      <formula>MOD(ROW(),2)=0</formula>
    </cfRule>
  </conditionalFormatting>
  <conditionalFormatting sqref="H6:H41">
    <cfRule type="expression" dxfId="639" priority="78">
      <formula>MOD(ROW(),2)=0</formula>
    </cfRule>
  </conditionalFormatting>
  <conditionalFormatting sqref="H47:H81">
    <cfRule type="expression" dxfId="638" priority="74">
      <formula>MOD(ROW(),2)=0</formula>
    </cfRule>
  </conditionalFormatting>
  <conditionalFormatting sqref="H46">
    <cfRule type="expression" dxfId="637" priority="73">
      <formula>MOD(ROW(),2)=0</formula>
    </cfRule>
  </conditionalFormatting>
  <conditionalFormatting sqref="H189">
    <cfRule type="expression" dxfId="636" priority="72">
      <formula>MOD(ROW(),2)=0</formula>
    </cfRule>
  </conditionalFormatting>
  <conditionalFormatting sqref="G50:G51">
    <cfRule type="expression" dxfId="635" priority="71">
      <formula>MOD(ROW(),2)=0</formula>
    </cfRule>
  </conditionalFormatting>
  <conditionalFormatting sqref="G48:G49">
    <cfRule type="expression" dxfId="634" priority="70">
      <formula>MOD(ROW(),2)=0</formula>
    </cfRule>
  </conditionalFormatting>
  <conditionalFormatting sqref="G46:G47">
    <cfRule type="expression" dxfId="633" priority="69">
      <formula>MOD(ROW(),2)=0</formula>
    </cfRule>
  </conditionalFormatting>
  <conditionalFormatting sqref="G60:G61">
    <cfRule type="expression" dxfId="632" priority="68">
      <formula>MOD(ROW(),2)=0</formula>
    </cfRule>
  </conditionalFormatting>
  <conditionalFormatting sqref="G58:G59">
    <cfRule type="expression" dxfId="631" priority="67">
      <formula>MOD(ROW(),2)=0</formula>
    </cfRule>
  </conditionalFormatting>
  <conditionalFormatting sqref="G56:G57">
    <cfRule type="expression" dxfId="630" priority="66">
      <formula>MOD(ROW(),2)=0</formula>
    </cfRule>
  </conditionalFormatting>
  <conditionalFormatting sqref="G70:G71">
    <cfRule type="expression" dxfId="629" priority="65">
      <formula>MOD(ROW(),2)=0</formula>
    </cfRule>
  </conditionalFormatting>
  <conditionalFormatting sqref="G68:G69">
    <cfRule type="expression" dxfId="628" priority="64">
      <formula>MOD(ROW(),2)=0</formula>
    </cfRule>
  </conditionalFormatting>
  <conditionalFormatting sqref="G66:G67">
    <cfRule type="expression" dxfId="627" priority="63">
      <formula>MOD(ROW(),2)=0</formula>
    </cfRule>
  </conditionalFormatting>
  <conditionalFormatting sqref="G80:G81">
    <cfRule type="expression" dxfId="626" priority="62">
      <formula>MOD(ROW(),2)=0</formula>
    </cfRule>
  </conditionalFormatting>
  <conditionalFormatting sqref="G78:G79">
    <cfRule type="expression" dxfId="625" priority="61">
      <formula>MOD(ROW(),2)=0</formula>
    </cfRule>
  </conditionalFormatting>
  <conditionalFormatting sqref="G76:G77">
    <cfRule type="expression" dxfId="624" priority="60">
      <formula>MOD(ROW(),2)=0</formula>
    </cfRule>
  </conditionalFormatting>
  <conditionalFormatting sqref="G10:G11">
    <cfRule type="expression" dxfId="623" priority="59">
      <formula>MOD(ROW(),2)=0</formula>
    </cfRule>
  </conditionalFormatting>
  <conditionalFormatting sqref="G8:G9">
    <cfRule type="expression" dxfId="622" priority="58">
      <formula>MOD(ROW(),2)=0</formula>
    </cfRule>
  </conditionalFormatting>
  <conditionalFormatting sqref="G6:G7">
    <cfRule type="expression" dxfId="621" priority="57">
      <formula>MOD(ROW(),2)=0</formula>
    </cfRule>
  </conditionalFormatting>
  <conditionalFormatting sqref="G20:G21">
    <cfRule type="expression" dxfId="620" priority="56">
      <formula>MOD(ROW(),2)=0</formula>
    </cfRule>
  </conditionalFormatting>
  <conditionalFormatting sqref="G18:G19">
    <cfRule type="expression" dxfId="619" priority="55">
      <formula>MOD(ROW(),2)=0</formula>
    </cfRule>
  </conditionalFormatting>
  <conditionalFormatting sqref="G16:G17">
    <cfRule type="expression" dxfId="618" priority="54">
      <formula>MOD(ROW(),2)=0</formula>
    </cfRule>
  </conditionalFormatting>
  <conditionalFormatting sqref="G30:G31">
    <cfRule type="expression" dxfId="617" priority="53">
      <formula>MOD(ROW(),2)=0</formula>
    </cfRule>
  </conditionalFormatting>
  <conditionalFormatting sqref="G28:G29">
    <cfRule type="expression" dxfId="616" priority="52">
      <formula>MOD(ROW(),2)=0</formula>
    </cfRule>
  </conditionalFormatting>
  <conditionalFormatting sqref="G26:G27">
    <cfRule type="expression" dxfId="615" priority="51">
      <formula>MOD(ROW(),2)=0</formula>
    </cfRule>
  </conditionalFormatting>
  <conditionalFormatting sqref="G40:G41">
    <cfRule type="expression" dxfId="614" priority="50">
      <formula>MOD(ROW(),2)=0</formula>
    </cfRule>
  </conditionalFormatting>
  <conditionalFormatting sqref="G38:G39">
    <cfRule type="expression" dxfId="613" priority="49">
      <formula>MOD(ROW(),2)=0</formula>
    </cfRule>
  </conditionalFormatting>
  <conditionalFormatting sqref="G36:G37">
    <cfRule type="expression" dxfId="612" priority="48">
      <formula>MOD(ROW(),2)=0</formula>
    </cfRule>
  </conditionalFormatting>
  <conditionalFormatting sqref="G193:G194">
    <cfRule type="expression" dxfId="611" priority="47">
      <formula>MOD(ROW(),2)=0</formula>
    </cfRule>
  </conditionalFormatting>
  <conditionalFormatting sqref="G191:G192">
    <cfRule type="expression" dxfId="610" priority="46">
      <formula>MOD(ROW(),2)=0</formula>
    </cfRule>
  </conditionalFormatting>
  <conditionalFormatting sqref="G189:G190">
    <cfRule type="expression" dxfId="609" priority="45">
      <formula>MOD(ROW(),2)=0</formula>
    </cfRule>
  </conditionalFormatting>
  <conditionalFormatting sqref="G201:G202">
    <cfRule type="expression" dxfId="608" priority="44">
      <formula>MOD(ROW(),2)=0</formula>
    </cfRule>
  </conditionalFormatting>
  <conditionalFormatting sqref="G199:G200">
    <cfRule type="expression" dxfId="607" priority="43">
      <formula>MOD(ROW(),2)=0</formula>
    </cfRule>
  </conditionalFormatting>
  <conditionalFormatting sqref="G197:G198">
    <cfRule type="expression" dxfId="606" priority="42">
      <formula>MOD(ROW(),2)=0</formula>
    </cfRule>
  </conditionalFormatting>
  <conditionalFormatting sqref="G209:G210">
    <cfRule type="expression" dxfId="605" priority="41">
      <formula>MOD(ROW(),2)=0</formula>
    </cfRule>
  </conditionalFormatting>
  <conditionalFormatting sqref="G207:G208">
    <cfRule type="expression" dxfId="604" priority="40">
      <formula>MOD(ROW(),2)=0</formula>
    </cfRule>
  </conditionalFormatting>
  <conditionalFormatting sqref="G205:G206">
    <cfRule type="expression" dxfId="603" priority="39">
      <formula>MOD(ROW(),2)=0</formula>
    </cfRule>
  </conditionalFormatting>
  <conditionalFormatting sqref="G217:G218">
    <cfRule type="expression" dxfId="602" priority="38">
      <formula>MOD(ROW(),2)=0</formula>
    </cfRule>
  </conditionalFormatting>
  <conditionalFormatting sqref="G215:G216">
    <cfRule type="expression" dxfId="601" priority="37">
      <formula>MOD(ROW(),2)=0</formula>
    </cfRule>
  </conditionalFormatting>
  <conditionalFormatting sqref="G213:G214">
    <cfRule type="expression" dxfId="600" priority="36">
      <formula>MOD(ROW(),2)=0</formula>
    </cfRule>
  </conditionalFormatting>
  <conditionalFormatting sqref="G290:G291">
    <cfRule type="expression" dxfId="599" priority="35">
      <formula>MOD(ROW(),2)=0</formula>
    </cfRule>
  </conditionalFormatting>
  <conditionalFormatting sqref="G288:G289">
    <cfRule type="expression" dxfId="598" priority="34">
      <formula>MOD(ROW(),2)=0</formula>
    </cfRule>
  </conditionalFormatting>
  <conditionalFormatting sqref="G286:G287">
    <cfRule type="expression" dxfId="597" priority="33">
      <formula>MOD(ROW(),2)=0</formula>
    </cfRule>
  </conditionalFormatting>
  <conditionalFormatting sqref="G296:G297">
    <cfRule type="expression" dxfId="596" priority="32">
      <formula>MOD(ROW(),2)=0</formula>
    </cfRule>
  </conditionalFormatting>
  <conditionalFormatting sqref="G294:G295">
    <cfRule type="expression" dxfId="595" priority="31">
      <formula>MOD(ROW(),2)=0</formula>
    </cfRule>
  </conditionalFormatting>
  <conditionalFormatting sqref="G292:G293">
    <cfRule type="expression" dxfId="594" priority="30">
      <formula>MOD(ROW(),2)=0</formula>
    </cfRule>
  </conditionalFormatting>
  <conditionalFormatting sqref="G302:G303">
    <cfRule type="expression" dxfId="593" priority="29">
      <formula>MOD(ROW(),2)=0</formula>
    </cfRule>
  </conditionalFormatting>
  <conditionalFormatting sqref="G300:G301">
    <cfRule type="expression" dxfId="592" priority="28">
      <formula>MOD(ROW(),2)=0</formula>
    </cfRule>
  </conditionalFormatting>
  <conditionalFormatting sqref="G298:G299">
    <cfRule type="expression" dxfId="591" priority="27">
      <formula>MOD(ROW(),2)=0</formula>
    </cfRule>
  </conditionalFormatting>
  <conditionalFormatting sqref="G308:G309">
    <cfRule type="expression" dxfId="590" priority="26">
      <formula>MOD(ROW(),2)=0</formula>
    </cfRule>
  </conditionalFormatting>
  <conditionalFormatting sqref="G306:G307">
    <cfRule type="expression" dxfId="589" priority="25">
      <formula>MOD(ROW(),2)=0</formula>
    </cfRule>
  </conditionalFormatting>
  <conditionalFormatting sqref="G304:G305">
    <cfRule type="expression" dxfId="588" priority="24">
      <formula>MOD(ROW(),2)=0</formula>
    </cfRule>
  </conditionalFormatting>
  <conditionalFormatting sqref="E119">
    <cfRule type="expression" dxfId="587" priority="23">
      <formula>MOD(ROW(),2)=0</formula>
    </cfRule>
  </conditionalFormatting>
  <conditionalFormatting sqref="E120">
    <cfRule type="expression" dxfId="586" priority="21">
      <formula>MOD(ROW(),2)=0</formula>
    </cfRule>
  </conditionalFormatting>
  <conditionalFormatting sqref="E116">
    <cfRule type="expression" dxfId="585" priority="20">
      <formula>MOD(ROW(),2)=0</formula>
    </cfRule>
  </conditionalFormatting>
  <conditionalFormatting sqref="E91">
    <cfRule type="expression" dxfId="584" priority="19">
      <formula>MOD(ROW(),2)=0</formula>
    </cfRule>
  </conditionalFormatting>
  <conditionalFormatting sqref="E89">
    <cfRule type="expression" dxfId="583" priority="18">
      <formula>MOD(ROW(),2)=0</formula>
    </cfRule>
  </conditionalFormatting>
  <conditionalFormatting sqref="E87">
    <cfRule type="expression" dxfId="582" priority="17">
      <formula>MOD(ROW(),2)=0</formula>
    </cfRule>
  </conditionalFormatting>
  <conditionalFormatting sqref="E86">
    <cfRule type="expression" dxfId="581" priority="16">
      <formula>MOD(ROW(),2)=0</formula>
    </cfRule>
  </conditionalFormatting>
  <conditionalFormatting sqref="E126">
    <cfRule type="expression" dxfId="580" priority="15">
      <formula>MOD(ROW(),2)=0</formula>
    </cfRule>
  </conditionalFormatting>
  <conditionalFormatting sqref="G153:G154">
    <cfRule type="expression" dxfId="579" priority="14">
      <formula>MOD(ROW(),2)=0</formula>
    </cfRule>
  </conditionalFormatting>
  <conditionalFormatting sqref="G124">
    <cfRule type="expression" dxfId="578" priority="13">
      <formula>MOD(ROW(),2)=0</formula>
    </cfRule>
  </conditionalFormatting>
  <conditionalFormatting sqref="G126">
    <cfRule type="expression" dxfId="577" priority="12">
      <formula>MOD(ROW(),2)=0</formula>
    </cfRule>
  </conditionalFormatting>
  <conditionalFormatting sqref="E224">
    <cfRule type="expression" dxfId="576" priority="11">
      <formula>MOD(ROW(),2)=0</formula>
    </cfRule>
  </conditionalFormatting>
  <conditionalFormatting sqref="E226">
    <cfRule type="expression" dxfId="575" priority="10">
      <formula>MOD(ROW(),2)=0</formula>
    </cfRule>
  </conditionalFormatting>
  <conditionalFormatting sqref="G246:G247">
    <cfRule type="expression" dxfId="574" priority="9">
      <formula>MOD(ROW(),2)=0</formula>
    </cfRule>
  </conditionalFormatting>
  <conditionalFormatting sqref="G245">
    <cfRule type="expression" dxfId="573" priority="8">
      <formula>MOD(ROW(),2)=0</formula>
    </cfRule>
  </conditionalFormatting>
  <conditionalFormatting sqref="G224">
    <cfRule type="expression" dxfId="572" priority="7">
      <formula>MOD(ROW(),2)=0</formula>
    </cfRule>
  </conditionalFormatting>
  <conditionalFormatting sqref="E313">
    <cfRule type="expression" dxfId="571" priority="6">
      <formula>MOD(ROW(),2)=0</formula>
    </cfRule>
  </conditionalFormatting>
  <conditionalFormatting sqref="E315">
    <cfRule type="expression" dxfId="570" priority="5">
      <formula>MOD(ROW(),2)=0</formula>
    </cfRule>
  </conditionalFormatting>
  <conditionalFormatting sqref="G343:G344">
    <cfRule type="expression" dxfId="569" priority="4">
      <formula>MOD(ROW(),2)=0</formula>
    </cfRule>
  </conditionalFormatting>
  <conditionalFormatting sqref="G346">
    <cfRule type="expression" dxfId="568" priority="3">
      <formula>MOD(ROW(),2)=0</formula>
    </cfRule>
  </conditionalFormatting>
  <conditionalFormatting sqref="G315">
    <cfRule type="expression" dxfId="567" priority="2">
      <formula>MOD(ROW(),2)=0</formula>
    </cfRule>
  </conditionalFormatting>
  <conditionalFormatting sqref="G313">
    <cfRule type="expression" dxfId="566" priority="1">
      <formula>MOD(ROW(),2)=0</formula>
    </cfRule>
  </conditionalFormatting>
  <hyperlinks>
    <hyperlink ref="AL17" location="'0'!A1" tooltip="X stave 0, Front" display="'0'!A1"/>
    <hyperlink ref="AJ17" location="'1'!A1" tooltip="X stave 1, Back" display="'1'!A1"/>
    <hyperlink ref="AH17" location="'2'!A1" tooltip="Stereo stave 0, Back" display="'2'!A1"/>
    <hyperlink ref="AF17" location="'3'!A1" tooltip="Stereo stave 0, Front" display="'3'!A1"/>
    <hyperlink ref="AD17" location="'4'!A1" tooltip="X stave 1, Front" display="'4'!A1"/>
    <hyperlink ref="AB17" location="'5'!A1" tooltip="X stave 1, Back" display="'5'!A1"/>
    <hyperlink ref="Z17" location="'6'!A1" tooltip="Stereo stave 1, Back" display="'6'!A1"/>
    <hyperlink ref="X17" location="'7'!A1" tooltip="Stereo stave 1, Front" display="'7'!A1"/>
    <hyperlink ref="V17" location="'8'!A1" tooltip="X stave 2, Front" display="'8'!A1"/>
    <hyperlink ref="T17" location="'9'!A1" tooltip="X stave 2, Back" display="'9'!A1"/>
    <hyperlink ref="R17" location="'10'!A1" tooltip="Stereo stave 2, Back" display="'10'!A1"/>
    <hyperlink ref="P17" location="'11'!A1" tooltip="Stereo stave 2, Front" display="'11'!A1"/>
    <hyperlink ref="AL18" location="'0'!A1" tooltip="X stave 0, Front" display="'0'!A1"/>
    <hyperlink ref="AJ18" location="'1'!A1" tooltip="X stave 1, Back" display="'1'!A1"/>
    <hyperlink ref="AH18" location="'2'!A1" tooltip="Stereo stave 0, Back" display="'2'!A1"/>
    <hyperlink ref="AF18" location="'3'!A1" tooltip="Stereo stave 0, Front" display="'3'!A1"/>
    <hyperlink ref="AD18" location="'4'!A1" tooltip="X stave 1, Front" display="'4'!A1"/>
    <hyperlink ref="AB18" location="'5'!A1" tooltip="X stave 1, Back" display="'5'!A1"/>
    <hyperlink ref="Z18" location="'6'!A1" tooltip="Stereo stave 1, Back" display="'6'!A1"/>
    <hyperlink ref="X18" location="'7'!A1" tooltip="Stereo stave 1, Front" display="'7'!A1"/>
    <hyperlink ref="V18" location="'8'!A1" tooltip="X stave 2, Front" display="'8'!A1"/>
    <hyperlink ref="T18" location="'9'!A1" tooltip="X stave 2, Back" display="'9'!A1"/>
    <hyperlink ref="R18" location="'10'!A1" tooltip="Stereo stave 2, Back" display="'10'!A1"/>
    <hyperlink ref="P18" location="'11'!A1" tooltip="Stereo stave 2, Front" display="'11'!A1"/>
  </hyperlinks>
  <pageMargins left="0.75" right="0.75" top="1" bottom="1" header="0.5" footer="0.5"/>
  <pageSetup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AV405"/>
  <sheetViews>
    <sheetView zoomScale="85" zoomScaleNormal="85" workbookViewId="0">
      <selection activeCell="Z17" sqref="Z17"/>
    </sheetView>
  </sheetViews>
  <sheetFormatPr defaultColWidth="11" defaultRowHeight="15.75"/>
  <cols>
    <col min="1" max="1" width="2.875" style="3" customWidth="1"/>
    <col min="2" max="2" width="6.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75" style="1" customWidth="1"/>
    <col min="7" max="7" width="7.875" style="1" bestFit="1" customWidth="1"/>
    <col min="8" max="10" width="7.875" style="1" customWidth="1"/>
    <col min="11" max="11" width="7.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5" thickBot="1"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/>
    </row>
    <row r="2" spans="2:44" s="4" customFormat="1" ht="16.5" customHeight="1">
      <c r="D2" s="43" t="s">
        <v>830</v>
      </c>
      <c r="E2" s="551" t="s">
        <v>955</v>
      </c>
      <c r="F2" s="551"/>
      <c r="G2" s="552" t="s">
        <v>857</v>
      </c>
      <c r="H2" s="552"/>
      <c r="I2" s="552"/>
      <c r="J2" s="40"/>
      <c r="L2" s="177"/>
      <c r="M2" s="178"/>
      <c r="N2" s="180"/>
      <c r="O2" s="179"/>
      <c r="P2" s="180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80"/>
      <c r="AM2" s="180"/>
      <c r="AN2" s="180"/>
      <c r="AO2" s="181"/>
      <c r="AP2" s="177"/>
      <c r="AQ2" s="182"/>
      <c r="AR2"/>
    </row>
    <row r="3" spans="2:44" s="1" customFormat="1" ht="15.75" customHeight="1">
      <c r="D3"/>
      <c r="E3" s="40"/>
      <c r="F3" s="40"/>
      <c r="G3" s="40"/>
      <c r="H3" s="40"/>
      <c r="I3" s="40"/>
      <c r="J3" s="40"/>
      <c r="L3" s="177"/>
      <c r="M3" s="183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5"/>
      <c r="AP3" s="177"/>
      <c r="AQ3" s="186"/>
      <c r="AR3"/>
    </row>
    <row r="4" spans="2:44" s="6" customFormat="1" ht="16.5" thickBot="1">
      <c r="B4" s="553" t="s">
        <v>722</v>
      </c>
      <c r="C4" s="554"/>
      <c r="D4" s="554"/>
      <c r="E4" s="554"/>
      <c r="F4" s="554"/>
      <c r="G4" s="554"/>
      <c r="H4" s="554"/>
      <c r="I4" s="554"/>
      <c r="J4" s="554"/>
      <c r="K4" s="555"/>
      <c r="L4" s="177"/>
      <c r="M4" s="187"/>
      <c r="N4" s="184"/>
      <c r="O4" s="184"/>
      <c r="P4" s="184"/>
      <c r="Q4" s="184"/>
      <c r="R4" s="16" t="s">
        <v>13</v>
      </c>
      <c r="S4" s="16"/>
      <c r="T4" s="16" t="s">
        <v>14</v>
      </c>
      <c r="U4" s="16"/>
      <c r="V4" s="16" t="s">
        <v>13</v>
      </c>
      <c r="W4" s="16"/>
      <c r="X4" s="16" t="s">
        <v>14</v>
      </c>
      <c r="Y4" s="16"/>
      <c r="Z4" s="16" t="s">
        <v>13</v>
      </c>
      <c r="AA4" s="16"/>
      <c r="AB4" s="16" t="s">
        <v>14</v>
      </c>
      <c r="AC4" s="16"/>
      <c r="AD4" s="16" t="s">
        <v>13</v>
      </c>
      <c r="AE4" s="16"/>
      <c r="AF4" s="16" t="s">
        <v>14</v>
      </c>
      <c r="AG4" s="16"/>
      <c r="AH4" s="16" t="s">
        <v>13</v>
      </c>
      <c r="AI4" s="16"/>
      <c r="AJ4" s="16" t="s">
        <v>14</v>
      </c>
      <c r="AK4" s="16"/>
      <c r="AL4" s="16" t="s">
        <v>13</v>
      </c>
      <c r="AM4" s="16"/>
      <c r="AN4" s="16" t="s">
        <v>14</v>
      </c>
      <c r="AO4" s="185"/>
      <c r="AP4" s="177"/>
      <c r="AQ4" s="182" t="s">
        <v>710</v>
      </c>
      <c r="AR4"/>
    </row>
    <row r="5" spans="2:44" s="12" customFormat="1" ht="32.25" thickBot="1">
      <c r="B5" s="41" t="s">
        <v>19</v>
      </c>
      <c r="C5" s="7" t="s">
        <v>442</v>
      </c>
      <c r="D5" s="8" t="s">
        <v>2</v>
      </c>
      <c r="E5" s="8" t="s">
        <v>1</v>
      </c>
      <c r="F5" s="9"/>
      <c r="G5" s="9" t="s">
        <v>953</v>
      </c>
      <c r="H5" s="10" t="s">
        <v>3</v>
      </c>
      <c r="I5" s="10"/>
      <c r="J5" s="10"/>
      <c r="K5" s="11"/>
      <c r="L5" s="177"/>
      <c r="M5" s="187"/>
      <c r="N5" s="184"/>
      <c r="O5" s="184"/>
      <c r="P5" s="184"/>
      <c r="Q5" s="188"/>
      <c r="R5" s="175">
        <v>5</v>
      </c>
      <c r="S5" s="175"/>
      <c r="T5" s="175">
        <v>5</v>
      </c>
      <c r="U5" s="175"/>
      <c r="V5" s="175">
        <v>4</v>
      </c>
      <c r="W5" s="175"/>
      <c r="X5" s="175">
        <v>4</v>
      </c>
      <c r="Y5" s="175"/>
      <c r="Z5" s="175">
        <v>3</v>
      </c>
      <c r="AA5" s="175"/>
      <c r="AB5" s="175">
        <v>3</v>
      </c>
      <c r="AC5" s="175"/>
      <c r="AD5" s="175">
        <v>2</v>
      </c>
      <c r="AE5" s="175"/>
      <c r="AF5" s="175">
        <v>2</v>
      </c>
      <c r="AG5" s="175"/>
      <c r="AH5" s="175">
        <v>1</v>
      </c>
      <c r="AI5" s="175"/>
      <c r="AJ5" s="175">
        <v>1</v>
      </c>
      <c r="AK5" s="175"/>
      <c r="AL5" s="175">
        <v>0</v>
      </c>
      <c r="AM5" s="175"/>
      <c r="AN5" s="175">
        <v>0</v>
      </c>
      <c r="AO5" s="185"/>
      <c r="AP5" s="177"/>
      <c r="AQ5" s="254" t="s">
        <v>711</v>
      </c>
      <c r="AR5"/>
    </row>
    <row r="6" spans="2:44" ht="16.5" thickBot="1">
      <c r="B6" s="42">
        <v>199</v>
      </c>
      <c r="C6" s="293" t="s">
        <v>118</v>
      </c>
      <c r="D6" s="294" t="s">
        <v>677</v>
      </c>
      <c r="E6" s="322" t="s">
        <v>873</v>
      </c>
      <c r="F6" s="322"/>
      <c r="G6" s="389" t="s">
        <v>283</v>
      </c>
      <c r="H6" s="384" t="s">
        <v>944</v>
      </c>
      <c r="I6" s="296"/>
      <c r="J6" s="296"/>
      <c r="K6" s="297"/>
      <c r="L6" s="177"/>
      <c r="M6" s="187"/>
      <c r="N6" s="184"/>
      <c r="O6" s="184"/>
      <c r="P6" s="184"/>
      <c r="Q6" s="184"/>
      <c r="R6" s="189"/>
      <c r="S6" s="184"/>
      <c r="T6" s="189"/>
      <c r="U6" s="184"/>
      <c r="V6" s="265"/>
      <c r="W6" s="184"/>
      <c r="X6" s="189"/>
      <c r="Y6" s="184"/>
      <c r="Z6" s="265"/>
      <c r="AA6" s="184"/>
      <c r="AB6" s="189"/>
      <c r="AC6" s="184"/>
      <c r="AD6" s="189"/>
      <c r="AE6" s="184"/>
      <c r="AF6" s="189"/>
      <c r="AG6" s="184"/>
      <c r="AH6" s="189"/>
      <c r="AI6" s="184"/>
      <c r="AJ6" s="189"/>
      <c r="AK6" s="184"/>
      <c r="AL6" s="189"/>
      <c r="AM6" s="184"/>
      <c r="AN6" s="189"/>
      <c r="AO6" s="185"/>
      <c r="AP6" s="177"/>
      <c r="AQ6" s="186"/>
      <c r="AR6"/>
    </row>
    <row r="7" spans="2:44" ht="16.5" thickBot="1">
      <c r="B7" s="42">
        <v>200</v>
      </c>
      <c r="C7" s="21" t="s">
        <v>119</v>
      </c>
      <c r="D7" s="22" t="s">
        <v>699</v>
      </c>
      <c r="E7" s="323" t="s">
        <v>873</v>
      </c>
      <c r="F7" s="323"/>
      <c r="G7" s="389" t="s">
        <v>293</v>
      </c>
      <c r="H7" s="317" t="s">
        <v>944</v>
      </c>
      <c r="I7" s="5"/>
      <c r="J7" s="5"/>
      <c r="K7" s="14"/>
      <c r="L7" s="177"/>
      <c r="M7" s="187"/>
      <c r="N7" s="184"/>
      <c r="O7" s="184"/>
      <c r="P7" s="184"/>
      <c r="Q7" s="184"/>
      <c r="R7" s="191"/>
      <c r="S7" s="184"/>
      <c r="T7" s="191"/>
      <c r="U7" s="184"/>
      <c r="V7" s="266"/>
      <c r="W7" s="184"/>
      <c r="X7" s="191"/>
      <c r="Y7" s="184"/>
      <c r="Z7" s="266"/>
      <c r="AA7" s="184"/>
      <c r="AB7" s="191"/>
      <c r="AC7" s="184"/>
      <c r="AD7" s="191"/>
      <c r="AE7" s="184"/>
      <c r="AF7" s="191"/>
      <c r="AG7" s="184"/>
      <c r="AH7" s="191"/>
      <c r="AI7" s="184"/>
      <c r="AJ7" s="191"/>
      <c r="AK7" s="184"/>
      <c r="AL7" s="191"/>
      <c r="AM7" s="184"/>
      <c r="AN7" s="191"/>
      <c r="AO7" s="185"/>
      <c r="AP7" s="177"/>
      <c r="AQ7" s="186"/>
      <c r="AR7"/>
    </row>
    <row r="8" spans="2:44" ht="16.5" thickBot="1">
      <c r="B8" s="42">
        <v>207</v>
      </c>
      <c r="C8" s="21" t="s">
        <v>126</v>
      </c>
      <c r="D8" s="22" t="s">
        <v>632</v>
      </c>
      <c r="E8" s="323" t="s">
        <v>873</v>
      </c>
      <c r="F8" s="323"/>
      <c r="G8" s="389" t="s">
        <v>302</v>
      </c>
      <c r="H8" s="317" t="s">
        <v>944</v>
      </c>
      <c r="I8" s="5"/>
      <c r="J8" s="5"/>
      <c r="K8" s="14"/>
      <c r="L8" s="177"/>
      <c r="M8" s="187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5"/>
      <c r="AP8" s="177"/>
      <c r="AQ8" s="186"/>
      <c r="AR8"/>
    </row>
    <row r="9" spans="2:44" ht="16.5" thickBot="1">
      <c r="B9" s="42">
        <v>208</v>
      </c>
      <c r="C9" s="21" t="s">
        <v>127</v>
      </c>
      <c r="D9" s="22" t="s">
        <v>655</v>
      </c>
      <c r="E9" s="323" t="s">
        <v>873</v>
      </c>
      <c r="F9" s="323"/>
      <c r="G9" s="389" t="s">
        <v>312</v>
      </c>
      <c r="H9" s="317" t="s">
        <v>944</v>
      </c>
      <c r="I9" s="5"/>
      <c r="J9" s="5"/>
      <c r="K9" s="14"/>
      <c r="L9" s="177"/>
      <c r="M9" s="187"/>
      <c r="N9" s="184"/>
      <c r="O9" s="184"/>
      <c r="P9" s="184"/>
      <c r="Q9" s="184"/>
      <c r="R9" s="189"/>
      <c r="S9" s="184"/>
      <c r="T9" s="189"/>
      <c r="U9" s="184"/>
      <c r="V9" s="265"/>
      <c r="W9" s="184"/>
      <c r="X9" s="189"/>
      <c r="Y9" s="184"/>
      <c r="Z9" s="265"/>
      <c r="AA9" s="184"/>
      <c r="AB9" s="189"/>
      <c r="AC9" s="184"/>
      <c r="AD9" s="189"/>
      <c r="AE9" s="184"/>
      <c r="AF9" s="189"/>
      <c r="AG9" s="184"/>
      <c r="AH9" s="189"/>
      <c r="AI9" s="184"/>
      <c r="AJ9" s="189"/>
      <c r="AK9" s="184"/>
      <c r="AL9" s="189"/>
      <c r="AM9" s="184"/>
      <c r="AN9" s="189"/>
      <c r="AO9" s="185"/>
      <c r="AP9" s="177"/>
      <c r="AQ9" s="186"/>
      <c r="AR9"/>
    </row>
    <row r="10" spans="2:44" ht="16.5" thickBot="1">
      <c r="B10" s="42">
        <v>228</v>
      </c>
      <c r="C10" s="21" t="s">
        <v>147</v>
      </c>
      <c r="D10" s="22" t="s">
        <v>657</v>
      </c>
      <c r="E10" s="323" t="s">
        <v>873</v>
      </c>
      <c r="F10" s="323"/>
      <c r="G10" s="389" t="s">
        <v>262</v>
      </c>
      <c r="H10" s="317" t="s">
        <v>944</v>
      </c>
      <c r="I10" s="5"/>
      <c r="J10" s="5"/>
      <c r="K10" s="14"/>
      <c r="L10" s="177"/>
      <c r="M10" s="187"/>
      <c r="N10" s="184"/>
      <c r="O10" s="184"/>
      <c r="P10" s="184"/>
      <c r="Q10" s="184"/>
      <c r="R10" s="191"/>
      <c r="S10" s="184"/>
      <c r="T10" s="191"/>
      <c r="U10" s="184"/>
      <c r="V10" s="266"/>
      <c r="W10" s="184"/>
      <c r="X10" s="191"/>
      <c r="Y10" s="184"/>
      <c r="Z10" s="266"/>
      <c r="AA10" s="184"/>
      <c r="AB10" s="191"/>
      <c r="AC10" s="184"/>
      <c r="AD10" s="191"/>
      <c r="AE10" s="184"/>
      <c r="AF10" s="191"/>
      <c r="AG10" s="184"/>
      <c r="AH10" s="191"/>
      <c r="AI10" s="184"/>
      <c r="AJ10" s="191"/>
      <c r="AK10" s="184"/>
      <c r="AL10" s="190"/>
      <c r="AM10" s="184"/>
      <c r="AN10" s="191"/>
      <c r="AO10" s="192"/>
      <c r="AP10" s="177"/>
      <c r="AQ10" s="186"/>
      <c r="AR10"/>
    </row>
    <row r="11" spans="2:44" ht="16.5" thickBot="1">
      <c r="B11" s="42">
        <v>227</v>
      </c>
      <c r="C11" s="21" t="s">
        <v>146</v>
      </c>
      <c r="D11" s="22" t="s">
        <v>634</v>
      </c>
      <c r="E11" s="323" t="s">
        <v>873</v>
      </c>
      <c r="F11" s="323"/>
      <c r="G11" s="389" t="s">
        <v>272</v>
      </c>
      <c r="H11" s="317" t="s">
        <v>944</v>
      </c>
      <c r="I11" s="5"/>
      <c r="J11" s="5"/>
      <c r="K11" s="14"/>
      <c r="L11" s="177"/>
      <c r="M11" s="187"/>
      <c r="N11" s="184"/>
      <c r="O11" s="184"/>
      <c r="P11" s="184"/>
      <c r="Q11" s="184"/>
      <c r="R11" s="556">
        <v>11</v>
      </c>
      <c r="S11" s="556"/>
      <c r="T11" s="556">
        <v>10</v>
      </c>
      <c r="U11" s="556"/>
      <c r="V11" s="184">
        <v>9</v>
      </c>
      <c r="W11" s="184"/>
      <c r="X11" s="184">
        <v>8</v>
      </c>
      <c r="Y11" s="184"/>
      <c r="Z11" s="184">
        <v>7</v>
      </c>
      <c r="AA11" s="184"/>
      <c r="AB11" s="184">
        <v>6</v>
      </c>
      <c r="AC11" s="184"/>
      <c r="AD11" s="184">
        <v>5</v>
      </c>
      <c r="AE11" s="184"/>
      <c r="AF11" s="184">
        <v>4</v>
      </c>
      <c r="AG11" s="184"/>
      <c r="AH11" s="249">
        <v>3</v>
      </c>
      <c r="AI11" s="249"/>
      <c r="AJ11" s="249">
        <v>2</v>
      </c>
      <c r="AK11" s="250"/>
      <c r="AL11" s="251">
        <v>1</v>
      </c>
      <c r="AM11" s="249"/>
      <c r="AN11" s="249">
        <v>0</v>
      </c>
      <c r="AO11" s="192"/>
      <c r="AP11" s="177"/>
      <c r="AQ11" s="186"/>
      <c r="AR11"/>
    </row>
    <row r="12" spans="2:44" ht="16.5" thickBot="1">
      <c r="B12" s="260">
        <v>189</v>
      </c>
      <c r="C12" s="261" t="s">
        <v>108</v>
      </c>
      <c r="D12" s="262" t="s">
        <v>676</v>
      </c>
      <c r="E12" s="325" t="s">
        <v>873</v>
      </c>
      <c r="F12" s="325"/>
      <c r="G12" s="386" t="s">
        <v>1010</v>
      </c>
      <c r="H12" s="317" t="s">
        <v>944</v>
      </c>
      <c r="I12" s="212"/>
      <c r="J12" s="212"/>
      <c r="K12" s="263"/>
      <c r="L12" s="177"/>
      <c r="M12" s="187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92"/>
      <c r="AP12" s="193"/>
      <c r="AQ12" s="186"/>
      <c r="AR12"/>
    </row>
    <row r="13" spans="2:44" ht="16.5" thickBot="1">
      <c r="B13" s="260">
        <v>190</v>
      </c>
      <c r="C13" s="261" t="s">
        <v>109</v>
      </c>
      <c r="D13" s="262" t="s">
        <v>698</v>
      </c>
      <c r="E13" s="325" t="s">
        <v>873</v>
      </c>
      <c r="F13" s="325"/>
      <c r="G13" s="386" t="s">
        <v>1011</v>
      </c>
      <c r="H13" s="317" t="s">
        <v>944</v>
      </c>
      <c r="I13" s="212"/>
      <c r="J13" s="212"/>
      <c r="K13" s="263"/>
      <c r="L13" s="177"/>
      <c r="M13" s="187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92"/>
      <c r="AP13" s="193"/>
      <c r="AQ13" s="186"/>
      <c r="AR13"/>
    </row>
    <row r="14" spans="2:44" ht="16.5" thickBot="1">
      <c r="B14" s="260">
        <v>179</v>
      </c>
      <c r="C14" s="261" t="s">
        <v>98</v>
      </c>
      <c r="D14" s="262" t="s">
        <v>675</v>
      </c>
      <c r="E14" s="325" t="s">
        <v>873</v>
      </c>
      <c r="F14" s="325"/>
      <c r="G14" s="386" t="s">
        <v>281</v>
      </c>
      <c r="H14" s="317" t="s">
        <v>944</v>
      </c>
      <c r="I14" s="212"/>
      <c r="J14" s="212"/>
      <c r="K14" s="263"/>
      <c r="L14" s="177"/>
      <c r="M14" s="187"/>
      <c r="N14" s="184"/>
      <c r="O14" s="184"/>
      <c r="P14" s="16" t="s">
        <v>13</v>
      </c>
      <c r="Q14" s="16"/>
      <c r="R14" s="16" t="s">
        <v>13</v>
      </c>
      <c r="S14" s="16"/>
      <c r="T14" s="16" t="s">
        <v>14</v>
      </c>
      <c r="U14" s="16"/>
      <c r="V14" s="16" t="s">
        <v>14</v>
      </c>
      <c r="W14" s="16"/>
      <c r="X14" s="16" t="s">
        <v>13</v>
      </c>
      <c r="Y14" s="16"/>
      <c r="Z14" s="16" t="s">
        <v>13</v>
      </c>
      <c r="AA14" s="16"/>
      <c r="AB14" s="16" t="s">
        <v>14</v>
      </c>
      <c r="AC14" s="16"/>
      <c r="AD14" s="16" t="s">
        <v>14</v>
      </c>
      <c r="AE14" s="16"/>
      <c r="AF14" s="16" t="s">
        <v>13</v>
      </c>
      <c r="AG14" s="16"/>
      <c r="AH14" s="16" t="s">
        <v>13</v>
      </c>
      <c r="AI14" s="16"/>
      <c r="AJ14" s="16" t="s">
        <v>14</v>
      </c>
      <c r="AK14" s="16"/>
      <c r="AL14" s="16" t="s">
        <v>14</v>
      </c>
      <c r="AM14" s="184"/>
      <c r="AN14" s="184"/>
      <c r="AO14" s="192"/>
      <c r="AP14" s="193"/>
      <c r="AQ14" s="182" t="s">
        <v>710</v>
      </c>
      <c r="AR14"/>
    </row>
    <row r="15" spans="2:44" ht="16.5" thickBot="1">
      <c r="B15" s="260">
        <v>180</v>
      </c>
      <c r="C15" s="261" t="s">
        <v>99</v>
      </c>
      <c r="D15" s="262" t="s">
        <v>697</v>
      </c>
      <c r="E15" s="325" t="s">
        <v>873</v>
      </c>
      <c r="F15" s="325"/>
      <c r="G15" s="386" t="s">
        <v>291</v>
      </c>
      <c r="H15" s="317" t="s">
        <v>944</v>
      </c>
      <c r="I15" s="212"/>
      <c r="J15" s="212"/>
      <c r="K15" s="263"/>
      <c r="L15" s="177"/>
      <c r="M15" s="187"/>
      <c r="N15" s="184"/>
      <c r="O15" s="184"/>
      <c r="P15" s="16">
        <v>2</v>
      </c>
      <c r="Q15" s="16"/>
      <c r="R15" s="16">
        <v>2</v>
      </c>
      <c r="S15" s="16"/>
      <c r="T15" s="16">
        <v>2</v>
      </c>
      <c r="U15" s="16"/>
      <c r="V15" s="16">
        <v>2</v>
      </c>
      <c r="W15" s="16"/>
      <c r="X15" s="16">
        <v>1</v>
      </c>
      <c r="Y15" s="16"/>
      <c r="Z15" s="16">
        <v>1</v>
      </c>
      <c r="AA15" s="16"/>
      <c r="AB15" s="16">
        <v>1</v>
      </c>
      <c r="AC15" s="16"/>
      <c r="AD15" s="16">
        <v>1</v>
      </c>
      <c r="AE15" s="16"/>
      <c r="AF15" s="16">
        <v>0</v>
      </c>
      <c r="AG15" s="16"/>
      <c r="AH15" s="16">
        <v>0</v>
      </c>
      <c r="AI15" s="16"/>
      <c r="AJ15" s="16">
        <v>0</v>
      </c>
      <c r="AK15" s="16"/>
      <c r="AL15" s="16">
        <v>0</v>
      </c>
      <c r="AM15" s="184"/>
      <c r="AN15" s="184"/>
      <c r="AO15" s="192"/>
      <c r="AP15" s="193"/>
      <c r="AQ15" s="182" t="s">
        <v>713</v>
      </c>
      <c r="AR15"/>
    </row>
    <row r="16" spans="2:44" ht="16.5" thickBot="1">
      <c r="B16" s="42">
        <v>197</v>
      </c>
      <c r="C16" s="21" t="s">
        <v>116</v>
      </c>
      <c r="D16" s="22" t="s">
        <v>631</v>
      </c>
      <c r="E16" s="323" t="s">
        <v>873</v>
      </c>
      <c r="F16" s="323"/>
      <c r="G16" s="389" t="s">
        <v>1014</v>
      </c>
      <c r="H16" s="317" t="s">
        <v>944</v>
      </c>
      <c r="I16" s="5"/>
      <c r="J16" s="5"/>
      <c r="K16" s="14"/>
      <c r="L16" s="177"/>
      <c r="M16" s="187"/>
      <c r="N16" s="184"/>
      <c r="O16" s="184"/>
      <c r="P16" s="16" t="s">
        <v>17</v>
      </c>
      <c r="Q16" s="16"/>
      <c r="R16" s="16" t="s">
        <v>13</v>
      </c>
      <c r="S16" s="16"/>
      <c r="T16" s="16" t="s">
        <v>13</v>
      </c>
      <c r="U16" s="16"/>
      <c r="V16" s="16" t="s">
        <v>17</v>
      </c>
      <c r="W16" s="16"/>
      <c r="X16" s="16" t="s">
        <v>17</v>
      </c>
      <c r="Y16" s="16"/>
      <c r="Z16" s="16" t="s">
        <v>13</v>
      </c>
      <c r="AA16" s="16"/>
      <c r="AB16" s="16" t="s">
        <v>13</v>
      </c>
      <c r="AC16" s="16"/>
      <c r="AD16" s="16" t="s">
        <v>17</v>
      </c>
      <c r="AE16" s="16"/>
      <c r="AF16" s="16" t="s">
        <v>17</v>
      </c>
      <c r="AG16" s="16"/>
      <c r="AH16" s="16" t="s">
        <v>13</v>
      </c>
      <c r="AI16" s="16"/>
      <c r="AJ16" s="16" t="s">
        <v>13</v>
      </c>
      <c r="AK16" s="16"/>
      <c r="AL16" s="16" t="s">
        <v>17</v>
      </c>
      <c r="AM16" s="184"/>
      <c r="AN16" s="184"/>
      <c r="AO16" s="192"/>
      <c r="AP16" s="193"/>
      <c r="AQ16" s="182" t="s">
        <v>954</v>
      </c>
      <c r="AR16"/>
    </row>
    <row r="17" spans="2:44" ht="16.5" thickBot="1">
      <c r="B17" s="42">
        <v>198</v>
      </c>
      <c r="C17" s="21" t="s">
        <v>117</v>
      </c>
      <c r="D17" s="22" t="s">
        <v>654</v>
      </c>
      <c r="E17" s="323" t="s">
        <v>873</v>
      </c>
      <c r="F17" s="323"/>
      <c r="G17" s="389" t="s">
        <v>1015</v>
      </c>
      <c r="H17" s="317" t="s">
        <v>944</v>
      </c>
      <c r="I17" s="5"/>
      <c r="J17" s="5"/>
      <c r="K17" s="14"/>
      <c r="L17" s="177"/>
      <c r="M17" s="187"/>
      <c r="N17" s="184"/>
      <c r="O17" s="16"/>
      <c r="P17" s="244">
        <v>11</v>
      </c>
      <c r="Q17" s="35"/>
      <c r="R17" s="244">
        <v>10</v>
      </c>
      <c r="S17" s="35"/>
      <c r="T17" s="244">
        <v>9</v>
      </c>
      <c r="U17" s="35"/>
      <c r="V17" s="244">
        <v>8</v>
      </c>
      <c r="W17" s="35"/>
      <c r="X17" s="255">
        <v>7</v>
      </c>
      <c r="Y17" s="35"/>
      <c r="Z17" s="244">
        <v>6</v>
      </c>
      <c r="AA17" s="35"/>
      <c r="AB17" s="244">
        <v>5</v>
      </c>
      <c r="AC17" s="35"/>
      <c r="AD17" s="244">
        <v>4</v>
      </c>
      <c r="AE17" s="35"/>
      <c r="AF17" s="244">
        <v>3</v>
      </c>
      <c r="AG17" s="35"/>
      <c r="AH17" s="244">
        <v>2</v>
      </c>
      <c r="AI17" s="35"/>
      <c r="AJ17" s="244">
        <v>1</v>
      </c>
      <c r="AK17" s="35"/>
      <c r="AL17" s="244">
        <v>0</v>
      </c>
      <c r="AM17" s="184"/>
      <c r="AN17" s="184"/>
      <c r="AO17" s="192"/>
      <c r="AP17" s="193"/>
      <c r="AQ17" s="182" t="s">
        <v>964</v>
      </c>
      <c r="AR17"/>
    </row>
    <row r="18" spans="2:44" s="1" customFormat="1" ht="16.5" thickBot="1">
      <c r="B18" s="42">
        <v>210</v>
      </c>
      <c r="C18" s="21" t="s">
        <v>129</v>
      </c>
      <c r="D18" s="22" t="s">
        <v>700</v>
      </c>
      <c r="E18" s="323" t="s">
        <v>873</v>
      </c>
      <c r="F18" s="323"/>
      <c r="G18" s="389" t="s">
        <v>285</v>
      </c>
      <c r="H18" s="317" t="s">
        <v>944</v>
      </c>
      <c r="I18" s="5"/>
      <c r="J18" s="5"/>
      <c r="K18" s="14"/>
      <c r="L18" s="177"/>
      <c r="M18" s="187"/>
      <c r="N18" s="184"/>
      <c r="O18" s="16"/>
      <c r="P18" s="246">
        <v>11</v>
      </c>
      <c r="Q18" s="35"/>
      <c r="R18" s="246">
        <v>10</v>
      </c>
      <c r="S18" s="35"/>
      <c r="T18" s="246">
        <v>9</v>
      </c>
      <c r="U18" s="35"/>
      <c r="V18" s="246">
        <v>8</v>
      </c>
      <c r="W18" s="35"/>
      <c r="X18" s="256">
        <v>7</v>
      </c>
      <c r="Y18" s="35"/>
      <c r="Z18" s="246">
        <v>6</v>
      </c>
      <c r="AA18" s="35"/>
      <c r="AB18" s="246">
        <v>5</v>
      </c>
      <c r="AC18" s="35"/>
      <c r="AD18" s="246">
        <v>4</v>
      </c>
      <c r="AE18" s="35"/>
      <c r="AF18" s="246">
        <v>3</v>
      </c>
      <c r="AG18" s="35"/>
      <c r="AH18" s="246">
        <v>2</v>
      </c>
      <c r="AI18" s="35"/>
      <c r="AJ18" s="246">
        <v>1</v>
      </c>
      <c r="AK18" s="35"/>
      <c r="AL18" s="246">
        <v>0</v>
      </c>
      <c r="AM18" s="184"/>
      <c r="AN18" s="184"/>
      <c r="AO18" s="192"/>
      <c r="AP18" s="193"/>
      <c r="AQ18" s="186"/>
      <c r="AR18"/>
    </row>
    <row r="19" spans="2:44" s="1" customFormat="1" ht="16.5" thickBot="1">
      <c r="B19" s="42">
        <v>209</v>
      </c>
      <c r="C19" s="21" t="s">
        <v>128</v>
      </c>
      <c r="D19" s="22" t="s">
        <v>678</v>
      </c>
      <c r="E19" s="323" t="s">
        <v>873</v>
      </c>
      <c r="F19" s="323"/>
      <c r="G19" s="389" t="s">
        <v>295</v>
      </c>
      <c r="H19" s="317" t="s">
        <v>944</v>
      </c>
      <c r="I19" s="5"/>
      <c r="J19" s="5"/>
      <c r="K19" s="14"/>
      <c r="L19" s="177"/>
      <c r="M19" s="194"/>
      <c r="N19" s="195"/>
      <c r="O19" s="195"/>
      <c r="P19" s="563">
        <v>11</v>
      </c>
      <c r="Q19" s="563"/>
      <c r="R19" s="563">
        <v>10</v>
      </c>
      <c r="S19" s="563"/>
      <c r="T19" s="195">
        <v>9</v>
      </c>
      <c r="U19" s="195"/>
      <c r="V19" s="195">
        <v>8</v>
      </c>
      <c r="W19" s="195"/>
      <c r="X19" s="195">
        <v>7</v>
      </c>
      <c r="Y19" s="195"/>
      <c r="Z19" s="195">
        <v>6</v>
      </c>
      <c r="AA19" s="195"/>
      <c r="AB19" s="195">
        <v>5</v>
      </c>
      <c r="AC19" s="195"/>
      <c r="AD19" s="195">
        <v>4</v>
      </c>
      <c r="AE19" s="195"/>
      <c r="AF19" s="195">
        <v>3</v>
      </c>
      <c r="AG19" s="195"/>
      <c r="AH19" s="195">
        <v>2</v>
      </c>
      <c r="AI19" s="195"/>
      <c r="AJ19" s="253">
        <v>1</v>
      </c>
      <c r="AK19" s="253"/>
      <c r="AL19" s="253">
        <v>0</v>
      </c>
      <c r="AM19" s="253"/>
      <c r="AN19" s="195"/>
      <c r="AO19" s="196"/>
      <c r="AP19" s="193"/>
      <c r="AQ19" s="186"/>
      <c r="AR19"/>
    </row>
    <row r="20" spans="2:44" s="1" customFormat="1" ht="16.5" thickBot="1">
      <c r="B20" s="42">
        <v>217</v>
      </c>
      <c r="C20" s="21" t="s">
        <v>136</v>
      </c>
      <c r="D20" s="22" t="s">
        <v>633</v>
      </c>
      <c r="E20" s="323" t="s">
        <v>873</v>
      </c>
      <c r="F20" s="323"/>
      <c r="G20" s="389" t="s">
        <v>304</v>
      </c>
      <c r="H20" s="317" t="s">
        <v>944</v>
      </c>
      <c r="I20" s="5"/>
      <c r="J20" s="5"/>
      <c r="K20" s="14"/>
      <c r="L20" s="558" t="s">
        <v>864</v>
      </c>
      <c r="M20" s="559"/>
      <c r="N20" s="559"/>
      <c r="O20" s="559"/>
      <c r="P20" s="559"/>
      <c r="Q20" s="559"/>
      <c r="R20" s="559"/>
      <c r="S20" s="559"/>
      <c r="T20" s="559"/>
      <c r="U20" s="559"/>
      <c r="V20" s="559"/>
      <c r="W20" s="559"/>
      <c r="X20" s="559"/>
      <c r="Y20" s="559"/>
      <c r="Z20" s="559"/>
      <c r="AA20" s="559"/>
      <c r="AB20" s="559"/>
      <c r="AC20" s="559"/>
      <c r="AD20" s="559"/>
      <c r="AE20" s="559"/>
      <c r="AF20" s="559"/>
      <c r="AG20" s="559"/>
      <c r="AH20" s="559"/>
      <c r="AI20" s="559"/>
      <c r="AJ20" s="559"/>
      <c r="AK20" s="559"/>
      <c r="AL20" s="559"/>
      <c r="AM20" s="559"/>
      <c r="AN20" s="559"/>
      <c r="AO20" s="559"/>
      <c r="AP20" s="559"/>
      <c r="AQ20" s="186"/>
      <c r="AR20"/>
    </row>
    <row r="21" spans="2:44" s="1" customFormat="1" ht="16.5" thickBot="1">
      <c r="B21" s="42">
        <v>218</v>
      </c>
      <c r="C21" s="21" t="s">
        <v>137</v>
      </c>
      <c r="D21" s="22" t="s">
        <v>656</v>
      </c>
      <c r="E21" s="323" t="s">
        <v>873</v>
      </c>
      <c r="F21" s="323"/>
      <c r="G21" s="389" t="s">
        <v>314</v>
      </c>
      <c r="H21" s="317" t="s">
        <v>944</v>
      </c>
      <c r="I21" s="5"/>
      <c r="J21" s="5"/>
      <c r="K21" s="14"/>
      <c r="L21" s="560" t="s">
        <v>721</v>
      </c>
      <c r="M21" s="561"/>
      <c r="N21" s="561"/>
      <c r="O21" s="561"/>
      <c r="P21" s="561"/>
      <c r="Q21" s="561"/>
      <c r="R21" s="561"/>
      <c r="S21" s="561"/>
      <c r="T21" s="561"/>
      <c r="U21" s="561"/>
      <c r="V21" s="561"/>
      <c r="W21" s="561"/>
      <c r="X21" s="561"/>
      <c r="Y21" s="561"/>
      <c r="Z21" s="561"/>
      <c r="AA21" s="561"/>
      <c r="AB21" s="561"/>
      <c r="AC21" s="561"/>
      <c r="AD21" s="561"/>
      <c r="AE21" s="561"/>
      <c r="AF21" s="561"/>
      <c r="AG21" s="561"/>
      <c r="AH21" s="561"/>
      <c r="AI21" s="561"/>
      <c r="AJ21" s="561"/>
      <c r="AK21" s="561"/>
      <c r="AL21" s="561"/>
      <c r="AM21" s="561"/>
      <c r="AN21" s="561"/>
      <c r="AO21" s="561"/>
      <c r="AP21" s="561"/>
      <c r="AQ21" s="193"/>
      <c r="AR21"/>
    </row>
    <row r="22" spans="2:44" s="1" customFormat="1" ht="16.5" thickBot="1">
      <c r="B22" s="260">
        <v>177</v>
      </c>
      <c r="C22" s="261" t="s">
        <v>96</v>
      </c>
      <c r="D22" s="262" t="s">
        <v>629</v>
      </c>
      <c r="E22" s="325" t="s">
        <v>873</v>
      </c>
      <c r="F22" s="325"/>
      <c r="G22" s="386" t="s">
        <v>264</v>
      </c>
      <c r="H22" s="317" t="s">
        <v>944</v>
      </c>
      <c r="I22" s="212"/>
      <c r="J22" s="212"/>
      <c r="K22" s="263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 ht="16.5" thickBot="1">
      <c r="B23" s="260">
        <v>187</v>
      </c>
      <c r="C23" s="261" t="s">
        <v>106</v>
      </c>
      <c r="D23" s="262" t="s">
        <v>630</v>
      </c>
      <c r="E23" s="325" t="s">
        <v>873</v>
      </c>
      <c r="F23" s="325"/>
      <c r="G23" s="386" t="s">
        <v>274</v>
      </c>
      <c r="H23" s="317" t="s">
        <v>944</v>
      </c>
      <c r="I23" s="212"/>
      <c r="J23" s="212"/>
      <c r="K23" s="263"/>
      <c r="L23"/>
      <c r="M23" s="562" t="s">
        <v>836</v>
      </c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2"/>
      <c r="AP23"/>
      <c r="AQ23"/>
      <c r="AR23"/>
    </row>
    <row r="24" spans="2:44" s="1" customFormat="1" ht="16.5" thickBot="1">
      <c r="B24" s="260">
        <v>178</v>
      </c>
      <c r="C24" s="261" t="s">
        <v>97</v>
      </c>
      <c r="D24" s="262" t="s">
        <v>652</v>
      </c>
      <c r="E24" s="325" t="s">
        <v>873</v>
      </c>
      <c r="F24" s="325"/>
      <c r="G24" s="386" t="s">
        <v>1012</v>
      </c>
      <c r="H24" s="317" t="s">
        <v>944</v>
      </c>
      <c r="I24" s="212"/>
      <c r="J24" s="212"/>
      <c r="K24" s="263"/>
      <c r="L24"/>
      <c r="M24" s="557" t="s">
        <v>883</v>
      </c>
      <c r="N24" s="557"/>
      <c r="O24" s="557"/>
      <c r="P24" s="557"/>
      <c r="Q24" s="557"/>
      <c r="R24" s="557"/>
      <c r="S24" s="557"/>
      <c r="T24" s="557"/>
      <c r="U24" s="557"/>
      <c r="V24" s="557"/>
      <c r="W24" s="557"/>
      <c r="X24" s="557"/>
      <c r="Y24" s="557"/>
      <c r="Z24" s="557"/>
      <c r="AA24" s="557"/>
      <c r="AB24" s="557"/>
      <c r="AC24" s="557"/>
      <c r="AD24" s="557"/>
      <c r="AE24" s="557"/>
      <c r="AF24" s="557"/>
      <c r="AG24" s="557"/>
      <c r="AH24" s="557"/>
      <c r="AI24" s="557"/>
      <c r="AJ24" s="557"/>
      <c r="AK24" s="557"/>
      <c r="AL24" s="557"/>
      <c r="AM24" s="557"/>
      <c r="AN24" s="557"/>
      <c r="AO24" s="557"/>
      <c r="AP24"/>
      <c r="AQ24"/>
      <c r="AR24"/>
    </row>
    <row r="25" spans="2:44" s="1" customFormat="1">
      <c r="B25" s="260">
        <v>188</v>
      </c>
      <c r="C25" s="261" t="s">
        <v>107</v>
      </c>
      <c r="D25" s="262" t="s">
        <v>653</v>
      </c>
      <c r="E25" s="325" t="s">
        <v>873</v>
      </c>
      <c r="F25" s="325"/>
      <c r="G25" s="386" t="s">
        <v>1013</v>
      </c>
      <c r="H25" s="317" t="s">
        <v>944</v>
      </c>
      <c r="I25" s="212"/>
      <c r="J25" s="212"/>
      <c r="K25" s="263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42">
        <v>277</v>
      </c>
      <c r="C26" s="21" t="s">
        <v>196</v>
      </c>
      <c r="D26" s="22" t="s">
        <v>635</v>
      </c>
      <c r="E26" s="323" t="s">
        <v>873</v>
      </c>
      <c r="F26" s="323"/>
      <c r="G26" s="389" t="s">
        <v>203</v>
      </c>
      <c r="H26" s="340" t="s">
        <v>945</v>
      </c>
      <c r="I26" s="5"/>
      <c r="J26" s="5"/>
      <c r="K26" s="14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42">
        <v>278</v>
      </c>
      <c r="C27" s="21" t="s">
        <v>197</v>
      </c>
      <c r="D27" s="22" t="s">
        <v>658</v>
      </c>
      <c r="E27" s="323" t="s">
        <v>873</v>
      </c>
      <c r="F27" s="323"/>
      <c r="G27" s="389" t="s">
        <v>213</v>
      </c>
      <c r="H27" s="316" t="s">
        <v>945</v>
      </c>
      <c r="I27" s="5"/>
      <c r="J27" s="5"/>
      <c r="K27" s="14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42">
        <v>287</v>
      </c>
      <c r="C28" s="21" t="s">
        <v>206</v>
      </c>
      <c r="D28" s="22" t="s">
        <v>636</v>
      </c>
      <c r="E28" s="323" t="s">
        <v>873</v>
      </c>
      <c r="F28" s="323"/>
      <c r="G28" s="389" t="s">
        <v>222</v>
      </c>
      <c r="H28" s="316" t="s">
        <v>945</v>
      </c>
      <c r="I28" s="5"/>
      <c r="J28" s="5"/>
      <c r="K28" s="14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42">
        <v>288</v>
      </c>
      <c r="C29" s="21" t="s">
        <v>207</v>
      </c>
      <c r="D29" s="22" t="s">
        <v>659</v>
      </c>
      <c r="E29" s="323" t="s">
        <v>873</v>
      </c>
      <c r="F29" s="323"/>
      <c r="G29" s="389" t="s">
        <v>232</v>
      </c>
      <c r="H29" s="316" t="s">
        <v>945</v>
      </c>
      <c r="I29" s="5"/>
      <c r="J29" s="5"/>
      <c r="K29" s="14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42">
        <v>297</v>
      </c>
      <c r="C30" s="21" t="s">
        <v>216</v>
      </c>
      <c r="D30" s="22" t="s">
        <v>637</v>
      </c>
      <c r="E30" s="323" t="s">
        <v>873</v>
      </c>
      <c r="F30" s="323"/>
      <c r="G30" s="389" t="s">
        <v>182</v>
      </c>
      <c r="H30" s="316" t="s">
        <v>945</v>
      </c>
      <c r="I30" s="5"/>
      <c r="J30" s="5"/>
      <c r="K30" s="14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42">
        <v>298</v>
      </c>
      <c r="C31" s="21" t="s">
        <v>217</v>
      </c>
      <c r="D31" s="22" t="s">
        <v>660</v>
      </c>
      <c r="E31" s="323" t="s">
        <v>873</v>
      </c>
      <c r="F31" s="323"/>
      <c r="G31" s="389" t="s">
        <v>192</v>
      </c>
      <c r="H31" s="316" t="s">
        <v>945</v>
      </c>
      <c r="I31" s="5"/>
      <c r="J31" s="5"/>
      <c r="K31" s="14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0">
        <v>307</v>
      </c>
      <c r="C32" s="261" t="s">
        <v>226</v>
      </c>
      <c r="D32" s="262" t="s">
        <v>638</v>
      </c>
      <c r="E32" s="325" t="s">
        <v>873</v>
      </c>
      <c r="F32" s="325"/>
      <c r="G32" s="386" t="s">
        <v>241</v>
      </c>
      <c r="H32" s="316" t="s">
        <v>945</v>
      </c>
      <c r="I32" s="212"/>
      <c r="J32" s="212"/>
      <c r="K32" s="263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8" s="1" customFormat="1">
      <c r="B33" s="260">
        <v>308</v>
      </c>
      <c r="C33" s="261" t="s">
        <v>227</v>
      </c>
      <c r="D33" s="262" t="s">
        <v>661</v>
      </c>
      <c r="E33" s="325" t="s">
        <v>873</v>
      </c>
      <c r="F33" s="325"/>
      <c r="G33" s="386" t="s">
        <v>251</v>
      </c>
      <c r="H33" s="316" t="s">
        <v>945</v>
      </c>
      <c r="I33" s="212"/>
      <c r="J33" s="212"/>
      <c r="K33" s="26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8" s="1" customFormat="1">
      <c r="B34" s="260">
        <v>317</v>
      </c>
      <c r="C34" s="261" t="s">
        <v>236</v>
      </c>
      <c r="D34" s="262" t="s">
        <v>639</v>
      </c>
      <c r="E34" s="325" t="s">
        <v>873</v>
      </c>
      <c r="F34" s="325"/>
      <c r="G34" s="386" t="s">
        <v>201</v>
      </c>
      <c r="H34" s="316" t="s">
        <v>945</v>
      </c>
      <c r="I34" s="212"/>
      <c r="J34" s="212"/>
      <c r="K34" s="263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8" s="1" customFormat="1">
      <c r="B35" s="260">
        <v>318</v>
      </c>
      <c r="C35" s="261" t="s">
        <v>237</v>
      </c>
      <c r="D35" s="262" t="s">
        <v>662</v>
      </c>
      <c r="E35" s="325" t="s">
        <v>873</v>
      </c>
      <c r="F35" s="325"/>
      <c r="G35" s="386" t="s">
        <v>211</v>
      </c>
      <c r="H35" s="316" t="s">
        <v>945</v>
      </c>
      <c r="I35" s="212"/>
      <c r="J35" s="212"/>
      <c r="K35" s="263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8" s="1" customFormat="1">
      <c r="B36" s="42">
        <v>279</v>
      </c>
      <c r="C36" s="21" t="s">
        <v>198</v>
      </c>
      <c r="D36" s="22" t="s">
        <v>679</v>
      </c>
      <c r="E36" s="323" t="s">
        <v>873</v>
      </c>
      <c r="F36" s="323"/>
      <c r="G36" s="389" t="s">
        <v>245</v>
      </c>
      <c r="H36" s="316" t="s">
        <v>945</v>
      </c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8" s="1" customFormat="1">
      <c r="B37" s="42">
        <v>280</v>
      </c>
      <c r="C37" s="21" t="s">
        <v>199</v>
      </c>
      <c r="D37" s="22" t="s">
        <v>701</v>
      </c>
      <c r="E37" s="323" t="s">
        <v>873</v>
      </c>
      <c r="F37" s="323"/>
      <c r="G37" s="389" t="s">
        <v>255</v>
      </c>
      <c r="H37" s="316" t="s">
        <v>945</v>
      </c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8" s="1" customFormat="1">
      <c r="B38" s="42">
        <v>289</v>
      </c>
      <c r="C38" s="21" t="s">
        <v>208</v>
      </c>
      <c r="D38" s="22" t="s">
        <v>680</v>
      </c>
      <c r="E38" s="323" t="s">
        <v>873</v>
      </c>
      <c r="F38" s="323"/>
      <c r="G38" s="389" t="s">
        <v>205</v>
      </c>
      <c r="H38" s="316" t="s">
        <v>945</v>
      </c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8" s="1" customFormat="1">
      <c r="B39" s="42">
        <v>290</v>
      </c>
      <c r="C39" s="21" t="s">
        <v>209</v>
      </c>
      <c r="D39" s="22" t="s">
        <v>702</v>
      </c>
      <c r="E39" s="323" t="s">
        <v>873</v>
      </c>
      <c r="F39" s="323"/>
      <c r="G39" s="389" t="s">
        <v>215</v>
      </c>
      <c r="H39" s="316" t="s">
        <v>945</v>
      </c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8" s="1" customFormat="1">
      <c r="B40" s="42">
        <v>299</v>
      </c>
      <c r="C40" s="21" t="s">
        <v>218</v>
      </c>
      <c r="D40" s="22" t="s">
        <v>681</v>
      </c>
      <c r="E40" s="323" t="s">
        <v>873</v>
      </c>
      <c r="F40" s="323"/>
      <c r="G40" s="389" t="s">
        <v>224</v>
      </c>
      <c r="H40" s="316" t="s">
        <v>945</v>
      </c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8" s="1" customFormat="1">
      <c r="B41" s="42">
        <v>300</v>
      </c>
      <c r="C41" s="21" t="s">
        <v>219</v>
      </c>
      <c r="D41" s="22" t="s">
        <v>703</v>
      </c>
      <c r="E41" s="323" t="s">
        <v>873</v>
      </c>
      <c r="F41" s="323"/>
      <c r="G41" s="389" t="s">
        <v>234</v>
      </c>
      <c r="H41" s="316" t="s">
        <v>945</v>
      </c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8" s="1" customFormat="1">
      <c r="B42" s="260">
        <v>309</v>
      </c>
      <c r="C42" s="261" t="s">
        <v>228</v>
      </c>
      <c r="D42" s="262" t="s">
        <v>682</v>
      </c>
      <c r="E42" s="325" t="s">
        <v>873</v>
      </c>
      <c r="F42" s="325"/>
      <c r="G42" s="386" t="s">
        <v>184</v>
      </c>
      <c r="H42" s="316" t="s">
        <v>945</v>
      </c>
      <c r="I42" s="212"/>
      <c r="J42" s="212"/>
      <c r="K42" s="263"/>
      <c r="L42" s="3"/>
    </row>
    <row r="43" spans="2:48" s="1" customFormat="1">
      <c r="B43" s="260">
        <v>310</v>
      </c>
      <c r="C43" s="261" t="s">
        <v>229</v>
      </c>
      <c r="D43" s="262" t="s">
        <v>704</v>
      </c>
      <c r="E43" s="325" t="s">
        <v>873</v>
      </c>
      <c r="F43" s="325"/>
      <c r="G43" s="386" t="s">
        <v>194</v>
      </c>
      <c r="H43" s="316" t="s">
        <v>945</v>
      </c>
      <c r="I43" s="212"/>
      <c r="J43" s="212"/>
      <c r="K43" s="263"/>
      <c r="L43" s="3"/>
    </row>
    <row r="44" spans="2:48" s="1" customFormat="1">
      <c r="B44" s="260">
        <v>319</v>
      </c>
      <c r="C44" s="261" t="s">
        <v>238</v>
      </c>
      <c r="D44" s="262" t="s">
        <v>683</v>
      </c>
      <c r="E44" s="325" t="s">
        <v>873</v>
      </c>
      <c r="F44" s="325"/>
      <c r="G44" s="386" t="s">
        <v>243</v>
      </c>
      <c r="H44" s="316" t="s">
        <v>945</v>
      </c>
      <c r="I44" s="212"/>
      <c r="J44" s="212"/>
      <c r="K44" s="263"/>
      <c r="L44" s="3"/>
    </row>
    <row r="45" spans="2:48" s="1" customFormat="1">
      <c r="B45" s="260">
        <v>320</v>
      </c>
      <c r="C45" s="261" t="s">
        <v>239</v>
      </c>
      <c r="D45" s="262" t="s">
        <v>705</v>
      </c>
      <c r="E45" s="325" t="s">
        <v>873</v>
      </c>
      <c r="F45" s="325"/>
      <c r="G45" s="386" t="s">
        <v>253</v>
      </c>
      <c r="H45" s="316" t="s">
        <v>945</v>
      </c>
      <c r="I45" s="212"/>
      <c r="J45" s="212"/>
      <c r="K45" s="263"/>
      <c r="L45" s="3"/>
    </row>
    <row r="46" spans="2:48" s="1" customFormat="1">
      <c r="B46" s="260">
        <v>37</v>
      </c>
      <c r="C46" s="261" t="s">
        <v>373</v>
      </c>
      <c r="D46" s="262" t="s">
        <v>622</v>
      </c>
      <c r="E46" s="325" t="s">
        <v>873</v>
      </c>
      <c r="F46" s="212"/>
      <c r="G46" s="386" t="s">
        <v>123</v>
      </c>
      <c r="H46" s="340" t="s">
        <v>946</v>
      </c>
      <c r="I46" s="212"/>
      <c r="J46" s="212"/>
      <c r="K46" s="263"/>
      <c r="L46" s="3"/>
      <c r="AQ46"/>
      <c r="AR46"/>
      <c r="AS46"/>
      <c r="AT46"/>
      <c r="AU46"/>
      <c r="AV46"/>
    </row>
    <row r="47" spans="2:48" s="1" customFormat="1">
      <c r="B47" s="260">
        <v>27</v>
      </c>
      <c r="C47" s="261" t="s">
        <v>363</v>
      </c>
      <c r="D47" s="262" t="s">
        <v>623</v>
      </c>
      <c r="E47" s="325" t="s">
        <v>873</v>
      </c>
      <c r="F47" s="212"/>
      <c r="G47" s="386" t="s">
        <v>133</v>
      </c>
      <c r="H47" s="314" t="s">
        <v>946</v>
      </c>
      <c r="I47" s="212"/>
      <c r="J47" s="212"/>
      <c r="K47" s="263"/>
      <c r="L47" s="3"/>
      <c r="AQ47"/>
      <c r="AR47"/>
      <c r="AS47"/>
      <c r="AT47"/>
      <c r="AU47"/>
      <c r="AV47"/>
    </row>
    <row r="48" spans="2:48">
      <c r="B48" s="260">
        <v>18</v>
      </c>
      <c r="C48" s="261" t="s">
        <v>354</v>
      </c>
      <c r="D48" s="262" t="s">
        <v>643</v>
      </c>
      <c r="E48" s="325" t="s">
        <v>873</v>
      </c>
      <c r="F48" s="212"/>
      <c r="G48" s="386" t="s">
        <v>142</v>
      </c>
      <c r="H48" s="314" t="s">
        <v>946</v>
      </c>
      <c r="I48" s="212"/>
      <c r="J48" s="212"/>
      <c r="K48" s="263"/>
      <c r="AQ48"/>
      <c r="AR48"/>
      <c r="AS48"/>
      <c r="AT48"/>
      <c r="AU48"/>
      <c r="AV48"/>
    </row>
    <row r="49" spans="2:48">
      <c r="B49" s="260">
        <v>8</v>
      </c>
      <c r="C49" s="261" t="s">
        <v>344</v>
      </c>
      <c r="D49" s="262" t="s">
        <v>644</v>
      </c>
      <c r="E49" s="325" t="s">
        <v>873</v>
      </c>
      <c r="F49" s="212"/>
      <c r="G49" s="386" t="s">
        <v>152</v>
      </c>
      <c r="H49" s="314" t="s">
        <v>946</v>
      </c>
      <c r="I49" s="212"/>
      <c r="J49" s="212"/>
      <c r="K49" s="263"/>
      <c r="AQ49"/>
      <c r="AR49"/>
      <c r="AS49"/>
      <c r="AT49"/>
      <c r="AU49"/>
      <c r="AV49"/>
    </row>
    <row r="50" spans="2:48">
      <c r="B50" s="260">
        <v>10</v>
      </c>
      <c r="C50" s="261" t="s">
        <v>346</v>
      </c>
      <c r="D50" s="262" t="s">
        <v>666</v>
      </c>
      <c r="E50" s="325" t="s">
        <v>873</v>
      </c>
      <c r="F50" s="212"/>
      <c r="G50" s="386" t="s">
        <v>102</v>
      </c>
      <c r="H50" s="314" t="s">
        <v>946</v>
      </c>
      <c r="I50" s="212"/>
      <c r="J50" s="212"/>
      <c r="K50" s="263"/>
      <c r="AQ50"/>
      <c r="AR50"/>
      <c r="AS50"/>
      <c r="AT50"/>
      <c r="AU50"/>
      <c r="AV50"/>
    </row>
    <row r="51" spans="2:48">
      <c r="B51" s="260">
        <v>9</v>
      </c>
      <c r="C51" s="261" t="s">
        <v>345</v>
      </c>
      <c r="D51" s="262" t="s">
        <v>688</v>
      </c>
      <c r="E51" s="325" t="s">
        <v>873</v>
      </c>
      <c r="F51" s="212"/>
      <c r="G51" s="386" t="s">
        <v>112</v>
      </c>
      <c r="H51" s="314" t="s">
        <v>946</v>
      </c>
      <c r="I51" s="212"/>
      <c r="J51" s="212"/>
      <c r="K51" s="263"/>
      <c r="AQ51"/>
      <c r="AR51"/>
      <c r="AS51"/>
      <c r="AT51"/>
      <c r="AU51"/>
      <c r="AV51"/>
    </row>
    <row r="52" spans="2:48">
      <c r="B52" s="260">
        <v>7</v>
      </c>
      <c r="C52" s="261" t="s">
        <v>343</v>
      </c>
      <c r="D52" s="262" t="s">
        <v>621</v>
      </c>
      <c r="E52" s="325" t="s">
        <v>873</v>
      </c>
      <c r="F52" s="212"/>
      <c r="G52" s="386" t="s">
        <v>161</v>
      </c>
      <c r="H52" s="314" t="s">
        <v>946</v>
      </c>
      <c r="I52" s="212"/>
      <c r="J52" s="212"/>
      <c r="K52" s="263"/>
      <c r="AQ52"/>
      <c r="AR52"/>
      <c r="AS52"/>
      <c r="AT52"/>
      <c r="AU52"/>
      <c r="AV52"/>
    </row>
    <row r="53" spans="2:48">
      <c r="B53" s="260">
        <v>17</v>
      </c>
      <c r="C53" s="261" t="s">
        <v>353</v>
      </c>
      <c r="D53" s="262" t="s">
        <v>620</v>
      </c>
      <c r="E53" s="325" t="s">
        <v>873</v>
      </c>
      <c r="F53" s="212"/>
      <c r="G53" s="386" t="s">
        <v>171</v>
      </c>
      <c r="H53" s="314" t="s">
        <v>946</v>
      </c>
      <c r="I53" s="212"/>
      <c r="J53" s="212"/>
      <c r="K53" s="263"/>
      <c r="AQ53"/>
      <c r="AR53"/>
      <c r="AS53"/>
      <c r="AT53"/>
      <c r="AU53"/>
      <c r="AV53"/>
    </row>
    <row r="54" spans="2:48">
      <c r="B54" s="260">
        <v>6</v>
      </c>
      <c r="C54" s="261" t="s">
        <v>342</v>
      </c>
      <c r="D54" s="262" t="s">
        <v>611</v>
      </c>
      <c r="E54" s="325" t="s">
        <v>873</v>
      </c>
      <c r="F54" s="212"/>
      <c r="G54" s="386" t="s">
        <v>121</v>
      </c>
      <c r="H54" s="314" t="s">
        <v>946</v>
      </c>
      <c r="I54" s="212"/>
      <c r="J54" s="212"/>
      <c r="K54" s="263"/>
      <c r="AQ54"/>
      <c r="AR54"/>
      <c r="AS54"/>
      <c r="AT54"/>
      <c r="AU54"/>
      <c r="AV54"/>
    </row>
    <row r="55" spans="2:48">
      <c r="B55" s="260">
        <v>16</v>
      </c>
      <c r="C55" s="261" t="s">
        <v>352</v>
      </c>
      <c r="D55" s="262" t="s">
        <v>610</v>
      </c>
      <c r="E55" s="325" t="s">
        <v>873</v>
      </c>
      <c r="F55" s="212"/>
      <c r="G55" s="386" t="s">
        <v>131</v>
      </c>
      <c r="H55" s="314" t="s">
        <v>946</v>
      </c>
      <c r="I55" s="212"/>
      <c r="J55" s="212"/>
      <c r="K55" s="263"/>
      <c r="AQ55"/>
      <c r="AR55"/>
      <c r="AS55"/>
      <c r="AT55"/>
      <c r="AU55"/>
      <c r="AV55"/>
    </row>
    <row r="56" spans="2:48">
      <c r="B56" s="260">
        <v>60</v>
      </c>
      <c r="C56" s="261" t="s">
        <v>396</v>
      </c>
      <c r="D56" s="264" t="s">
        <v>669</v>
      </c>
      <c r="E56" s="325" t="s">
        <v>873</v>
      </c>
      <c r="F56" s="212"/>
      <c r="G56" s="386" t="s">
        <v>165</v>
      </c>
      <c r="H56" s="314" t="s">
        <v>946</v>
      </c>
      <c r="I56" s="212"/>
      <c r="J56" s="212"/>
      <c r="K56" s="263"/>
      <c r="AQ56"/>
      <c r="AR56"/>
      <c r="AS56"/>
      <c r="AT56"/>
      <c r="AU56"/>
      <c r="AV56"/>
    </row>
    <row r="57" spans="2:48">
      <c r="B57" s="260">
        <v>59</v>
      </c>
      <c r="C57" s="261" t="s">
        <v>395</v>
      </c>
      <c r="D57" s="264" t="s">
        <v>691</v>
      </c>
      <c r="E57" s="325" t="s">
        <v>873</v>
      </c>
      <c r="F57" s="212"/>
      <c r="G57" s="386" t="s">
        <v>175</v>
      </c>
      <c r="H57" s="314" t="s">
        <v>946</v>
      </c>
      <c r="I57" s="212"/>
      <c r="J57" s="212"/>
      <c r="K57" s="263"/>
      <c r="AQ57"/>
      <c r="AR57"/>
      <c r="AS57"/>
      <c r="AT57"/>
      <c r="AU57"/>
      <c r="AV57"/>
    </row>
    <row r="58" spans="2:48">
      <c r="B58" s="260">
        <v>28</v>
      </c>
      <c r="C58" s="261" t="s">
        <v>364</v>
      </c>
      <c r="D58" s="262" t="s">
        <v>646</v>
      </c>
      <c r="E58" s="325" t="s">
        <v>873</v>
      </c>
      <c r="F58" s="212"/>
      <c r="G58" s="386" t="s">
        <v>125</v>
      </c>
      <c r="H58" s="314" t="s">
        <v>946</v>
      </c>
      <c r="I58" s="212"/>
      <c r="J58" s="212"/>
      <c r="K58" s="263"/>
      <c r="AQ58"/>
      <c r="AR58"/>
      <c r="AS58"/>
      <c r="AT58"/>
      <c r="AU58"/>
      <c r="AV58"/>
    </row>
    <row r="59" spans="2:48">
      <c r="B59" s="260">
        <v>38</v>
      </c>
      <c r="C59" s="261" t="s">
        <v>374</v>
      </c>
      <c r="D59" s="262" t="s">
        <v>645</v>
      </c>
      <c r="E59" s="325" t="s">
        <v>873</v>
      </c>
      <c r="F59" s="212"/>
      <c r="G59" s="386" t="s">
        <v>135</v>
      </c>
      <c r="H59" s="314" t="s">
        <v>946</v>
      </c>
      <c r="I59" s="212"/>
      <c r="J59" s="212"/>
      <c r="K59" s="263"/>
      <c r="AQ59"/>
      <c r="AR59"/>
      <c r="AS59"/>
      <c r="AT59"/>
      <c r="AU59"/>
      <c r="AV59"/>
    </row>
    <row r="60" spans="2:48">
      <c r="B60" s="260">
        <v>49</v>
      </c>
      <c r="C60" s="261" t="s">
        <v>385</v>
      </c>
      <c r="D60" s="264" t="s">
        <v>690</v>
      </c>
      <c r="E60" s="325" t="s">
        <v>873</v>
      </c>
      <c r="F60" s="212"/>
      <c r="G60" s="386" t="s">
        <v>144</v>
      </c>
      <c r="H60" s="314" t="s">
        <v>946</v>
      </c>
      <c r="I60" s="212"/>
      <c r="J60" s="212"/>
      <c r="K60" s="263"/>
      <c r="AQ60"/>
      <c r="AR60"/>
      <c r="AS60"/>
      <c r="AT60"/>
      <c r="AU60"/>
      <c r="AV60"/>
    </row>
    <row r="61" spans="2:48">
      <c r="B61" s="260">
        <v>50</v>
      </c>
      <c r="C61" s="261" t="s">
        <v>386</v>
      </c>
      <c r="D61" s="264" t="s">
        <v>668</v>
      </c>
      <c r="E61" s="325" t="s">
        <v>873</v>
      </c>
      <c r="F61" s="212"/>
      <c r="G61" s="386" t="s">
        <v>154</v>
      </c>
      <c r="H61" s="314" t="s">
        <v>946</v>
      </c>
      <c r="I61" s="212"/>
      <c r="J61" s="212"/>
      <c r="K61" s="263"/>
      <c r="AQ61"/>
      <c r="AR61"/>
      <c r="AS61"/>
      <c r="AT61"/>
      <c r="AU61"/>
      <c r="AV61"/>
    </row>
    <row r="62" spans="2:48">
      <c r="B62" s="260">
        <v>19</v>
      </c>
      <c r="C62" s="261" t="s">
        <v>355</v>
      </c>
      <c r="D62" s="262" t="s">
        <v>689</v>
      </c>
      <c r="E62" s="325" t="s">
        <v>873</v>
      </c>
      <c r="F62" s="212"/>
      <c r="G62" s="386" t="s">
        <v>104</v>
      </c>
      <c r="H62" s="314" t="s">
        <v>946</v>
      </c>
      <c r="I62" s="212"/>
      <c r="J62" s="212"/>
      <c r="K62" s="263"/>
      <c r="AQ62"/>
      <c r="AR62"/>
      <c r="AS62"/>
      <c r="AT62"/>
      <c r="AU62"/>
      <c r="AV62"/>
    </row>
    <row r="63" spans="2:48">
      <c r="B63" s="260">
        <v>20</v>
      </c>
      <c r="C63" s="261" t="s">
        <v>356</v>
      </c>
      <c r="D63" s="262" t="s">
        <v>667</v>
      </c>
      <c r="E63" s="325" t="s">
        <v>873</v>
      </c>
      <c r="F63" s="212"/>
      <c r="G63" s="386" t="s">
        <v>114</v>
      </c>
      <c r="H63" s="314" t="s">
        <v>946</v>
      </c>
      <c r="I63" s="212"/>
      <c r="J63" s="212"/>
      <c r="K63" s="263"/>
      <c r="AQ63"/>
      <c r="AR63"/>
      <c r="AS63"/>
      <c r="AT63"/>
      <c r="AU63"/>
      <c r="AV63"/>
    </row>
    <row r="64" spans="2:48">
      <c r="B64" s="260">
        <v>26</v>
      </c>
      <c r="C64" s="261" t="s">
        <v>362</v>
      </c>
      <c r="D64" s="262" t="s">
        <v>613</v>
      </c>
      <c r="E64" s="325" t="s">
        <v>873</v>
      </c>
      <c r="F64" s="212"/>
      <c r="G64" s="386" t="s">
        <v>163</v>
      </c>
      <c r="H64" s="314" t="s">
        <v>946</v>
      </c>
      <c r="I64" s="212"/>
      <c r="J64" s="212"/>
      <c r="K64" s="263"/>
      <c r="AQ64"/>
      <c r="AR64"/>
      <c r="AS64"/>
      <c r="AT64"/>
      <c r="AU64"/>
      <c r="AV64"/>
    </row>
    <row r="65" spans="2:48">
      <c r="B65" s="260">
        <v>36</v>
      </c>
      <c r="C65" s="261" t="s">
        <v>372</v>
      </c>
      <c r="D65" s="262" t="s">
        <v>612</v>
      </c>
      <c r="E65" s="325" t="s">
        <v>873</v>
      </c>
      <c r="F65" s="212"/>
      <c r="G65" s="386" t="s">
        <v>173</v>
      </c>
      <c r="H65" s="314" t="s">
        <v>946</v>
      </c>
      <c r="I65" s="212"/>
      <c r="J65" s="212"/>
      <c r="K65" s="263"/>
      <c r="AQ65"/>
      <c r="AR65"/>
      <c r="AS65"/>
      <c r="AT65"/>
      <c r="AU65"/>
      <c r="AV65"/>
    </row>
    <row r="66" spans="2:48">
      <c r="B66" s="260">
        <v>118</v>
      </c>
      <c r="C66" s="261" t="s">
        <v>37</v>
      </c>
      <c r="D66" s="262" t="s">
        <v>624</v>
      </c>
      <c r="E66" s="325" t="s">
        <v>873</v>
      </c>
      <c r="F66" s="212"/>
      <c r="G66" s="386" t="s">
        <v>43</v>
      </c>
      <c r="H66" s="340" t="s">
        <v>947</v>
      </c>
      <c r="I66" s="212"/>
      <c r="J66" s="212"/>
      <c r="K66" s="263"/>
      <c r="AQ66"/>
      <c r="AR66"/>
      <c r="AS66"/>
      <c r="AT66"/>
      <c r="AU66"/>
      <c r="AV66"/>
    </row>
    <row r="67" spans="2:48">
      <c r="B67" s="260">
        <v>117</v>
      </c>
      <c r="C67" s="261" t="s">
        <v>36</v>
      </c>
      <c r="D67" s="262" t="s">
        <v>647</v>
      </c>
      <c r="E67" s="325" t="s">
        <v>873</v>
      </c>
      <c r="F67" s="212"/>
      <c r="G67" s="386" t="s">
        <v>53</v>
      </c>
      <c r="H67" s="314" t="s">
        <v>947</v>
      </c>
      <c r="I67" s="212"/>
      <c r="J67" s="212"/>
      <c r="K67" s="263"/>
      <c r="AQ67"/>
      <c r="AR67"/>
      <c r="AS67"/>
      <c r="AT67"/>
      <c r="AU67"/>
      <c r="AV67"/>
    </row>
    <row r="68" spans="2:48">
      <c r="B68" s="260">
        <v>148</v>
      </c>
      <c r="C68" s="261" t="s">
        <v>67</v>
      </c>
      <c r="D68" s="262" t="s">
        <v>626</v>
      </c>
      <c r="E68" s="325" t="s">
        <v>873</v>
      </c>
      <c r="F68" s="212"/>
      <c r="G68" s="386" t="s">
        <v>62</v>
      </c>
      <c r="H68" s="314" t="s">
        <v>947</v>
      </c>
      <c r="I68" s="212"/>
      <c r="J68" s="212"/>
      <c r="K68" s="263"/>
      <c r="AQ68"/>
      <c r="AR68"/>
      <c r="AS68"/>
      <c r="AT68"/>
      <c r="AU68"/>
      <c r="AV68"/>
    </row>
    <row r="69" spans="2:48">
      <c r="B69" s="260">
        <v>147</v>
      </c>
      <c r="C69" s="261" t="s">
        <v>66</v>
      </c>
      <c r="D69" s="262" t="s">
        <v>649</v>
      </c>
      <c r="E69" s="325" t="s">
        <v>873</v>
      </c>
      <c r="F69" s="212"/>
      <c r="G69" s="386" t="s">
        <v>72</v>
      </c>
      <c r="H69" s="314" t="s">
        <v>947</v>
      </c>
      <c r="I69" s="212"/>
      <c r="J69" s="212"/>
      <c r="K69" s="263"/>
      <c r="AQ69"/>
      <c r="AR69"/>
      <c r="AS69"/>
      <c r="AT69"/>
      <c r="AU69"/>
      <c r="AV69"/>
    </row>
    <row r="70" spans="2:48">
      <c r="B70" s="260">
        <v>168</v>
      </c>
      <c r="C70" s="261" t="s">
        <v>87</v>
      </c>
      <c r="D70" s="262" t="s">
        <v>628</v>
      </c>
      <c r="E70" s="325" t="s">
        <v>873</v>
      </c>
      <c r="F70" s="212"/>
      <c r="G70" s="386" t="s">
        <v>22</v>
      </c>
      <c r="H70" s="314" t="s">
        <v>947</v>
      </c>
      <c r="I70" s="212"/>
      <c r="J70" s="212"/>
      <c r="K70" s="263"/>
      <c r="AQ70"/>
      <c r="AR70"/>
      <c r="AS70"/>
      <c r="AT70"/>
      <c r="AU70"/>
      <c r="AV70"/>
    </row>
    <row r="71" spans="2:48">
      <c r="B71" s="260">
        <v>167</v>
      </c>
      <c r="C71" s="261" t="s">
        <v>86</v>
      </c>
      <c r="D71" s="262" t="s">
        <v>651</v>
      </c>
      <c r="E71" s="325" t="s">
        <v>873</v>
      </c>
      <c r="F71" s="212"/>
      <c r="G71" s="386" t="s">
        <v>32</v>
      </c>
      <c r="H71" s="314" t="s">
        <v>947</v>
      </c>
      <c r="I71" s="212"/>
      <c r="J71" s="212"/>
      <c r="K71" s="263"/>
      <c r="AQ71"/>
      <c r="AR71"/>
      <c r="AS71"/>
      <c r="AT71"/>
      <c r="AU71"/>
      <c r="AV71"/>
    </row>
    <row r="72" spans="2:48">
      <c r="B72" s="260">
        <v>170</v>
      </c>
      <c r="C72" s="261" t="s">
        <v>89</v>
      </c>
      <c r="D72" s="262" t="s">
        <v>674</v>
      </c>
      <c r="E72" s="325" t="s">
        <v>873</v>
      </c>
      <c r="F72" s="212"/>
      <c r="G72" s="386" t="s">
        <v>81</v>
      </c>
      <c r="H72" s="314" t="s">
        <v>947</v>
      </c>
      <c r="I72" s="212"/>
      <c r="J72" s="212"/>
      <c r="K72" s="263"/>
      <c r="AQ72"/>
      <c r="AR72"/>
      <c r="AS72"/>
      <c r="AT72"/>
      <c r="AU72"/>
      <c r="AV72"/>
    </row>
    <row r="73" spans="2:48">
      <c r="B73" s="260">
        <v>169</v>
      </c>
      <c r="C73" s="261" t="s">
        <v>88</v>
      </c>
      <c r="D73" s="262" t="s">
        <v>696</v>
      </c>
      <c r="E73" s="325" t="s">
        <v>873</v>
      </c>
      <c r="F73" s="212"/>
      <c r="G73" s="386" t="s">
        <v>91</v>
      </c>
      <c r="H73" s="314" t="s">
        <v>947</v>
      </c>
      <c r="I73" s="212"/>
      <c r="J73" s="212"/>
      <c r="K73" s="263"/>
      <c r="AQ73"/>
      <c r="AR73"/>
      <c r="AS73"/>
      <c r="AT73"/>
      <c r="AU73"/>
      <c r="AV73"/>
    </row>
    <row r="74" spans="2:48">
      <c r="B74" s="260">
        <v>158</v>
      </c>
      <c r="C74" s="261" t="s">
        <v>77</v>
      </c>
      <c r="D74" s="262" t="s">
        <v>627</v>
      </c>
      <c r="E74" s="325" t="s">
        <v>873</v>
      </c>
      <c r="F74" s="212"/>
      <c r="G74" s="386" t="s">
        <v>41</v>
      </c>
      <c r="H74" s="314" t="s">
        <v>947</v>
      </c>
      <c r="I74" s="212"/>
      <c r="J74" s="212"/>
      <c r="K74" s="263"/>
      <c r="AQ74"/>
      <c r="AR74"/>
      <c r="AS74"/>
      <c r="AT74"/>
      <c r="AU74"/>
      <c r="AV74"/>
    </row>
    <row r="75" spans="2:48">
      <c r="B75" s="260">
        <v>157</v>
      </c>
      <c r="C75" s="261" t="s">
        <v>76</v>
      </c>
      <c r="D75" s="262" t="s">
        <v>650</v>
      </c>
      <c r="E75" s="325" t="s">
        <v>873</v>
      </c>
      <c r="F75" s="212"/>
      <c r="G75" s="386" t="s">
        <v>51</v>
      </c>
      <c r="H75" s="314" t="s">
        <v>947</v>
      </c>
      <c r="I75" s="212"/>
      <c r="J75" s="212"/>
      <c r="K75" s="263"/>
      <c r="AQ75"/>
      <c r="AR75"/>
      <c r="AS75"/>
      <c r="AT75"/>
      <c r="AU75"/>
      <c r="AV75"/>
    </row>
    <row r="76" spans="2:48">
      <c r="B76" s="260">
        <v>129</v>
      </c>
      <c r="C76" s="261" t="s">
        <v>48</v>
      </c>
      <c r="D76" s="262" t="s">
        <v>692</v>
      </c>
      <c r="E76" s="325" t="s">
        <v>873</v>
      </c>
      <c r="F76" s="212"/>
      <c r="G76" s="386" t="s">
        <v>85</v>
      </c>
      <c r="H76" s="314" t="s">
        <v>947</v>
      </c>
      <c r="I76" s="212"/>
      <c r="J76" s="212"/>
      <c r="K76" s="263"/>
      <c r="AQ76"/>
      <c r="AR76"/>
      <c r="AS76"/>
      <c r="AT76"/>
      <c r="AU76"/>
      <c r="AV76"/>
    </row>
    <row r="77" spans="2:48">
      <c r="B77" s="260">
        <v>130</v>
      </c>
      <c r="C77" s="261" t="s">
        <v>49</v>
      </c>
      <c r="D77" s="262" t="s">
        <v>670</v>
      </c>
      <c r="E77" s="325" t="s">
        <v>873</v>
      </c>
      <c r="F77" s="212"/>
      <c r="G77" s="386" t="s">
        <v>95</v>
      </c>
      <c r="H77" s="314" t="s">
        <v>947</v>
      </c>
      <c r="I77" s="212"/>
      <c r="J77" s="212"/>
      <c r="K77" s="263"/>
      <c r="AQ77"/>
      <c r="AR77"/>
      <c r="AS77"/>
      <c r="AT77"/>
      <c r="AU77"/>
      <c r="AV77"/>
    </row>
    <row r="78" spans="2:48">
      <c r="B78" s="260">
        <v>139</v>
      </c>
      <c r="C78" s="261" t="s">
        <v>58</v>
      </c>
      <c r="D78" s="262" t="s">
        <v>693</v>
      </c>
      <c r="E78" s="325" t="s">
        <v>873</v>
      </c>
      <c r="F78" s="212"/>
      <c r="G78" s="386" t="s">
        <v>45</v>
      </c>
      <c r="H78" s="314" t="s">
        <v>947</v>
      </c>
      <c r="I78" s="212"/>
      <c r="J78" s="212"/>
      <c r="K78" s="263"/>
      <c r="AQ78"/>
      <c r="AR78"/>
      <c r="AS78"/>
      <c r="AT78"/>
      <c r="AU78"/>
      <c r="AV78"/>
    </row>
    <row r="79" spans="2:48">
      <c r="B79" s="260">
        <v>140</v>
      </c>
      <c r="C79" s="261" t="s">
        <v>59</v>
      </c>
      <c r="D79" s="262" t="s">
        <v>671</v>
      </c>
      <c r="E79" s="325" t="s">
        <v>873</v>
      </c>
      <c r="F79" s="212"/>
      <c r="G79" s="386" t="s">
        <v>55</v>
      </c>
      <c r="H79" s="314" t="s">
        <v>947</v>
      </c>
      <c r="I79" s="212"/>
      <c r="J79" s="212"/>
      <c r="K79" s="263"/>
      <c r="AQ79"/>
      <c r="AR79"/>
      <c r="AS79"/>
      <c r="AT79"/>
      <c r="AU79"/>
      <c r="AV79"/>
    </row>
    <row r="80" spans="2:48">
      <c r="B80" s="260">
        <v>138</v>
      </c>
      <c r="C80" s="261" t="s">
        <v>57</v>
      </c>
      <c r="D80" s="262" t="s">
        <v>625</v>
      </c>
      <c r="E80" s="325" t="s">
        <v>873</v>
      </c>
      <c r="F80" s="212"/>
      <c r="G80" s="386" t="s">
        <v>64</v>
      </c>
      <c r="H80" s="314" t="s">
        <v>947</v>
      </c>
      <c r="I80" s="212"/>
      <c r="J80" s="212"/>
      <c r="K80" s="263"/>
      <c r="AQ80"/>
      <c r="AR80"/>
      <c r="AS80"/>
      <c r="AT80"/>
      <c r="AU80"/>
      <c r="AV80"/>
    </row>
    <row r="81" spans="2:48">
      <c r="B81" s="260">
        <v>137</v>
      </c>
      <c r="C81" s="261" t="s">
        <v>56</v>
      </c>
      <c r="D81" s="262" t="s">
        <v>648</v>
      </c>
      <c r="E81" s="325" t="s">
        <v>873</v>
      </c>
      <c r="F81" s="212"/>
      <c r="G81" s="386" t="s">
        <v>74</v>
      </c>
      <c r="H81" s="314" t="s">
        <v>947</v>
      </c>
      <c r="I81" s="212"/>
      <c r="J81" s="212"/>
      <c r="K81" s="263"/>
      <c r="AQ81"/>
      <c r="AR81"/>
      <c r="AS81"/>
      <c r="AT81"/>
      <c r="AU81"/>
      <c r="AV81"/>
    </row>
    <row r="82" spans="2:48">
      <c r="B82" s="260">
        <v>150</v>
      </c>
      <c r="C82" s="261" t="s">
        <v>69</v>
      </c>
      <c r="D82" s="262" t="s">
        <v>672</v>
      </c>
      <c r="E82" s="325" t="s">
        <v>873</v>
      </c>
      <c r="F82" s="212"/>
      <c r="G82" s="386" t="s">
        <v>24</v>
      </c>
      <c r="H82" s="314" t="s">
        <v>947</v>
      </c>
      <c r="I82" s="212"/>
      <c r="J82" s="212"/>
      <c r="K82" s="263"/>
      <c r="AQ82"/>
      <c r="AR82"/>
      <c r="AS82"/>
      <c r="AT82"/>
      <c r="AU82"/>
      <c r="AV82"/>
    </row>
    <row r="83" spans="2:48">
      <c r="B83" s="260">
        <v>149</v>
      </c>
      <c r="C83" s="261" t="s">
        <v>68</v>
      </c>
      <c r="D83" s="262" t="s">
        <v>694</v>
      </c>
      <c r="E83" s="325" t="s">
        <v>873</v>
      </c>
      <c r="F83" s="212"/>
      <c r="G83" s="386" t="s">
        <v>34</v>
      </c>
      <c r="H83" s="314" t="s">
        <v>947</v>
      </c>
      <c r="I83" s="212"/>
      <c r="J83" s="212"/>
      <c r="K83" s="263"/>
      <c r="AQ83"/>
      <c r="AR83"/>
      <c r="AS83"/>
      <c r="AT83"/>
      <c r="AU83"/>
      <c r="AV83"/>
    </row>
    <row r="84" spans="2:48">
      <c r="B84" s="260">
        <v>160</v>
      </c>
      <c r="C84" s="261" t="s">
        <v>79</v>
      </c>
      <c r="D84" s="262" t="s">
        <v>673</v>
      </c>
      <c r="E84" s="325" t="s">
        <v>873</v>
      </c>
      <c r="F84" s="212"/>
      <c r="G84" s="386" t="s">
        <v>83</v>
      </c>
      <c r="H84" s="314" t="s">
        <v>947</v>
      </c>
      <c r="I84" s="212"/>
      <c r="J84" s="212"/>
      <c r="K84" s="263"/>
      <c r="AQ84"/>
      <c r="AR84"/>
      <c r="AS84"/>
      <c r="AT84"/>
      <c r="AU84"/>
      <c r="AV84"/>
    </row>
    <row r="85" spans="2:48">
      <c r="B85" s="260">
        <v>159</v>
      </c>
      <c r="C85" s="261" t="s">
        <v>78</v>
      </c>
      <c r="D85" s="262" t="s">
        <v>695</v>
      </c>
      <c r="E85" s="325" t="s">
        <v>873</v>
      </c>
      <c r="F85" s="212"/>
      <c r="G85" s="386" t="s">
        <v>93</v>
      </c>
      <c r="H85" s="314" t="s">
        <v>947</v>
      </c>
      <c r="I85" s="212"/>
      <c r="J85" s="212"/>
      <c r="K85" s="263"/>
      <c r="AQ85"/>
      <c r="AR85"/>
      <c r="AS85"/>
      <c r="AT85"/>
      <c r="AU85"/>
      <c r="AV85"/>
    </row>
    <row r="86" spans="2:48">
      <c r="B86" s="260">
        <v>128</v>
      </c>
      <c r="C86" s="261" t="s">
        <v>47</v>
      </c>
      <c r="D86" s="262" t="s">
        <v>507</v>
      </c>
      <c r="E86" s="325" t="s">
        <v>873</v>
      </c>
      <c r="F86" s="212"/>
      <c r="G86" s="325" t="s">
        <v>306</v>
      </c>
      <c r="H86" s="212"/>
      <c r="I86" s="212"/>
      <c r="J86" s="212"/>
      <c r="K86" s="263"/>
    </row>
    <row r="87" spans="2:48">
      <c r="B87" s="260">
        <v>127</v>
      </c>
      <c r="C87" s="261" t="s">
        <v>46</v>
      </c>
      <c r="D87" s="262" t="s">
        <v>497</v>
      </c>
      <c r="E87" s="325" t="s">
        <v>873</v>
      </c>
      <c r="F87" s="212"/>
      <c r="G87" s="325" t="s">
        <v>316</v>
      </c>
      <c r="H87" s="212"/>
      <c r="I87" s="212"/>
      <c r="J87" s="212"/>
      <c r="K87" s="263"/>
    </row>
    <row r="88" spans="2:48">
      <c r="B88" s="260">
        <v>79</v>
      </c>
      <c r="C88" s="261" t="s">
        <v>415</v>
      </c>
      <c r="D88" s="264" t="s">
        <v>490</v>
      </c>
      <c r="E88" s="212"/>
      <c r="F88" s="212"/>
      <c r="G88" s="212"/>
      <c r="H88" s="212"/>
      <c r="I88" s="212"/>
      <c r="J88" s="212"/>
      <c r="K88" s="263"/>
    </row>
    <row r="89" spans="2:48">
      <c r="B89" s="260">
        <v>78</v>
      </c>
      <c r="C89" s="261" t="s">
        <v>414</v>
      </c>
      <c r="D89" s="264" t="s">
        <v>498</v>
      </c>
      <c r="E89" s="325" t="s">
        <v>873</v>
      </c>
      <c r="F89" s="325"/>
      <c r="G89" s="325" t="s">
        <v>47</v>
      </c>
      <c r="H89" s="212"/>
      <c r="I89" s="212"/>
      <c r="J89" s="212"/>
      <c r="K89" s="263"/>
    </row>
    <row r="90" spans="2:48">
      <c r="B90" s="260">
        <v>88</v>
      </c>
      <c r="C90" s="261" t="s">
        <v>424</v>
      </c>
      <c r="D90" s="262" t="s">
        <v>499</v>
      </c>
      <c r="E90" s="212"/>
      <c r="F90" s="212"/>
      <c r="G90" s="212"/>
      <c r="H90" s="212"/>
      <c r="I90" s="212"/>
      <c r="J90" s="212"/>
      <c r="K90" s="263"/>
    </row>
    <row r="91" spans="2:48">
      <c r="B91" s="260">
        <v>89</v>
      </c>
      <c r="C91" s="261" t="s">
        <v>425</v>
      </c>
      <c r="D91" s="262" t="s">
        <v>491</v>
      </c>
      <c r="E91" s="325" t="s">
        <v>873</v>
      </c>
      <c r="F91" s="325"/>
      <c r="G91" s="325" t="s">
        <v>57</v>
      </c>
      <c r="H91" s="212"/>
      <c r="I91" s="212"/>
      <c r="J91" s="212"/>
      <c r="K91" s="263"/>
    </row>
    <row r="92" spans="2:48">
      <c r="B92" s="260">
        <v>47</v>
      </c>
      <c r="C92" s="261" t="s">
        <v>383</v>
      </c>
      <c r="D92" s="264" t="s">
        <v>474</v>
      </c>
      <c r="E92" s="212"/>
      <c r="F92" s="212"/>
      <c r="G92" s="212"/>
      <c r="H92" s="212"/>
      <c r="I92" s="212"/>
      <c r="J92" s="212"/>
      <c r="K92" s="263"/>
    </row>
    <row r="93" spans="2:48">
      <c r="B93" s="260">
        <v>57</v>
      </c>
      <c r="C93" s="261" t="s">
        <v>393</v>
      </c>
      <c r="D93" s="264" t="s">
        <v>474</v>
      </c>
      <c r="E93" s="212"/>
      <c r="F93" s="212"/>
      <c r="G93" s="212"/>
      <c r="H93" s="212"/>
      <c r="I93" s="212"/>
      <c r="J93" s="212"/>
      <c r="K93" s="263"/>
    </row>
    <row r="94" spans="2:48">
      <c r="B94" s="260">
        <v>67</v>
      </c>
      <c r="C94" s="261" t="s">
        <v>403</v>
      </c>
      <c r="D94" s="264" t="s">
        <v>474</v>
      </c>
      <c r="E94" s="212"/>
      <c r="F94" s="212"/>
      <c r="G94" s="212"/>
      <c r="H94" s="212"/>
      <c r="I94" s="212"/>
      <c r="J94" s="212"/>
      <c r="K94" s="263"/>
    </row>
    <row r="95" spans="2:48">
      <c r="B95" s="260">
        <v>77</v>
      </c>
      <c r="C95" s="261" t="s">
        <v>413</v>
      </c>
      <c r="D95" s="264" t="s">
        <v>474</v>
      </c>
      <c r="E95" s="212"/>
      <c r="F95" s="212"/>
      <c r="G95" s="212"/>
      <c r="H95" s="212"/>
      <c r="I95" s="212"/>
      <c r="J95" s="212"/>
      <c r="K95" s="263"/>
    </row>
    <row r="96" spans="2:48">
      <c r="B96" s="260">
        <v>87</v>
      </c>
      <c r="C96" s="261" t="s">
        <v>423</v>
      </c>
      <c r="D96" s="262" t="s">
        <v>474</v>
      </c>
      <c r="E96" s="212"/>
      <c r="F96" s="212"/>
      <c r="G96" s="212"/>
      <c r="H96" s="212"/>
      <c r="I96" s="212"/>
      <c r="J96" s="212"/>
      <c r="K96" s="263"/>
    </row>
    <row r="97" spans="2:11">
      <c r="B97" s="260">
        <v>48</v>
      </c>
      <c r="C97" s="261" t="s">
        <v>384</v>
      </c>
      <c r="D97" s="264" t="s">
        <v>474</v>
      </c>
      <c r="E97" s="212"/>
      <c r="F97" s="212"/>
      <c r="G97" s="212"/>
      <c r="H97" s="212"/>
      <c r="I97" s="212"/>
      <c r="J97" s="212"/>
      <c r="K97" s="263"/>
    </row>
    <row r="98" spans="2:11">
      <c r="B98" s="260">
        <v>58</v>
      </c>
      <c r="C98" s="261" t="s">
        <v>394</v>
      </c>
      <c r="D98" s="264" t="s">
        <v>474</v>
      </c>
      <c r="E98" s="212"/>
      <c r="F98" s="212"/>
      <c r="G98" s="212"/>
      <c r="H98" s="212"/>
      <c r="I98" s="212"/>
      <c r="J98" s="212"/>
      <c r="K98" s="263"/>
    </row>
    <row r="99" spans="2:11">
      <c r="B99" s="260">
        <v>68</v>
      </c>
      <c r="C99" s="261" t="s">
        <v>404</v>
      </c>
      <c r="D99" s="264" t="s">
        <v>474</v>
      </c>
      <c r="E99" s="212"/>
      <c r="F99" s="212"/>
      <c r="G99" s="212"/>
      <c r="H99" s="212"/>
      <c r="I99" s="212"/>
      <c r="J99" s="212"/>
      <c r="K99" s="263"/>
    </row>
    <row r="100" spans="2:11">
      <c r="B100" s="260">
        <v>69</v>
      </c>
      <c r="C100" s="261" t="s">
        <v>405</v>
      </c>
      <c r="D100" s="264" t="s">
        <v>474</v>
      </c>
      <c r="E100" s="212"/>
      <c r="F100" s="212"/>
      <c r="G100" s="212"/>
      <c r="H100" s="212"/>
      <c r="I100" s="212"/>
      <c r="J100" s="212"/>
      <c r="K100" s="263"/>
    </row>
    <row r="101" spans="2:11">
      <c r="B101" s="260">
        <v>70</v>
      </c>
      <c r="C101" s="261" t="s">
        <v>406</v>
      </c>
      <c r="D101" s="264" t="s">
        <v>508</v>
      </c>
      <c r="E101" s="212"/>
      <c r="F101" s="212"/>
      <c r="G101" s="212"/>
      <c r="H101" s="212"/>
      <c r="I101" s="212"/>
      <c r="J101" s="212"/>
      <c r="K101" s="263"/>
    </row>
    <row r="102" spans="2:11">
      <c r="B102" s="260">
        <v>80</v>
      </c>
      <c r="C102" s="261" t="s">
        <v>416</v>
      </c>
      <c r="D102" s="264" t="s">
        <v>510</v>
      </c>
      <c r="E102" s="212"/>
      <c r="F102" s="212"/>
      <c r="G102" s="212"/>
      <c r="H102" s="212"/>
      <c r="I102" s="212"/>
      <c r="J102" s="212"/>
      <c r="K102" s="263"/>
    </row>
    <row r="103" spans="2:11">
      <c r="B103" s="260">
        <v>90</v>
      </c>
      <c r="C103" s="261" t="s">
        <v>426</v>
      </c>
      <c r="D103" s="262" t="s">
        <v>509</v>
      </c>
      <c r="E103" s="212"/>
      <c r="F103" s="212"/>
      <c r="G103" s="212"/>
      <c r="H103" s="212"/>
      <c r="I103" s="212"/>
      <c r="J103" s="212"/>
      <c r="K103" s="263"/>
    </row>
    <row r="104" spans="2:11">
      <c r="B104" s="260">
        <v>106</v>
      </c>
      <c r="C104" s="261" t="s">
        <v>25</v>
      </c>
      <c r="D104" s="262" t="s">
        <v>482</v>
      </c>
      <c r="E104" s="212"/>
      <c r="F104" s="212"/>
      <c r="G104" s="212"/>
      <c r="H104" s="212"/>
      <c r="I104" s="212"/>
      <c r="J104" s="212"/>
      <c r="K104" s="263"/>
    </row>
    <row r="105" spans="2:11">
      <c r="B105" s="260">
        <v>116</v>
      </c>
      <c r="C105" s="261" t="s">
        <v>35</v>
      </c>
      <c r="D105" s="262" t="s">
        <v>482</v>
      </c>
      <c r="E105" s="212"/>
      <c r="F105" s="212"/>
      <c r="G105" s="212"/>
      <c r="H105" s="212"/>
      <c r="I105" s="212"/>
      <c r="J105" s="212"/>
      <c r="K105" s="263"/>
    </row>
    <row r="106" spans="2:11">
      <c r="B106" s="260">
        <v>126</v>
      </c>
      <c r="C106" s="261" t="s">
        <v>45</v>
      </c>
      <c r="D106" s="262" t="s">
        <v>482</v>
      </c>
      <c r="E106" s="212"/>
      <c r="F106" s="212"/>
      <c r="G106" s="212"/>
      <c r="H106" s="212"/>
      <c r="I106" s="212"/>
      <c r="J106" s="212"/>
      <c r="K106" s="263"/>
    </row>
    <row r="107" spans="2:11">
      <c r="B107" s="260">
        <v>136</v>
      </c>
      <c r="C107" s="261" t="s">
        <v>55</v>
      </c>
      <c r="D107" s="262" t="s">
        <v>482</v>
      </c>
      <c r="E107" s="212"/>
      <c r="F107" s="212"/>
      <c r="G107" s="212"/>
      <c r="H107" s="212"/>
      <c r="I107" s="212"/>
      <c r="J107" s="212"/>
      <c r="K107" s="263"/>
    </row>
    <row r="108" spans="2:11">
      <c r="B108" s="260">
        <v>97</v>
      </c>
      <c r="C108" s="261" t="s">
        <v>9</v>
      </c>
      <c r="D108" s="262" t="s">
        <v>482</v>
      </c>
      <c r="E108" s="212"/>
      <c r="F108" s="212"/>
      <c r="G108" s="212"/>
      <c r="H108" s="212"/>
      <c r="I108" s="212"/>
      <c r="J108" s="212"/>
      <c r="K108" s="263"/>
    </row>
    <row r="109" spans="2:11">
      <c r="B109" s="260">
        <v>107</v>
      </c>
      <c r="C109" s="261" t="s">
        <v>26</v>
      </c>
      <c r="D109" s="262" t="s">
        <v>482</v>
      </c>
      <c r="E109" s="212"/>
      <c r="F109" s="212"/>
      <c r="G109" s="212"/>
      <c r="H109" s="212"/>
      <c r="I109" s="212"/>
      <c r="J109" s="212"/>
      <c r="K109" s="263"/>
    </row>
    <row r="110" spans="2:11">
      <c r="B110" s="260">
        <v>98</v>
      </c>
      <c r="C110" s="261" t="s">
        <v>10</v>
      </c>
      <c r="D110" s="262" t="s">
        <v>482</v>
      </c>
      <c r="E110" s="212"/>
      <c r="F110" s="212"/>
      <c r="G110" s="212"/>
      <c r="H110" s="212"/>
      <c r="I110" s="212"/>
      <c r="J110" s="212"/>
      <c r="K110" s="263"/>
    </row>
    <row r="111" spans="2:11">
      <c r="B111" s="260">
        <v>108</v>
      </c>
      <c r="C111" s="261" t="s">
        <v>27</v>
      </c>
      <c r="D111" s="262" t="s">
        <v>482</v>
      </c>
      <c r="E111" s="212"/>
      <c r="F111" s="212"/>
      <c r="G111" s="212"/>
      <c r="H111" s="212"/>
      <c r="I111" s="212"/>
      <c r="J111" s="212"/>
      <c r="K111" s="263"/>
    </row>
    <row r="112" spans="2:11">
      <c r="B112" s="260">
        <v>109</v>
      </c>
      <c r="C112" s="261" t="s">
        <v>28</v>
      </c>
      <c r="D112" s="262" t="s">
        <v>482</v>
      </c>
      <c r="E112" s="212"/>
      <c r="F112" s="212"/>
      <c r="G112" s="212"/>
      <c r="H112" s="212"/>
      <c r="I112" s="212"/>
      <c r="J112" s="212"/>
      <c r="K112" s="263"/>
    </row>
    <row r="113" spans="2:11">
      <c r="B113" s="260">
        <v>100</v>
      </c>
      <c r="C113" s="261" t="s">
        <v>12</v>
      </c>
      <c r="D113" s="262" t="s">
        <v>482</v>
      </c>
      <c r="E113" s="212"/>
      <c r="F113" s="212"/>
      <c r="G113" s="212"/>
      <c r="H113" s="212"/>
      <c r="I113" s="212"/>
      <c r="J113" s="212"/>
      <c r="K113" s="263"/>
    </row>
    <row r="114" spans="2:11">
      <c r="B114" s="260">
        <v>110</v>
      </c>
      <c r="C114" s="261" t="s">
        <v>29</v>
      </c>
      <c r="D114" s="262" t="s">
        <v>482</v>
      </c>
      <c r="E114" s="212"/>
      <c r="F114" s="212"/>
      <c r="G114" s="212"/>
      <c r="H114" s="212"/>
      <c r="I114" s="212"/>
      <c r="J114" s="212"/>
      <c r="K114" s="263"/>
    </row>
    <row r="115" spans="2:11">
      <c r="B115" s="260">
        <v>30</v>
      </c>
      <c r="C115" s="261" t="s">
        <v>366</v>
      </c>
      <c r="D115" s="262" t="s">
        <v>511</v>
      </c>
      <c r="E115" s="212"/>
      <c r="F115" s="212"/>
      <c r="G115" s="212"/>
      <c r="H115" s="212"/>
      <c r="I115" s="212"/>
      <c r="J115" s="212"/>
      <c r="K115" s="263"/>
    </row>
    <row r="116" spans="2:11">
      <c r="B116" s="260">
        <v>29</v>
      </c>
      <c r="C116" s="261" t="s">
        <v>365</v>
      </c>
      <c r="D116" s="326" t="s">
        <v>500</v>
      </c>
      <c r="E116" s="325" t="s">
        <v>873</v>
      </c>
      <c r="F116" s="325"/>
      <c r="G116" s="325" t="s">
        <v>187</v>
      </c>
      <c r="H116" s="212"/>
      <c r="I116" s="212"/>
      <c r="J116" s="212"/>
      <c r="K116" s="263"/>
    </row>
    <row r="117" spans="2:11">
      <c r="B117" s="260">
        <v>39</v>
      </c>
      <c r="C117" s="261" t="s">
        <v>375</v>
      </c>
      <c r="D117" s="326" t="s">
        <v>483</v>
      </c>
      <c r="E117" s="325" t="s">
        <v>873</v>
      </c>
      <c r="F117" s="212"/>
      <c r="G117" s="325" t="s">
        <v>970</v>
      </c>
      <c r="H117" s="212"/>
      <c r="I117" s="212"/>
      <c r="J117" s="212"/>
      <c r="K117" s="263"/>
    </row>
    <row r="118" spans="2:11">
      <c r="B118" s="260">
        <v>40</v>
      </c>
      <c r="C118" s="261" t="s">
        <v>376</v>
      </c>
      <c r="D118" s="326" t="s">
        <v>492</v>
      </c>
      <c r="E118" s="325" t="s">
        <v>873</v>
      </c>
      <c r="F118" s="212"/>
      <c r="G118" s="325" t="s">
        <v>971</v>
      </c>
      <c r="H118" s="212"/>
      <c r="I118" s="212"/>
      <c r="J118" s="212"/>
      <c r="K118" s="263"/>
    </row>
    <row r="119" spans="2:11">
      <c r="B119" s="260">
        <v>119</v>
      </c>
      <c r="C119" s="261" t="s">
        <v>38</v>
      </c>
      <c r="D119" s="326" t="s">
        <v>506</v>
      </c>
      <c r="E119" s="325" t="s">
        <v>873</v>
      </c>
      <c r="F119" s="212"/>
      <c r="G119" s="325"/>
      <c r="H119" s="212"/>
      <c r="I119" s="212"/>
      <c r="J119" s="212"/>
      <c r="K119" s="263"/>
    </row>
    <row r="120" spans="2:11">
      <c r="B120" s="260">
        <v>120</v>
      </c>
      <c r="C120" s="261" t="s">
        <v>39</v>
      </c>
      <c r="D120" s="326" t="s">
        <v>496</v>
      </c>
      <c r="E120" s="325" t="s">
        <v>873</v>
      </c>
      <c r="F120" s="325"/>
      <c r="G120" s="325" t="s">
        <v>297</v>
      </c>
      <c r="H120" s="212"/>
      <c r="I120" s="212"/>
      <c r="J120" s="212"/>
      <c r="K120" s="263"/>
    </row>
    <row r="121" spans="2:11">
      <c r="B121" s="42">
        <v>267</v>
      </c>
      <c r="C121" s="21" t="s">
        <v>186</v>
      </c>
      <c r="D121" s="22" t="s">
        <v>485</v>
      </c>
      <c r="E121" s="323" t="s">
        <v>873</v>
      </c>
      <c r="F121" s="5"/>
      <c r="G121" s="387" t="s">
        <v>976</v>
      </c>
      <c r="H121" s="5"/>
      <c r="I121" s="5"/>
      <c r="J121" s="5"/>
      <c r="K121" s="14"/>
    </row>
    <row r="122" spans="2:11">
      <c r="B122" s="42">
        <v>268</v>
      </c>
      <c r="C122" s="21" t="s">
        <v>187</v>
      </c>
      <c r="D122" s="22" t="s">
        <v>494</v>
      </c>
      <c r="E122" s="323" t="s">
        <v>873</v>
      </c>
      <c r="F122" s="5"/>
      <c r="G122" s="387" t="s">
        <v>977</v>
      </c>
      <c r="H122" s="5"/>
      <c r="I122" s="5"/>
      <c r="J122" s="5"/>
      <c r="K122" s="14"/>
    </row>
    <row r="123" spans="2:11">
      <c r="B123" s="42">
        <v>258</v>
      </c>
      <c r="C123" s="21" t="s">
        <v>177</v>
      </c>
      <c r="D123" s="22" t="s">
        <v>493</v>
      </c>
      <c r="E123" s="5"/>
      <c r="F123" s="5"/>
      <c r="G123" s="5"/>
      <c r="H123" s="5"/>
      <c r="I123" s="5"/>
      <c r="J123" s="5"/>
      <c r="K123" s="14"/>
    </row>
    <row r="124" spans="2:11">
      <c r="B124" s="42">
        <v>257</v>
      </c>
      <c r="C124" s="21" t="s">
        <v>176</v>
      </c>
      <c r="D124" s="22" t="s">
        <v>484</v>
      </c>
      <c r="E124" s="323" t="s">
        <v>873</v>
      </c>
      <c r="F124" s="323"/>
      <c r="G124" s="387" t="s">
        <v>127</v>
      </c>
      <c r="H124" s="5"/>
      <c r="I124" s="5"/>
      <c r="J124" s="5"/>
      <c r="K124" s="14"/>
    </row>
    <row r="125" spans="2:11">
      <c r="B125" s="42">
        <v>260</v>
      </c>
      <c r="C125" s="21" t="s">
        <v>179</v>
      </c>
      <c r="D125" s="22" t="s">
        <v>516</v>
      </c>
      <c r="E125" s="5"/>
      <c r="F125" s="5"/>
      <c r="G125" s="5"/>
      <c r="H125" s="5"/>
      <c r="I125" s="5"/>
      <c r="J125" s="5"/>
      <c r="K125" s="14"/>
    </row>
    <row r="126" spans="2:11">
      <c r="B126" s="42">
        <v>259</v>
      </c>
      <c r="C126" s="21" t="s">
        <v>178</v>
      </c>
      <c r="D126" s="22" t="s">
        <v>504</v>
      </c>
      <c r="E126" s="323" t="s">
        <v>873</v>
      </c>
      <c r="F126" s="323"/>
      <c r="G126" s="387" t="s">
        <v>137</v>
      </c>
      <c r="H126" s="5"/>
      <c r="I126" s="5"/>
      <c r="J126" s="5"/>
      <c r="K126" s="14"/>
    </row>
    <row r="127" spans="2:11">
      <c r="B127" s="42">
        <v>206</v>
      </c>
      <c r="C127" s="21" t="s">
        <v>125</v>
      </c>
      <c r="D127" s="22" t="s">
        <v>475</v>
      </c>
      <c r="E127" s="5"/>
      <c r="F127" s="5"/>
      <c r="G127" s="5"/>
      <c r="H127" s="5"/>
      <c r="I127" s="5"/>
      <c r="J127" s="5"/>
      <c r="K127" s="14"/>
    </row>
    <row r="128" spans="2:11">
      <c r="B128" s="42">
        <v>216</v>
      </c>
      <c r="C128" s="21" t="s">
        <v>135</v>
      </c>
      <c r="D128" s="22" t="s">
        <v>475</v>
      </c>
      <c r="E128" s="5"/>
      <c r="F128" s="5"/>
      <c r="G128" s="5"/>
      <c r="H128" s="5"/>
      <c r="I128" s="5"/>
      <c r="J128" s="5"/>
      <c r="K128" s="14"/>
    </row>
    <row r="129" spans="2:11">
      <c r="B129" s="42">
        <v>226</v>
      </c>
      <c r="C129" s="21" t="s">
        <v>145</v>
      </c>
      <c r="D129" s="22" t="s">
        <v>475</v>
      </c>
      <c r="E129" s="5"/>
      <c r="F129" s="5"/>
      <c r="G129" s="5"/>
      <c r="H129" s="5"/>
      <c r="I129" s="5"/>
      <c r="J129" s="5"/>
      <c r="K129" s="14"/>
    </row>
    <row r="130" spans="2:11">
      <c r="B130" s="42">
        <v>236</v>
      </c>
      <c r="C130" s="21" t="s">
        <v>155</v>
      </c>
      <c r="D130" s="22" t="s">
        <v>475</v>
      </c>
      <c r="E130" s="5"/>
      <c r="F130" s="5"/>
      <c r="G130" s="5"/>
      <c r="H130" s="5"/>
      <c r="I130" s="5"/>
      <c r="J130" s="5"/>
      <c r="K130" s="14"/>
    </row>
    <row r="131" spans="2:11">
      <c r="B131" s="42">
        <v>246</v>
      </c>
      <c r="C131" s="21" t="s">
        <v>165</v>
      </c>
      <c r="D131" s="22" t="s">
        <v>475</v>
      </c>
      <c r="E131" s="5"/>
      <c r="F131" s="5"/>
      <c r="G131" s="5"/>
      <c r="H131" s="5"/>
      <c r="I131" s="5"/>
      <c r="J131" s="5"/>
      <c r="K131" s="14"/>
    </row>
    <row r="132" spans="2:11">
      <c r="B132" s="42">
        <v>256</v>
      </c>
      <c r="C132" s="21" t="s">
        <v>175</v>
      </c>
      <c r="D132" s="22" t="s">
        <v>475</v>
      </c>
      <c r="E132" s="5"/>
      <c r="F132" s="5"/>
      <c r="G132" s="5"/>
      <c r="H132" s="5"/>
      <c r="I132" s="5"/>
      <c r="J132" s="5"/>
      <c r="K132" s="14"/>
    </row>
    <row r="133" spans="2:11">
      <c r="B133" s="42">
        <v>237</v>
      </c>
      <c r="C133" s="21" t="s">
        <v>156</v>
      </c>
      <c r="D133" s="22" t="s">
        <v>475</v>
      </c>
      <c r="E133" s="5"/>
      <c r="F133" s="5"/>
      <c r="G133" s="5"/>
      <c r="H133" s="5"/>
      <c r="I133" s="5"/>
      <c r="J133" s="5"/>
      <c r="K133" s="14"/>
    </row>
    <row r="134" spans="2:11">
      <c r="B134" s="42">
        <v>247</v>
      </c>
      <c r="C134" s="21" t="s">
        <v>166</v>
      </c>
      <c r="D134" s="22" t="s">
        <v>475</v>
      </c>
      <c r="E134" s="5"/>
      <c r="F134" s="5"/>
      <c r="G134" s="5"/>
      <c r="H134" s="5"/>
      <c r="I134" s="5"/>
      <c r="J134" s="5"/>
      <c r="K134" s="14"/>
    </row>
    <row r="135" spans="2:11">
      <c r="B135" s="42">
        <v>238</v>
      </c>
      <c r="C135" s="21" t="s">
        <v>157</v>
      </c>
      <c r="D135" s="22" t="s">
        <v>475</v>
      </c>
      <c r="E135" s="5"/>
      <c r="F135" s="5"/>
      <c r="G135" s="5"/>
      <c r="H135" s="5"/>
      <c r="I135" s="5"/>
      <c r="J135" s="5"/>
      <c r="K135" s="14"/>
    </row>
    <row r="136" spans="2:11">
      <c r="B136" s="42">
        <v>248</v>
      </c>
      <c r="C136" s="21" t="s">
        <v>167</v>
      </c>
      <c r="D136" s="22" t="s">
        <v>475</v>
      </c>
      <c r="E136" s="5"/>
      <c r="F136" s="5"/>
      <c r="G136" s="5"/>
      <c r="H136" s="5"/>
      <c r="I136" s="5"/>
      <c r="J136" s="5"/>
      <c r="K136" s="14"/>
    </row>
    <row r="137" spans="2:11">
      <c r="B137" s="42">
        <v>239</v>
      </c>
      <c r="C137" s="21" t="s">
        <v>158</v>
      </c>
      <c r="D137" s="22" t="s">
        <v>475</v>
      </c>
      <c r="E137" s="5"/>
      <c r="F137" s="5"/>
      <c r="G137" s="5"/>
      <c r="H137" s="5"/>
      <c r="I137" s="5"/>
      <c r="J137" s="5"/>
      <c r="K137" s="14"/>
    </row>
    <row r="138" spans="2:11">
      <c r="B138" s="42">
        <v>240</v>
      </c>
      <c r="C138" s="21" t="s">
        <v>159</v>
      </c>
      <c r="D138" s="22" t="s">
        <v>514</v>
      </c>
      <c r="E138" s="5"/>
      <c r="F138" s="5"/>
      <c r="G138" s="5"/>
      <c r="H138" s="5"/>
      <c r="I138" s="5"/>
      <c r="J138" s="5"/>
      <c r="K138" s="14"/>
    </row>
    <row r="139" spans="2:11">
      <c r="B139" s="42">
        <v>250</v>
      </c>
      <c r="C139" s="21" t="s">
        <v>169</v>
      </c>
      <c r="D139" s="22" t="s">
        <v>515</v>
      </c>
      <c r="E139" s="5"/>
      <c r="F139" s="5"/>
      <c r="G139" s="5"/>
      <c r="H139" s="5"/>
      <c r="I139" s="5"/>
      <c r="J139" s="5"/>
      <c r="K139" s="14"/>
    </row>
    <row r="140" spans="2:11">
      <c r="B140" s="42">
        <v>249</v>
      </c>
      <c r="C140" s="21" t="s">
        <v>168</v>
      </c>
      <c r="D140" s="22" t="s">
        <v>503</v>
      </c>
      <c r="E140" s="5"/>
      <c r="F140" s="5"/>
      <c r="G140" s="5"/>
      <c r="H140" s="5"/>
      <c r="I140" s="5"/>
      <c r="J140" s="5"/>
      <c r="K140" s="14"/>
    </row>
    <row r="141" spans="2:11">
      <c r="B141" s="42">
        <v>266</v>
      </c>
      <c r="C141" s="21" t="s">
        <v>185</v>
      </c>
      <c r="D141" s="22" t="s">
        <v>476</v>
      </c>
      <c r="E141" s="5"/>
      <c r="F141" s="5"/>
      <c r="G141" s="5"/>
      <c r="H141" s="5"/>
      <c r="I141" s="5"/>
      <c r="J141" s="5"/>
      <c r="K141" s="14"/>
    </row>
    <row r="142" spans="2:11">
      <c r="B142" s="42">
        <v>276</v>
      </c>
      <c r="C142" s="21" t="s">
        <v>195</v>
      </c>
      <c r="D142" s="22" t="s">
        <v>476</v>
      </c>
      <c r="E142" s="5"/>
      <c r="F142" s="5"/>
      <c r="G142" s="5"/>
      <c r="H142" s="5"/>
      <c r="I142" s="5"/>
      <c r="J142" s="5"/>
      <c r="K142" s="14"/>
    </row>
    <row r="143" spans="2:11">
      <c r="B143" s="42">
        <v>286</v>
      </c>
      <c r="C143" s="21" t="s">
        <v>205</v>
      </c>
      <c r="D143" s="22" t="s">
        <v>476</v>
      </c>
      <c r="E143" s="5"/>
      <c r="F143" s="5"/>
      <c r="G143" s="5"/>
      <c r="H143" s="5"/>
      <c r="I143" s="5"/>
      <c r="J143" s="5"/>
      <c r="K143" s="14"/>
    </row>
    <row r="144" spans="2:11">
      <c r="B144" s="42">
        <v>296</v>
      </c>
      <c r="C144" s="21" t="s">
        <v>215</v>
      </c>
      <c r="D144" s="22" t="s">
        <v>476</v>
      </c>
      <c r="E144" s="5"/>
      <c r="F144" s="5"/>
      <c r="G144" s="5"/>
      <c r="H144" s="5"/>
      <c r="I144" s="5"/>
      <c r="J144" s="5"/>
      <c r="K144" s="14"/>
    </row>
    <row r="145" spans="2:11">
      <c r="B145" s="42">
        <v>306</v>
      </c>
      <c r="C145" s="21" t="s">
        <v>225</v>
      </c>
      <c r="D145" s="22" t="s">
        <v>476</v>
      </c>
      <c r="E145" s="5"/>
      <c r="F145" s="5"/>
      <c r="G145" s="5"/>
      <c r="H145" s="5"/>
      <c r="I145" s="5"/>
      <c r="J145" s="5"/>
      <c r="K145" s="14"/>
    </row>
    <row r="146" spans="2:11">
      <c r="B146" s="42">
        <v>316</v>
      </c>
      <c r="C146" s="21" t="s">
        <v>235</v>
      </c>
      <c r="D146" s="22" t="s">
        <v>476</v>
      </c>
      <c r="E146" s="5"/>
      <c r="F146" s="5"/>
      <c r="G146" s="5"/>
      <c r="H146" s="5"/>
      <c r="I146" s="5"/>
      <c r="J146" s="5"/>
      <c r="K146" s="14"/>
    </row>
    <row r="147" spans="2:11">
      <c r="B147" s="42">
        <v>326</v>
      </c>
      <c r="C147" s="21" t="s">
        <v>245</v>
      </c>
      <c r="D147" s="22" t="s">
        <v>476</v>
      </c>
      <c r="E147" s="5"/>
      <c r="F147" s="5"/>
      <c r="G147" s="5"/>
      <c r="H147" s="5"/>
      <c r="I147" s="5"/>
      <c r="J147" s="5"/>
      <c r="K147" s="14"/>
    </row>
    <row r="148" spans="2:11">
      <c r="B148" s="42">
        <v>328</v>
      </c>
      <c r="C148" s="21" t="s">
        <v>247</v>
      </c>
      <c r="D148" s="22" t="s">
        <v>476</v>
      </c>
      <c r="E148" s="5"/>
      <c r="F148" s="5"/>
      <c r="G148" s="5"/>
      <c r="H148" s="5"/>
      <c r="I148" s="5"/>
      <c r="J148" s="5"/>
      <c r="K148" s="14"/>
    </row>
    <row r="149" spans="2:11">
      <c r="B149" s="42">
        <v>329</v>
      </c>
      <c r="C149" s="21" t="s">
        <v>248</v>
      </c>
      <c r="D149" s="22" t="s">
        <v>476</v>
      </c>
      <c r="E149" s="5"/>
      <c r="F149" s="5"/>
      <c r="G149" s="5"/>
      <c r="H149" s="5"/>
      <c r="I149" s="5"/>
      <c r="J149" s="5"/>
      <c r="K149" s="14"/>
    </row>
    <row r="150" spans="2:11">
      <c r="B150" s="42">
        <v>330</v>
      </c>
      <c r="C150" s="21" t="s">
        <v>249</v>
      </c>
      <c r="D150" s="22" t="s">
        <v>476</v>
      </c>
      <c r="E150" s="5"/>
      <c r="F150" s="5"/>
      <c r="G150" s="5"/>
      <c r="H150" s="5"/>
      <c r="I150" s="5"/>
      <c r="J150" s="5"/>
      <c r="K150" s="14"/>
    </row>
    <row r="151" spans="2:11">
      <c r="B151" s="42">
        <v>219</v>
      </c>
      <c r="C151" s="21" t="s">
        <v>138</v>
      </c>
      <c r="D151" s="22" t="s">
        <v>501</v>
      </c>
      <c r="E151" s="5"/>
      <c r="F151" s="5"/>
      <c r="G151" s="5"/>
      <c r="H151" s="5"/>
      <c r="I151" s="5"/>
      <c r="J151" s="5"/>
      <c r="K151" s="14"/>
    </row>
    <row r="152" spans="2:11">
      <c r="B152" s="42">
        <v>220</v>
      </c>
      <c r="C152" s="21" t="s">
        <v>139</v>
      </c>
      <c r="D152" s="327" t="s">
        <v>512</v>
      </c>
      <c r="E152" s="323" t="s">
        <v>873</v>
      </c>
      <c r="F152" s="323"/>
      <c r="G152" s="387" t="s">
        <v>67</v>
      </c>
      <c r="H152" s="5"/>
      <c r="I152" s="5"/>
      <c r="J152" s="5"/>
      <c r="K152" s="14"/>
    </row>
    <row r="153" spans="2:11">
      <c r="B153" s="42">
        <v>229</v>
      </c>
      <c r="C153" s="21" t="s">
        <v>148</v>
      </c>
      <c r="D153" s="327" t="s">
        <v>502</v>
      </c>
      <c r="E153" s="323" t="s">
        <v>873</v>
      </c>
      <c r="F153" s="13"/>
      <c r="G153" s="324" t="s">
        <v>1031</v>
      </c>
      <c r="H153" s="5" t="s">
        <v>1041</v>
      </c>
      <c r="I153" s="5"/>
      <c r="J153" s="5"/>
      <c r="K153" s="14"/>
    </row>
    <row r="154" spans="2:11">
      <c r="B154" s="42">
        <v>230</v>
      </c>
      <c r="C154" s="21" t="s">
        <v>149</v>
      </c>
      <c r="D154" s="327" t="s">
        <v>513</v>
      </c>
      <c r="E154" s="323" t="s">
        <v>873</v>
      </c>
      <c r="F154" s="13"/>
      <c r="G154" s="324" t="s">
        <v>1032</v>
      </c>
      <c r="H154" s="5"/>
      <c r="I154" s="5"/>
      <c r="J154" s="5"/>
      <c r="K154" s="14"/>
    </row>
    <row r="155" spans="2:11">
      <c r="B155" s="42">
        <v>269</v>
      </c>
      <c r="C155" s="21" t="s">
        <v>188</v>
      </c>
      <c r="D155" s="327" t="s">
        <v>517</v>
      </c>
      <c r="E155" s="323" t="s">
        <v>873</v>
      </c>
      <c r="F155" s="5"/>
      <c r="G155" s="323" t="s">
        <v>317</v>
      </c>
      <c r="H155" s="5"/>
      <c r="I155" s="5"/>
      <c r="J155" s="5"/>
      <c r="K155" s="14"/>
    </row>
    <row r="156" spans="2:11">
      <c r="B156" s="42">
        <v>270</v>
      </c>
      <c r="C156" s="21" t="s">
        <v>189</v>
      </c>
      <c r="D156" s="327" t="s">
        <v>505</v>
      </c>
      <c r="E156" s="323" t="s">
        <v>873</v>
      </c>
      <c r="F156" s="323"/>
      <c r="G156" s="387" t="s">
        <v>975</v>
      </c>
      <c r="H156" s="5"/>
      <c r="I156" s="5"/>
      <c r="J156" s="5"/>
      <c r="K156" s="14"/>
    </row>
    <row r="157" spans="2:11">
      <c r="B157" s="197">
        <v>400</v>
      </c>
      <c r="C157" s="198" t="s">
        <v>319</v>
      </c>
      <c r="D157" s="292" t="s">
        <v>709</v>
      </c>
      <c r="E157" s="199"/>
      <c r="F157" s="199"/>
      <c r="G157" s="199"/>
      <c r="H157" s="199"/>
      <c r="I157" s="199"/>
      <c r="J157" s="199"/>
      <c r="K157" s="200"/>
    </row>
    <row r="158" spans="2:11">
      <c r="B158" s="197">
        <v>399</v>
      </c>
      <c r="C158" s="198" t="s">
        <v>318</v>
      </c>
      <c r="D158" s="292" t="s">
        <v>687</v>
      </c>
      <c r="E158" s="199"/>
      <c r="F158" s="199"/>
      <c r="G158" s="199"/>
      <c r="H158" s="199"/>
      <c r="I158" s="199"/>
      <c r="J158" s="199"/>
      <c r="K158" s="200"/>
    </row>
    <row r="159" spans="2:11">
      <c r="B159" s="197">
        <v>398</v>
      </c>
      <c r="C159" s="198" t="s">
        <v>317</v>
      </c>
      <c r="D159" s="292" t="s">
        <v>665</v>
      </c>
      <c r="E159" s="199"/>
      <c r="F159" s="199"/>
      <c r="G159" s="199"/>
      <c r="H159" s="199"/>
      <c r="I159" s="199"/>
      <c r="J159" s="199"/>
      <c r="K159" s="200"/>
    </row>
    <row r="160" spans="2:11">
      <c r="B160" s="197">
        <v>397</v>
      </c>
      <c r="C160" s="198" t="s">
        <v>316</v>
      </c>
      <c r="D160" s="292" t="s">
        <v>642</v>
      </c>
      <c r="E160" s="199"/>
      <c r="F160" s="199"/>
      <c r="G160" s="199"/>
      <c r="H160" s="199"/>
      <c r="I160" s="199"/>
      <c r="J160" s="199"/>
      <c r="K160" s="200"/>
    </row>
    <row r="161" spans="2:11">
      <c r="B161" s="197">
        <v>366</v>
      </c>
      <c r="C161" s="198" t="s">
        <v>285</v>
      </c>
      <c r="D161" s="292" t="s">
        <v>618</v>
      </c>
      <c r="E161" s="199"/>
      <c r="F161" s="199"/>
      <c r="G161" s="199"/>
      <c r="H161" s="199"/>
      <c r="I161" s="199"/>
      <c r="J161" s="199"/>
      <c r="K161" s="200"/>
    </row>
    <row r="162" spans="2:11">
      <c r="B162" s="197">
        <v>376</v>
      </c>
      <c r="C162" s="198" t="s">
        <v>295</v>
      </c>
      <c r="D162" s="292" t="s">
        <v>619</v>
      </c>
      <c r="E162" s="199"/>
      <c r="F162" s="199"/>
      <c r="G162" s="199"/>
      <c r="H162" s="199"/>
      <c r="I162" s="199"/>
      <c r="J162" s="199"/>
      <c r="K162" s="200"/>
    </row>
    <row r="163" spans="2:11">
      <c r="B163" s="197">
        <v>390</v>
      </c>
      <c r="C163" s="198" t="s">
        <v>309</v>
      </c>
      <c r="D163" s="292" t="s">
        <v>708</v>
      </c>
      <c r="E163" s="199"/>
      <c r="F163" s="199"/>
      <c r="G163" s="199"/>
      <c r="H163" s="199"/>
      <c r="I163" s="199"/>
      <c r="J163" s="199"/>
      <c r="K163" s="200"/>
    </row>
    <row r="164" spans="2:11">
      <c r="B164" s="197">
        <v>389</v>
      </c>
      <c r="C164" s="198" t="s">
        <v>308</v>
      </c>
      <c r="D164" s="292" t="s">
        <v>686</v>
      </c>
      <c r="E164" s="199"/>
      <c r="F164" s="199"/>
      <c r="G164" s="199"/>
      <c r="H164" s="199"/>
      <c r="I164" s="199"/>
      <c r="J164" s="199"/>
      <c r="K164" s="200"/>
    </row>
    <row r="165" spans="2:11">
      <c r="B165" s="197">
        <v>370</v>
      </c>
      <c r="C165" s="198" t="s">
        <v>289</v>
      </c>
      <c r="D165" s="292" t="s">
        <v>706</v>
      </c>
      <c r="E165" s="199"/>
      <c r="F165" s="199"/>
      <c r="G165" s="199"/>
      <c r="H165" s="199"/>
      <c r="I165" s="199"/>
      <c r="J165" s="199"/>
      <c r="K165" s="200"/>
    </row>
    <row r="166" spans="2:11">
      <c r="B166" s="197">
        <v>369</v>
      </c>
      <c r="C166" s="198" t="s">
        <v>288</v>
      </c>
      <c r="D166" s="292" t="s">
        <v>684</v>
      </c>
      <c r="E166" s="199"/>
      <c r="F166" s="199"/>
      <c r="G166" s="199"/>
      <c r="H166" s="199"/>
      <c r="I166" s="199"/>
      <c r="J166" s="199"/>
      <c r="K166" s="200"/>
    </row>
    <row r="167" spans="2:11">
      <c r="B167" s="197">
        <v>377</v>
      </c>
      <c r="C167" s="198" t="s">
        <v>296</v>
      </c>
      <c r="D167" s="292" t="s">
        <v>641</v>
      </c>
      <c r="E167" s="199"/>
      <c r="F167" s="199"/>
      <c r="G167" s="199"/>
      <c r="H167" s="199"/>
      <c r="I167" s="199"/>
      <c r="J167" s="199"/>
      <c r="K167" s="200"/>
    </row>
    <row r="168" spans="2:11">
      <c r="B168" s="197">
        <v>378</v>
      </c>
      <c r="C168" s="198" t="s">
        <v>297</v>
      </c>
      <c r="D168" s="292" t="s">
        <v>664</v>
      </c>
      <c r="E168" s="199"/>
      <c r="F168" s="199"/>
      <c r="G168" s="199"/>
      <c r="H168" s="199"/>
      <c r="I168" s="199"/>
      <c r="J168" s="199"/>
      <c r="K168" s="200"/>
    </row>
    <row r="169" spans="2:11">
      <c r="B169" s="197">
        <v>367</v>
      </c>
      <c r="C169" s="198" t="s">
        <v>286</v>
      </c>
      <c r="D169" s="292" t="s">
        <v>640</v>
      </c>
      <c r="E169" s="199"/>
      <c r="F169" s="199"/>
      <c r="G169" s="199"/>
      <c r="H169" s="199"/>
      <c r="I169" s="199"/>
      <c r="J169" s="199"/>
      <c r="K169" s="200"/>
    </row>
    <row r="170" spans="2:11">
      <c r="B170" s="197">
        <v>368</v>
      </c>
      <c r="C170" s="198" t="s">
        <v>287</v>
      </c>
      <c r="D170" s="292" t="s">
        <v>663</v>
      </c>
      <c r="E170" s="199"/>
      <c r="F170" s="199"/>
      <c r="G170" s="199"/>
      <c r="H170" s="199"/>
      <c r="I170" s="199"/>
      <c r="J170" s="199"/>
      <c r="K170" s="200"/>
    </row>
    <row r="171" spans="2:11">
      <c r="B171" s="197">
        <v>380</v>
      </c>
      <c r="C171" s="198" t="s">
        <v>299</v>
      </c>
      <c r="D171" s="292" t="s">
        <v>707</v>
      </c>
      <c r="E171" s="199"/>
      <c r="F171" s="199"/>
      <c r="G171" s="199"/>
      <c r="H171" s="199"/>
      <c r="I171" s="199"/>
      <c r="J171" s="199"/>
      <c r="K171" s="200"/>
    </row>
    <row r="172" spans="2:11">
      <c r="B172" s="197">
        <v>379</v>
      </c>
      <c r="C172" s="198" t="s">
        <v>298</v>
      </c>
      <c r="D172" s="292" t="s">
        <v>685</v>
      </c>
      <c r="E172" s="199"/>
      <c r="F172" s="199"/>
      <c r="G172" s="199"/>
      <c r="H172" s="199"/>
      <c r="I172" s="199"/>
      <c r="J172" s="199"/>
      <c r="K172" s="200"/>
    </row>
    <row r="173" spans="2:11">
      <c r="B173" s="197">
        <v>394</v>
      </c>
      <c r="C173" s="198" t="s">
        <v>313</v>
      </c>
      <c r="D173" s="292" t="s">
        <v>599</v>
      </c>
      <c r="E173" s="199"/>
      <c r="F173" s="199"/>
      <c r="G173" s="199"/>
      <c r="H173" s="199"/>
      <c r="I173" s="199"/>
      <c r="J173" s="199"/>
      <c r="K173" s="200"/>
    </row>
    <row r="174" spans="2:11">
      <c r="B174" s="197">
        <v>384</v>
      </c>
      <c r="C174" s="198" t="s">
        <v>303</v>
      </c>
      <c r="D174" s="292" t="s">
        <v>598</v>
      </c>
      <c r="E174" s="199"/>
      <c r="F174" s="199"/>
      <c r="G174" s="199"/>
      <c r="H174" s="199"/>
      <c r="I174" s="199"/>
      <c r="J174" s="199"/>
      <c r="K174" s="200"/>
    </row>
    <row r="175" spans="2:11">
      <c r="B175" s="197">
        <v>374</v>
      </c>
      <c r="C175" s="198" t="s">
        <v>293</v>
      </c>
      <c r="D175" s="292" t="s">
        <v>597</v>
      </c>
      <c r="E175" s="199"/>
      <c r="F175" s="199"/>
      <c r="G175" s="199"/>
      <c r="H175" s="199"/>
      <c r="I175" s="199"/>
      <c r="J175" s="199"/>
      <c r="K175" s="200"/>
    </row>
    <row r="176" spans="2:11">
      <c r="B176" s="197">
        <v>364</v>
      </c>
      <c r="C176" s="198" t="s">
        <v>283</v>
      </c>
      <c r="D176" s="292" t="s">
        <v>596</v>
      </c>
      <c r="E176" s="199"/>
      <c r="F176" s="199"/>
      <c r="G176" s="199"/>
      <c r="H176" s="199"/>
      <c r="I176" s="199"/>
      <c r="J176" s="199"/>
      <c r="K176" s="200"/>
    </row>
    <row r="177" spans="2:11">
      <c r="B177" s="197">
        <v>375</v>
      </c>
      <c r="C177" s="198" t="s">
        <v>294</v>
      </c>
      <c r="D177" s="292" t="s">
        <v>609</v>
      </c>
      <c r="E177" s="199"/>
      <c r="F177" s="199"/>
      <c r="G177" s="199"/>
      <c r="H177" s="199"/>
      <c r="I177" s="199"/>
      <c r="J177" s="199"/>
      <c r="K177" s="200"/>
    </row>
    <row r="178" spans="2:11">
      <c r="B178" s="197">
        <v>365</v>
      </c>
      <c r="C178" s="198" t="s">
        <v>284</v>
      </c>
      <c r="D178" s="292" t="s">
        <v>608</v>
      </c>
      <c r="E178" s="199"/>
      <c r="F178" s="199"/>
      <c r="G178" s="199"/>
      <c r="H178" s="199"/>
      <c r="I178" s="199"/>
      <c r="J178" s="199"/>
      <c r="K178" s="200"/>
    </row>
    <row r="179" spans="2:11">
      <c r="B179" s="197">
        <v>373</v>
      </c>
      <c r="C179" s="198" t="s">
        <v>292</v>
      </c>
      <c r="D179" s="292" t="s">
        <v>576</v>
      </c>
      <c r="E179" s="199"/>
      <c r="F179" s="199"/>
      <c r="G179" s="199"/>
      <c r="H179" s="199"/>
      <c r="I179" s="199"/>
      <c r="J179" s="199"/>
      <c r="K179" s="200"/>
    </row>
    <row r="180" spans="2:11">
      <c r="B180" s="197">
        <v>363</v>
      </c>
      <c r="C180" s="198" t="s">
        <v>282</v>
      </c>
      <c r="D180" s="292" t="s">
        <v>575</v>
      </c>
      <c r="E180" s="199"/>
      <c r="F180" s="199"/>
      <c r="G180" s="199"/>
      <c r="H180" s="199"/>
      <c r="I180" s="199"/>
      <c r="J180" s="199"/>
      <c r="K180" s="200"/>
    </row>
    <row r="181" spans="2:11">
      <c r="B181" s="197">
        <v>391</v>
      </c>
      <c r="C181" s="198" t="s">
        <v>310</v>
      </c>
      <c r="D181" s="292" t="s">
        <v>533</v>
      </c>
      <c r="E181" s="199"/>
      <c r="F181" s="199"/>
      <c r="G181" s="199"/>
      <c r="H181" s="199"/>
      <c r="I181" s="199"/>
      <c r="J181" s="199"/>
      <c r="K181" s="200"/>
    </row>
    <row r="182" spans="2:11">
      <c r="B182" s="197">
        <v>381</v>
      </c>
      <c r="C182" s="198" t="s">
        <v>300</v>
      </c>
      <c r="D182" s="292" t="s">
        <v>532</v>
      </c>
      <c r="E182" s="199"/>
      <c r="F182" s="199"/>
      <c r="G182" s="199"/>
      <c r="H182" s="199"/>
      <c r="I182" s="199"/>
      <c r="J182" s="199"/>
      <c r="K182" s="200"/>
    </row>
    <row r="183" spans="2:11">
      <c r="B183" s="197">
        <v>371</v>
      </c>
      <c r="C183" s="198" t="s">
        <v>290</v>
      </c>
      <c r="D183" s="292" t="s">
        <v>531</v>
      </c>
      <c r="E183" s="199"/>
      <c r="F183" s="199"/>
      <c r="G183" s="199"/>
      <c r="H183" s="199"/>
      <c r="I183" s="199"/>
      <c r="J183" s="199"/>
      <c r="K183" s="200"/>
    </row>
    <row r="184" spans="2:11">
      <c r="B184" s="197">
        <v>361</v>
      </c>
      <c r="C184" s="198" t="s">
        <v>280</v>
      </c>
      <c r="D184" s="292" t="s">
        <v>530</v>
      </c>
      <c r="E184" s="199"/>
      <c r="F184" s="199"/>
      <c r="G184" s="199"/>
      <c r="H184" s="199"/>
      <c r="I184" s="199"/>
      <c r="J184" s="199"/>
      <c r="K184" s="200"/>
    </row>
    <row r="185" spans="2:11">
      <c r="B185" s="197">
        <v>372</v>
      </c>
      <c r="C185" s="198" t="s">
        <v>291</v>
      </c>
      <c r="D185" s="292" t="s">
        <v>551</v>
      </c>
      <c r="E185" s="199"/>
      <c r="F185" s="199"/>
      <c r="G185" s="199"/>
      <c r="H185" s="199"/>
      <c r="I185" s="199"/>
      <c r="J185" s="199"/>
      <c r="K185" s="200"/>
    </row>
    <row r="186" spans="2:11">
      <c r="B186" s="197">
        <v>362</v>
      </c>
      <c r="C186" s="198" t="s">
        <v>281</v>
      </c>
      <c r="D186" s="292" t="s">
        <v>550</v>
      </c>
      <c r="E186" s="199"/>
      <c r="F186" s="199"/>
      <c r="G186" s="199"/>
      <c r="H186" s="199"/>
      <c r="I186" s="199"/>
      <c r="J186" s="199"/>
      <c r="K186" s="200"/>
    </row>
    <row r="187" spans="2:11">
      <c r="B187" s="197">
        <v>354</v>
      </c>
      <c r="C187" s="198" t="s">
        <v>273</v>
      </c>
      <c r="D187" s="292" t="s">
        <v>595</v>
      </c>
      <c r="E187" s="199"/>
      <c r="F187" s="199"/>
      <c r="G187" s="199"/>
      <c r="H187" s="199"/>
      <c r="I187" s="199"/>
      <c r="J187" s="199"/>
      <c r="K187" s="200"/>
    </row>
    <row r="188" spans="2:11">
      <c r="B188" s="213">
        <v>353</v>
      </c>
      <c r="C188" s="214" t="s">
        <v>272</v>
      </c>
      <c r="D188" s="215" t="s">
        <v>574</v>
      </c>
      <c r="E188" s="199"/>
      <c r="F188" s="216"/>
      <c r="G188" s="216"/>
      <c r="H188" s="199"/>
      <c r="I188" s="216"/>
      <c r="J188" s="216"/>
      <c r="K188" s="217"/>
    </row>
    <row r="189" spans="2:11">
      <c r="B189" s="42">
        <v>93</v>
      </c>
      <c r="C189" s="258" t="s">
        <v>5</v>
      </c>
      <c r="D189" s="257" t="s">
        <v>558</v>
      </c>
      <c r="E189" s="324" t="s">
        <v>873</v>
      </c>
      <c r="F189" s="324"/>
      <c r="G189" s="389" t="s">
        <v>1027</v>
      </c>
      <c r="H189" s="340" t="s">
        <v>943</v>
      </c>
      <c r="I189" s="13"/>
      <c r="J189" s="13"/>
      <c r="K189" s="20"/>
    </row>
    <row r="190" spans="2:11">
      <c r="B190" s="42">
        <v>94</v>
      </c>
      <c r="C190" s="258" t="s">
        <v>6</v>
      </c>
      <c r="D190" s="257" t="s">
        <v>583</v>
      </c>
      <c r="E190" s="324" t="s">
        <v>873</v>
      </c>
      <c r="F190" s="324"/>
      <c r="G190" s="389" t="s">
        <v>1028</v>
      </c>
      <c r="H190" s="312" t="s">
        <v>943</v>
      </c>
      <c r="I190" s="13"/>
      <c r="J190" s="13"/>
      <c r="K190" s="20"/>
    </row>
    <row r="191" spans="2:11">
      <c r="B191" s="42">
        <v>103</v>
      </c>
      <c r="C191" s="258" t="s">
        <v>22</v>
      </c>
      <c r="D191" s="257" t="s">
        <v>559</v>
      </c>
      <c r="E191" s="324" t="s">
        <v>873</v>
      </c>
      <c r="F191" s="324"/>
      <c r="G191" s="389" t="s">
        <v>1025</v>
      </c>
      <c r="H191" s="312" t="s">
        <v>943</v>
      </c>
      <c r="I191" s="13"/>
      <c r="J191" s="13"/>
      <c r="K191" s="20"/>
    </row>
    <row r="192" spans="2:11">
      <c r="B192" s="42">
        <v>104</v>
      </c>
      <c r="C192" s="258" t="s">
        <v>23</v>
      </c>
      <c r="D192" s="257" t="s">
        <v>584</v>
      </c>
      <c r="E192" s="324" t="s">
        <v>873</v>
      </c>
      <c r="F192" s="324"/>
      <c r="G192" s="389" t="s">
        <v>1026</v>
      </c>
      <c r="H192" s="312" t="s">
        <v>943</v>
      </c>
      <c r="I192" s="13"/>
      <c r="J192" s="13"/>
      <c r="K192" s="20"/>
    </row>
    <row r="193" spans="2:11">
      <c r="B193" s="42">
        <v>101</v>
      </c>
      <c r="C193" s="258" t="s">
        <v>20</v>
      </c>
      <c r="D193" s="257" t="s">
        <v>522</v>
      </c>
      <c r="E193" s="324" t="s">
        <v>873</v>
      </c>
      <c r="F193" s="324"/>
      <c r="G193" s="389" t="s">
        <v>1023</v>
      </c>
      <c r="H193" s="312" t="s">
        <v>943</v>
      </c>
      <c r="I193" s="13"/>
      <c r="J193" s="13"/>
      <c r="K193" s="20"/>
    </row>
    <row r="194" spans="2:11">
      <c r="B194" s="42">
        <v>102</v>
      </c>
      <c r="C194" s="258" t="s">
        <v>21</v>
      </c>
      <c r="D194" s="257" t="s">
        <v>538</v>
      </c>
      <c r="E194" s="324" t="s">
        <v>873</v>
      </c>
      <c r="F194" s="324"/>
      <c r="G194" s="389" t="s">
        <v>1024</v>
      </c>
      <c r="H194" s="312" t="s">
        <v>943</v>
      </c>
      <c r="I194" s="13"/>
      <c r="J194" s="13"/>
      <c r="K194" s="20"/>
    </row>
    <row r="195" spans="2:11">
      <c r="B195" s="213">
        <v>95</v>
      </c>
      <c r="C195" s="214" t="s">
        <v>7</v>
      </c>
      <c r="D195" s="215" t="s">
        <v>602</v>
      </c>
      <c r="E195" s="359"/>
      <c r="F195" s="359"/>
      <c r="G195" s="359"/>
      <c r="H195" s="312"/>
      <c r="I195" s="216"/>
      <c r="J195" s="216"/>
      <c r="K195" s="217"/>
    </row>
    <row r="196" spans="2:11">
      <c r="B196" s="213">
        <v>96</v>
      </c>
      <c r="C196" s="214" t="s">
        <v>8</v>
      </c>
      <c r="D196" s="215" t="s">
        <v>616</v>
      </c>
      <c r="E196" s="359"/>
      <c r="F196" s="359"/>
      <c r="G196" s="359"/>
      <c r="H196" s="312"/>
      <c r="I196" s="216"/>
      <c r="J196" s="216"/>
      <c r="K196" s="217"/>
    </row>
    <row r="197" spans="2:11">
      <c r="B197" s="42">
        <v>86</v>
      </c>
      <c r="C197" s="258" t="s">
        <v>422</v>
      </c>
      <c r="D197" s="257" t="s">
        <v>615</v>
      </c>
      <c r="E197" s="324" t="s">
        <v>873</v>
      </c>
      <c r="F197" s="324"/>
      <c r="G197" s="389" t="s">
        <v>998</v>
      </c>
      <c r="H197" s="312" t="s">
        <v>943</v>
      </c>
      <c r="I197" s="13"/>
      <c r="J197" s="13"/>
      <c r="K197" s="20"/>
    </row>
    <row r="198" spans="2:11">
      <c r="B198" s="42">
        <v>85</v>
      </c>
      <c r="C198" s="258" t="s">
        <v>421</v>
      </c>
      <c r="D198" s="257" t="s">
        <v>601</v>
      </c>
      <c r="E198" s="324" t="s">
        <v>873</v>
      </c>
      <c r="F198" s="324"/>
      <c r="G198" s="389" t="s">
        <v>999</v>
      </c>
      <c r="H198" s="312" t="s">
        <v>943</v>
      </c>
      <c r="I198" s="13"/>
      <c r="J198" s="13"/>
      <c r="K198" s="20"/>
    </row>
    <row r="199" spans="2:11">
      <c r="B199" s="42">
        <v>76</v>
      </c>
      <c r="C199" s="258" t="s">
        <v>412</v>
      </c>
      <c r="D199" s="271" t="s">
        <v>614</v>
      </c>
      <c r="E199" s="324" t="s">
        <v>873</v>
      </c>
      <c r="F199" s="324"/>
      <c r="G199" s="389" t="s">
        <v>996</v>
      </c>
      <c r="H199" s="312" t="s">
        <v>943</v>
      </c>
      <c r="I199" s="13"/>
      <c r="J199" s="13"/>
      <c r="K199" s="20"/>
    </row>
    <row r="200" spans="2:11">
      <c r="B200" s="42">
        <v>75</v>
      </c>
      <c r="C200" s="258" t="s">
        <v>411</v>
      </c>
      <c r="D200" s="271" t="s">
        <v>600</v>
      </c>
      <c r="E200" s="324" t="s">
        <v>873</v>
      </c>
      <c r="F200" s="324"/>
      <c r="G200" s="389" t="s">
        <v>997</v>
      </c>
      <c r="H200" s="312" t="s">
        <v>943</v>
      </c>
      <c r="I200" s="13"/>
      <c r="J200" s="13"/>
      <c r="K200" s="20"/>
    </row>
    <row r="201" spans="2:11">
      <c r="B201" s="42">
        <v>74</v>
      </c>
      <c r="C201" s="258" t="s">
        <v>410</v>
      </c>
      <c r="D201" s="271" t="s">
        <v>581</v>
      </c>
      <c r="E201" s="324" t="s">
        <v>873</v>
      </c>
      <c r="F201" s="324"/>
      <c r="G201" s="389" t="s">
        <v>994</v>
      </c>
      <c r="H201" s="312" t="s">
        <v>943</v>
      </c>
      <c r="I201" s="13"/>
      <c r="J201" s="13"/>
      <c r="K201" s="20"/>
    </row>
    <row r="202" spans="2:11">
      <c r="B202" s="42">
        <v>73</v>
      </c>
      <c r="C202" s="258" t="s">
        <v>409</v>
      </c>
      <c r="D202" s="271" t="s">
        <v>556</v>
      </c>
      <c r="E202" s="324" t="s">
        <v>873</v>
      </c>
      <c r="F202" s="324"/>
      <c r="G202" s="389" t="s">
        <v>995</v>
      </c>
      <c r="H202" s="312" t="s">
        <v>943</v>
      </c>
      <c r="I202" s="13"/>
      <c r="J202" s="13"/>
      <c r="K202" s="20"/>
    </row>
    <row r="203" spans="2:11">
      <c r="B203" s="213">
        <v>83</v>
      </c>
      <c r="C203" s="214" t="s">
        <v>419</v>
      </c>
      <c r="D203" s="215" t="s">
        <v>557</v>
      </c>
      <c r="E203" s="359"/>
      <c r="F203" s="359"/>
      <c r="G203" s="359"/>
      <c r="H203" s="312"/>
      <c r="I203" s="216"/>
      <c r="J203" s="216"/>
      <c r="K203" s="217"/>
    </row>
    <row r="204" spans="2:11">
      <c r="B204" s="213">
        <v>84</v>
      </c>
      <c r="C204" s="214" t="s">
        <v>420</v>
      </c>
      <c r="D204" s="215" t="s">
        <v>582</v>
      </c>
      <c r="E204" s="359"/>
      <c r="F204" s="359"/>
      <c r="G204" s="359"/>
      <c r="H204" s="312"/>
      <c r="I204" s="216"/>
      <c r="J204" s="216"/>
      <c r="K204" s="217"/>
    </row>
    <row r="205" spans="2:11">
      <c r="B205" s="42">
        <v>24</v>
      </c>
      <c r="C205" s="258" t="s">
        <v>360</v>
      </c>
      <c r="D205" s="257" t="s">
        <v>579</v>
      </c>
      <c r="E205" s="324" t="s">
        <v>873</v>
      </c>
      <c r="F205" s="324"/>
      <c r="G205" s="389" t="s">
        <v>1006</v>
      </c>
      <c r="H205" s="312" t="s">
        <v>943</v>
      </c>
      <c r="I205" s="13"/>
      <c r="J205" s="13"/>
      <c r="K205" s="20"/>
    </row>
    <row r="206" spans="2:11">
      <c r="B206" s="42">
        <v>34</v>
      </c>
      <c r="C206" s="258" t="s">
        <v>370</v>
      </c>
      <c r="D206" s="257" t="s">
        <v>580</v>
      </c>
      <c r="E206" s="324" t="s">
        <v>873</v>
      </c>
      <c r="F206" s="324"/>
      <c r="G206" s="389" t="s">
        <v>1007</v>
      </c>
      <c r="H206" s="312" t="s">
        <v>943</v>
      </c>
      <c r="I206" s="13"/>
      <c r="J206" s="13"/>
      <c r="K206" s="20"/>
    </row>
    <row r="207" spans="2:11">
      <c r="B207" s="42">
        <v>14</v>
      </c>
      <c r="C207" s="258" t="s">
        <v>350</v>
      </c>
      <c r="D207" s="257" t="s">
        <v>578</v>
      </c>
      <c r="E207" s="324" t="s">
        <v>873</v>
      </c>
      <c r="F207" s="324"/>
      <c r="G207" s="389" t="s">
        <v>1029</v>
      </c>
      <c r="H207" s="312" t="s">
        <v>943</v>
      </c>
      <c r="I207" s="13"/>
      <c r="J207" s="13"/>
      <c r="K207" s="20"/>
    </row>
    <row r="208" spans="2:11">
      <c r="B208" s="42">
        <v>4</v>
      </c>
      <c r="C208" s="258" t="s">
        <v>340</v>
      </c>
      <c r="D208" s="257" t="s">
        <v>577</v>
      </c>
      <c r="E208" s="324" t="s">
        <v>873</v>
      </c>
      <c r="F208" s="324"/>
      <c r="G208" s="389" t="s">
        <v>1030</v>
      </c>
      <c r="H208" s="312" t="s">
        <v>943</v>
      </c>
      <c r="I208" s="13"/>
      <c r="J208" s="13"/>
      <c r="K208" s="20"/>
    </row>
    <row r="209" spans="2:11">
      <c r="B209" s="42">
        <v>13</v>
      </c>
      <c r="C209" s="258" t="s">
        <v>349</v>
      </c>
      <c r="D209" s="257" t="s">
        <v>553</v>
      </c>
      <c r="E209" s="324" t="s">
        <v>873</v>
      </c>
      <c r="F209" s="324"/>
      <c r="G209" s="389" t="s">
        <v>1000</v>
      </c>
      <c r="H209" s="312" t="s">
        <v>943</v>
      </c>
      <c r="I209" s="13"/>
      <c r="J209" s="13"/>
      <c r="K209" s="20"/>
    </row>
    <row r="210" spans="2:11">
      <c r="B210" s="42">
        <v>3</v>
      </c>
      <c r="C210" s="258" t="s">
        <v>339</v>
      </c>
      <c r="D210" s="257" t="s">
        <v>552</v>
      </c>
      <c r="E210" s="324" t="s">
        <v>873</v>
      </c>
      <c r="F210" s="324"/>
      <c r="G210" s="389" t="s">
        <v>1001</v>
      </c>
      <c r="H210" s="312" t="s">
        <v>943</v>
      </c>
      <c r="I210" s="13"/>
      <c r="J210" s="13"/>
      <c r="K210" s="20"/>
    </row>
    <row r="211" spans="2:11">
      <c r="B211" s="213">
        <v>33</v>
      </c>
      <c r="C211" s="214" t="s">
        <v>369</v>
      </c>
      <c r="D211" s="215" t="s">
        <v>555</v>
      </c>
      <c r="E211" s="359"/>
      <c r="F211" s="359"/>
      <c r="G211" s="359"/>
      <c r="H211" s="312"/>
      <c r="I211" s="216"/>
      <c r="J211" s="216"/>
      <c r="K211" s="217"/>
    </row>
    <row r="212" spans="2:11">
      <c r="B212" s="213">
        <v>23</v>
      </c>
      <c r="C212" s="214" t="s">
        <v>359</v>
      </c>
      <c r="D212" s="215" t="s">
        <v>554</v>
      </c>
      <c r="E212" s="359"/>
      <c r="F212" s="359"/>
      <c r="G212" s="359"/>
      <c r="H212" s="312"/>
      <c r="I212" s="216"/>
      <c r="J212" s="216"/>
      <c r="K212" s="217"/>
    </row>
    <row r="213" spans="2:11">
      <c r="B213" s="42">
        <v>31</v>
      </c>
      <c r="C213" s="258" t="s">
        <v>367</v>
      </c>
      <c r="D213" s="257" t="s">
        <v>521</v>
      </c>
      <c r="E213" s="324" t="s">
        <v>873</v>
      </c>
      <c r="F213" s="324"/>
      <c r="G213" s="389" t="s">
        <v>1002</v>
      </c>
      <c r="H213" s="312" t="s">
        <v>943</v>
      </c>
      <c r="I213" s="13"/>
      <c r="J213" s="13"/>
      <c r="K213" s="20"/>
    </row>
    <row r="214" spans="2:11">
      <c r="B214" s="42">
        <v>32</v>
      </c>
      <c r="C214" s="258" t="s">
        <v>368</v>
      </c>
      <c r="D214" s="257" t="s">
        <v>537</v>
      </c>
      <c r="E214" s="324" t="s">
        <v>873</v>
      </c>
      <c r="F214" s="324"/>
      <c r="G214" s="389" t="s">
        <v>1003</v>
      </c>
      <c r="H214" s="312" t="s">
        <v>943</v>
      </c>
      <c r="I214" s="13"/>
      <c r="J214" s="13"/>
      <c r="K214" s="20"/>
    </row>
    <row r="215" spans="2:11">
      <c r="B215" s="42">
        <v>21</v>
      </c>
      <c r="C215" s="258" t="s">
        <v>357</v>
      </c>
      <c r="D215" s="257" t="s">
        <v>520</v>
      </c>
      <c r="E215" s="324" t="s">
        <v>873</v>
      </c>
      <c r="F215" s="324"/>
      <c r="G215" s="389" t="s">
        <v>1004</v>
      </c>
      <c r="H215" s="312" t="s">
        <v>943</v>
      </c>
      <c r="I215" s="13"/>
      <c r="J215" s="13"/>
      <c r="K215" s="20"/>
    </row>
    <row r="216" spans="2:11">
      <c r="B216" s="42">
        <v>22</v>
      </c>
      <c r="C216" s="258" t="s">
        <v>358</v>
      </c>
      <c r="D216" s="257" t="s">
        <v>536</v>
      </c>
      <c r="E216" s="324" t="s">
        <v>873</v>
      </c>
      <c r="F216" s="324"/>
      <c r="G216" s="389" t="s">
        <v>1005</v>
      </c>
      <c r="H216" s="312" t="s">
        <v>943</v>
      </c>
      <c r="I216" s="13"/>
      <c r="J216" s="13"/>
      <c r="K216" s="20"/>
    </row>
    <row r="217" spans="2:11">
      <c r="B217" s="42">
        <v>11</v>
      </c>
      <c r="C217" s="258" t="s">
        <v>347</v>
      </c>
      <c r="D217" s="257" t="s">
        <v>519</v>
      </c>
      <c r="E217" s="324" t="s">
        <v>873</v>
      </c>
      <c r="F217" s="324"/>
      <c r="G217" s="389" t="s">
        <v>1008</v>
      </c>
      <c r="H217" s="312" t="s">
        <v>943</v>
      </c>
      <c r="I217" s="13"/>
      <c r="J217" s="13"/>
      <c r="K217" s="20"/>
    </row>
    <row r="218" spans="2:11">
      <c r="B218" s="42">
        <v>12</v>
      </c>
      <c r="C218" s="258" t="s">
        <v>348</v>
      </c>
      <c r="D218" s="257" t="s">
        <v>535</v>
      </c>
      <c r="E218" s="324" t="s">
        <v>873</v>
      </c>
      <c r="F218" s="324"/>
      <c r="G218" s="389" t="s">
        <v>1009</v>
      </c>
      <c r="H218" s="312" t="s">
        <v>943</v>
      </c>
      <c r="I218" s="13"/>
      <c r="J218" s="13"/>
      <c r="K218" s="20"/>
    </row>
    <row r="219" spans="2:11">
      <c r="B219" s="213">
        <v>1</v>
      </c>
      <c r="C219" s="214" t="s">
        <v>337</v>
      </c>
      <c r="D219" s="215" t="s">
        <v>518</v>
      </c>
      <c r="E219" s="199"/>
      <c r="F219" s="216"/>
      <c r="G219" s="216"/>
      <c r="H219" s="199"/>
      <c r="I219" s="216"/>
      <c r="J219" s="216"/>
      <c r="K219" s="217"/>
    </row>
    <row r="220" spans="2:11">
      <c r="B220" s="213">
        <v>2</v>
      </c>
      <c r="C220" s="214" t="s">
        <v>338</v>
      </c>
      <c r="D220" s="215" t="s">
        <v>534</v>
      </c>
      <c r="E220" s="199"/>
      <c r="F220" s="216"/>
      <c r="G220" s="216"/>
      <c r="H220" s="199"/>
      <c r="I220" s="216"/>
      <c r="J220" s="216"/>
      <c r="K220" s="217"/>
    </row>
    <row r="221" spans="2:11">
      <c r="B221" s="42">
        <v>43</v>
      </c>
      <c r="C221" s="258" t="s">
        <v>379</v>
      </c>
      <c r="D221" s="271" t="s">
        <v>447</v>
      </c>
      <c r="E221" s="324" t="s">
        <v>873</v>
      </c>
      <c r="F221" s="13"/>
      <c r="G221" s="387" t="s">
        <v>186</v>
      </c>
      <c r="H221" s="13"/>
      <c r="I221" s="13"/>
      <c r="J221" s="13"/>
      <c r="K221" s="20"/>
    </row>
    <row r="222" spans="2:11">
      <c r="B222" s="42">
        <v>44</v>
      </c>
      <c r="C222" s="258" t="s">
        <v>380</v>
      </c>
      <c r="D222" s="271" t="s">
        <v>455</v>
      </c>
      <c r="E222" s="324" t="s">
        <v>873</v>
      </c>
      <c r="F222" s="13"/>
      <c r="G222" s="387" t="s">
        <v>196</v>
      </c>
      <c r="H222" s="13"/>
      <c r="I222" s="13"/>
      <c r="J222" s="13"/>
      <c r="K222" s="20"/>
    </row>
    <row r="223" spans="2:11">
      <c r="B223" s="42">
        <v>62</v>
      </c>
      <c r="C223" s="258" t="s">
        <v>398</v>
      </c>
      <c r="D223" s="271" t="s">
        <v>428</v>
      </c>
      <c r="E223" s="13"/>
      <c r="F223" s="13"/>
      <c r="G223" s="13"/>
      <c r="H223" s="13"/>
      <c r="I223" s="13"/>
      <c r="J223" s="13"/>
      <c r="K223" s="20"/>
    </row>
    <row r="224" spans="2:11">
      <c r="B224" s="42">
        <v>61</v>
      </c>
      <c r="C224" s="258" t="s">
        <v>397</v>
      </c>
      <c r="D224" s="271" t="s">
        <v>322</v>
      </c>
      <c r="E224" s="324" t="s">
        <v>873</v>
      </c>
      <c r="F224" s="324"/>
      <c r="G224" s="388" t="s">
        <v>167</v>
      </c>
      <c r="H224" s="13"/>
      <c r="I224" s="13"/>
      <c r="J224" s="13"/>
      <c r="K224" s="20"/>
    </row>
    <row r="225" spans="2:11">
      <c r="B225" s="42">
        <v>71</v>
      </c>
      <c r="C225" s="258" t="s">
        <v>407</v>
      </c>
      <c r="D225" s="271" t="s">
        <v>323</v>
      </c>
      <c r="E225" s="13"/>
      <c r="F225" s="13"/>
      <c r="G225" s="13"/>
      <c r="H225" s="13"/>
      <c r="I225" s="13"/>
      <c r="J225" s="13"/>
      <c r="K225" s="20"/>
    </row>
    <row r="226" spans="2:11">
      <c r="B226" s="42">
        <v>72</v>
      </c>
      <c r="C226" s="258" t="s">
        <v>408</v>
      </c>
      <c r="D226" s="271" t="s">
        <v>429</v>
      </c>
      <c r="E226" s="324" t="s">
        <v>873</v>
      </c>
      <c r="F226" s="324"/>
      <c r="G226" s="387" t="s">
        <v>177</v>
      </c>
      <c r="H226" s="13"/>
      <c r="I226" s="13"/>
      <c r="J226" s="13"/>
      <c r="K226" s="20"/>
    </row>
    <row r="227" spans="2:11">
      <c r="B227" s="42">
        <v>51</v>
      </c>
      <c r="C227" s="258" t="s">
        <v>387</v>
      </c>
      <c r="D227" s="271" t="s">
        <v>464</v>
      </c>
      <c r="E227" s="13"/>
      <c r="F227" s="13"/>
      <c r="G227" s="13"/>
      <c r="H227" s="13"/>
      <c r="I227" s="13"/>
      <c r="J227" s="13"/>
      <c r="K227" s="20"/>
    </row>
    <row r="228" spans="2:11">
      <c r="B228" s="42">
        <v>52</v>
      </c>
      <c r="C228" s="258" t="s">
        <v>388</v>
      </c>
      <c r="D228" s="271" t="s">
        <v>464</v>
      </c>
      <c r="E228" s="13"/>
      <c r="F228" s="13"/>
      <c r="G228" s="13"/>
      <c r="H228" s="13"/>
      <c r="I228" s="13"/>
      <c r="J228" s="13"/>
      <c r="K228" s="20"/>
    </row>
    <row r="229" spans="2:11">
      <c r="B229" s="42">
        <v>53</v>
      </c>
      <c r="C229" s="258" t="s">
        <v>389</v>
      </c>
      <c r="D229" s="271" t="s">
        <v>464</v>
      </c>
      <c r="E229" s="13"/>
      <c r="F229" s="13"/>
      <c r="G229" s="13"/>
      <c r="H229" s="13"/>
      <c r="I229" s="13"/>
      <c r="J229" s="13"/>
      <c r="K229" s="20"/>
    </row>
    <row r="230" spans="2:11">
      <c r="B230" s="42">
        <v>63</v>
      </c>
      <c r="C230" s="258" t="s">
        <v>399</v>
      </c>
      <c r="D230" s="271" t="s">
        <v>464</v>
      </c>
      <c r="E230" s="13"/>
      <c r="F230" s="13"/>
      <c r="G230" s="13"/>
      <c r="H230" s="13"/>
      <c r="I230" s="13"/>
      <c r="J230" s="13"/>
      <c r="K230" s="20"/>
    </row>
    <row r="231" spans="2:11">
      <c r="B231" s="42">
        <v>54</v>
      </c>
      <c r="C231" s="258" t="s">
        <v>390</v>
      </c>
      <c r="D231" s="271" t="s">
        <v>464</v>
      </c>
      <c r="E231" s="13"/>
      <c r="F231" s="13"/>
      <c r="G231" s="13"/>
      <c r="H231" s="13"/>
      <c r="I231" s="13"/>
      <c r="J231" s="13"/>
      <c r="K231" s="20"/>
    </row>
    <row r="232" spans="2:11">
      <c r="B232" s="42">
        <v>64</v>
      </c>
      <c r="C232" s="258" t="s">
        <v>400</v>
      </c>
      <c r="D232" s="271" t="s">
        <v>464</v>
      </c>
      <c r="E232" s="13"/>
      <c r="F232" s="13"/>
      <c r="G232" s="13"/>
      <c r="H232" s="13"/>
      <c r="I232" s="13"/>
      <c r="J232" s="13"/>
      <c r="K232" s="20"/>
    </row>
    <row r="233" spans="2:11">
      <c r="B233" s="42">
        <v>105</v>
      </c>
      <c r="C233" s="258" t="s">
        <v>24</v>
      </c>
      <c r="D233" s="257" t="s">
        <v>464</v>
      </c>
      <c r="E233" s="13"/>
      <c r="F233" s="13"/>
      <c r="G233" s="13"/>
      <c r="H233" s="13"/>
      <c r="I233" s="13"/>
      <c r="J233" s="13"/>
      <c r="K233" s="20"/>
    </row>
    <row r="234" spans="2:11">
      <c r="B234" s="42">
        <v>46</v>
      </c>
      <c r="C234" s="258" t="s">
        <v>382</v>
      </c>
      <c r="D234" s="271" t="s">
        <v>471</v>
      </c>
      <c r="E234" s="13"/>
      <c r="F234" s="13"/>
      <c r="G234" s="13"/>
      <c r="H234" s="13"/>
      <c r="I234" s="13"/>
      <c r="J234" s="13"/>
      <c r="K234" s="20"/>
    </row>
    <row r="235" spans="2:11">
      <c r="B235" s="42">
        <v>66</v>
      </c>
      <c r="C235" s="258" t="s">
        <v>402</v>
      </c>
      <c r="D235" s="271" t="s">
        <v>473</v>
      </c>
      <c r="E235" s="13"/>
      <c r="F235" s="13"/>
      <c r="G235" s="13"/>
      <c r="H235" s="13"/>
      <c r="I235" s="13"/>
      <c r="J235" s="13"/>
      <c r="K235" s="20"/>
    </row>
    <row r="236" spans="2:11">
      <c r="B236" s="42">
        <v>56</v>
      </c>
      <c r="C236" s="258" t="s">
        <v>392</v>
      </c>
      <c r="D236" s="271" t="s">
        <v>472</v>
      </c>
      <c r="E236" s="13"/>
      <c r="F236" s="13"/>
      <c r="G236" s="13"/>
      <c r="H236" s="13"/>
      <c r="I236" s="13"/>
      <c r="J236" s="13"/>
      <c r="K236" s="20"/>
    </row>
    <row r="237" spans="2:11">
      <c r="B237" s="42">
        <v>5</v>
      </c>
      <c r="C237" s="258" t="s">
        <v>341</v>
      </c>
      <c r="D237" s="257" t="s">
        <v>321</v>
      </c>
      <c r="E237" s="13"/>
      <c r="F237" s="13"/>
      <c r="G237" s="13"/>
      <c r="H237" s="13"/>
      <c r="I237" s="13"/>
      <c r="J237" s="13"/>
      <c r="K237" s="20"/>
    </row>
    <row r="238" spans="2:11">
      <c r="B238" s="42">
        <v>15</v>
      </c>
      <c r="C238" s="258" t="s">
        <v>351</v>
      </c>
      <c r="D238" s="257" t="s">
        <v>321</v>
      </c>
      <c r="E238" s="13"/>
      <c r="F238" s="13"/>
      <c r="G238" s="13"/>
      <c r="H238" s="13"/>
      <c r="I238" s="13"/>
      <c r="J238" s="13"/>
      <c r="K238" s="20"/>
    </row>
    <row r="239" spans="2:11">
      <c r="B239" s="42">
        <v>25</v>
      </c>
      <c r="C239" s="258" t="s">
        <v>361</v>
      </c>
      <c r="D239" s="257" t="s">
        <v>321</v>
      </c>
      <c r="E239" s="13"/>
      <c r="F239" s="13"/>
      <c r="G239" s="13"/>
      <c r="H239" s="13"/>
      <c r="I239" s="13"/>
      <c r="J239" s="13"/>
      <c r="K239" s="20"/>
    </row>
    <row r="240" spans="2:11">
      <c r="B240" s="42">
        <v>35</v>
      </c>
      <c r="C240" s="258" t="s">
        <v>371</v>
      </c>
      <c r="D240" s="257" t="s">
        <v>321</v>
      </c>
      <c r="E240" s="13"/>
      <c r="F240" s="13"/>
      <c r="G240" s="13"/>
      <c r="H240" s="13"/>
      <c r="I240" s="13"/>
      <c r="J240" s="13"/>
      <c r="K240" s="20"/>
    </row>
    <row r="241" spans="2:11">
      <c r="B241" s="42">
        <v>45</v>
      </c>
      <c r="C241" s="258" t="s">
        <v>381</v>
      </c>
      <c r="D241" s="271" t="s">
        <v>321</v>
      </c>
      <c r="E241" s="13"/>
      <c r="F241" s="13"/>
      <c r="G241" s="13"/>
      <c r="H241" s="13"/>
      <c r="I241" s="13"/>
      <c r="J241" s="13"/>
      <c r="K241" s="20"/>
    </row>
    <row r="242" spans="2:11">
      <c r="B242" s="42">
        <v>55</v>
      </c>
      <c r="C242" s="258" t="s">
        <v>391</v>
      </c>
      <c r="D242" s="271" t="s">
        <v>321</v>
      </c>
      <c r="E242" s="13"/>
      <c r="F242" s="13"/>
      <c r="G242" s="13"/>
      <c r="H242" s="13"/>
      <c r="I242" s="13"/>
      <c r="J242" s="13"/>
      <c r="K242" s="20"/>
    </row>
    <row r="243" spans="2:11">
      <c r="B243" s="42">
        <v>65</v>
      </c>
      <c r="C243" s="258" t="s">
        <v>401</v>
      </c>
      <c r="D243" s="271" t="s">
        <v>321</v>
      </c>
      <c r="E243" s="13"/>
      <c r="F243" s="13"/>
      <c r="G243" s="13"/>
      <c r="H243" s="13"/>
      <c r="I243" s="13"/>
      <c r="J243" s="13"/>
      <c r="K243" s="20"/>
    </row>
    <row r="244" spans="2:11">
      <c r="B244" s="42">
        <v>92</v>
      </c>
      <c r="C244" s="258" t="s">
        <v>4</v>
      </c>
      <c r="D244" s="257" t="s">
        <v>431</v>
      </c>
      <c r="E244" s="13"/>
      <c r="F244" s="13"/>
      <c r="G244" s="13"/>
      <c r="H244" s="13"/>
      <c r="I244" s="13"/>
      <c r="J244" s="13"/>
      <c r="K244" s="20"/>
    </row>
    <row r="245" spans="2:11">
      <c r="B245" s="42">
        <v>91</v>
      </c>
      <c r="C245" s="258" t="s">
        <v>0</v>
      </c>
      <c r="D245" s="328" t="s">
        <v>325</v>
      </c>
      <c r="E245" s="324" t="s">
        <v>873</v>
      </c>
      <c r="F245" s="324"/>
      <c r="G245" s="387" t="s">
        <v>107</v>
      </c>
      <c r="H245" s="13"/>
      <c r="I245" s="13"/>
      <c r="J245" s="13"/>
      <c r="K245" s="20"/>
    </row>
    <row r="246" spans="2:11">
      <c r="B246" s="42">
        <v>81</v>
      </c>
      <c r="C246" s="258" t="s">
        <v>417</v>
      </c>
      <c r="D246" s="328" t="s">
        <v>324</v>
      </c>
      <c r="E246" s="324" t="s">
        <v>873</v>
      </c>
      <c r="F246" s="5"/>
      <c r="G246" s="323" t="s">
        <v>207</v>
      </c>
      <c r="H246" s="13"/>
      <c r="I246" s="13"/>
      <c r="J246" s="13"/>
      <c r="K246" s="20"/>
    </row>
    <row r="247" spans="2:11">
      <c r="B247" s="42">
        <v>82</v>
      </c>
      <c r="C247" s="258" t="s">
        <v>418</v>
      </c>
      <c r="D247" s="328" t="s">
        <v>430</v>
      </c>
      <c r="E247" s="324" t="s">
        <v>873</v>
      </c>
      <c r="F247" s="5"/>
      <c r="G247" s="323" t="s">
        <v>217</v>
      </c>
      <c r="H247" s="13"/>
      <c r="I247" s="13"/>
      <c r="J247" s="13"/>
      <c r="K247" s="20"/>
    </row>
    <row r="248" spans="2:11">
      <c r="B248" s="42">
        <v>41</v>
      </c>
      <c r="C248" s="258" t="s">
        <v>377</v>
      </c>
      <c r="D248" s="330" t="s">
        <v>427</v>
      </c>
      <c r="E248" s="324" t="s">
        <v>873</v>
      </c>
      <c r="F248" s="5"/>
      <c r="G248" s="323" t="s">
        <v>317</v>
      </c>
      <c r="H248" s="13"/>
      <c r="I248" s="13"/>
      <c r="J248" s="13"/>
      <c r="K248" s="20"/>
    </row>
    <row r="249" spans="2:11">
      <c r="B249" s="42">
        <v>42</v>
      </c>
      <c r="C249" s="258" t="s">
        <v>378</v>
      </c>
      <c r="D249" s="330" t="s">
        <v>320</v>
      </c>
      <c r="E249" s="323" t="s">
        <v>873</v>
      </c>
      <c r="F249" s="324"/>
      <c r="G249" s="387" t="s">
        <v>1036</v>
      </c>
      <c r="H249" s="13"/>
      <c r="I249" s="13"/>
      <c r="J249" s="13"/>
      <c r="K249" s="20"/>
    </row>
    <row r="250" spans="2:11">
      <c r="B250" s="197">
        <v>393</v>
      </c>
      <c r="C250" s="198" t="s">
        <v>312</v>
      </c>
      <c r="D250" s="292" t="s">
        <v>453</v>
      </c>
      <c r="E250" s="199"/>
      <c r="F250" s="199"/>
      <c r="G250" s="199"/>
      <c r="H250" s="199"/>
      <c r="I250" s="199"/>
      <c r="J250" s="199"/>
      <c r="K250" s="200"/>
    </row>
    <row r="251" spans="2:11">
      <c r="B251" s="197">
        <v>383</v>
      </c>
      <c r="C251" s="198" t="s">
        <v>302</v>
      </c>
      <c r="D251" s="292" t="s">
        <v>452</v>
      </c>
      <c r="E251" s="199"/>
      <c r="F251" s="199"/>
      <c r="G251" s="199"/>
      <c r="H251" s="199"/>
      <c r="I251" s="199"/>
      <c r="J251" s="199"/>
      <c r="K251" s="200"/>
    </row>
    <row r="252" spans="2:11">
      <c r="B252" s="197">
        <v>337</v>
      </c>
      <c r="C252" s="198" t="s">
        <v>256</v>
      </c>
      <c r="D252" s="292" t="s">
        <v>487</v>
      </c>
      <c r="E252" s="199"/>
      <c r="F252" s="199"/>
      <c r="G252" s="199"/>
      <c r="H252" s="199"/>
      <c r="I252" s="199"/>
      <c r="J252" s="199"/>
      <c r="K252" s="200"/>
    </row>
    <row r="253" spans="2:11">
      <c r="B253" s="197">
        <v>327</v>
      </c>
      <c r="C253" s="198" t="s">
        <v>246</v>
      </c>
      <c r="D253" s="292" t="s">
        <v>486</v>
      </c>
      <c r="E253" s="199"/>
      <c r="F253" s="199"/>
      <c r="G253" s="199"/>
      <c r="H253" s="199"/>
      <c r="I253" s="199"/>
      <c r="J253" s="199"/>
      <c r="K253" s="200"/>
    </row>
    <row r="254" spans="2:11">
      <c r="B254" s="197">
        <v>346</v>
      </c>
      <c r="C254" s="198" t="s">
        <v>265</v>
      </c>
      <c r="D254" s="292" t="s">
        <v>478</v>
      </c>
      <c r="E254" s="199"/>
      <c r="F254" s="199"/>
      <c r="G254" s="199"/>
      <c r="H254" s="199"/>
      <c r="I254" s="199"/>
      <c r="J254" s="199"/>
      <c r="K254" s="200"/>
    </row>
    <row r="255" spans="2:11">
      <c r="B255" s="197">
        <v>336</v>
      </c>
      <c r="C255" s="198" t="s">
        <v>255</v>
      </c>
      <c r="D255" s="292" t="s">
        <v>477</v>
      </c>
      <c r="E255" s="199"/>
      <c r="F255" s="199"/>
      <c r="G255" s="199"/>
      <c r="H255" s="199"/>
      <c r="I255" s="199"/>
      <c r="J255" s="199"/>
      <c r="K255" s="200"/>
    </row>
    <row r="256" spans="2:11">
      <c r="B256" s="197">
        <v>347</v>
      </c>
      <c r="C256" s="198" t="s">
        <v>266</v>
      </c>
      <c r="D256" s="292" t="s">
        <v>488</v>
      </c>
      <c r="E256" s="199"/>
      <c r="F256" s="199"/>
      <c r="G256" s="199"/>
      <c r="H256" s="199"/>
      <c r="I256" s="199"/>
      <c r="J256" s="199"/>
      <c r="K256" s="200"/>
    </row>
    <row r="257" spans="2:11">
      <c r="B257" s="197">
        <v>357</v>
      </c>
      <c r="C257" s="198" t="s">
        <v>276</v>
      </c>
      <c r="D257" s="292" t="s">
        <v>488</v>
      </c>
      <c r="E257" s="199"/>
      <c r="F257" s="199"/>
      <c r="G257" s="199"/>
      <c r="H257" s="199"/>
      <c r="I257" s="199"/>
      <c r="J257" s="199"/>
      <c r="K257" s="200"/>
    </row>
    <row r="258" spans="2:11">
      <c r="B258" s="197">
        <v>338</v>
      </c>
      <c r="C258" s="198" t="s">
        <v>257</v>
      </c>
      <c r="D258" s="292" t="s">
        <v>488</v>
      </c>
      <c r="E258" s="199"/>
      <c r="F258" s="199"/>
      <c r="G258" s="199"/>
      <c r="H258" s="199"/>
      <c r="I258" s="199"/>
      <c r="J258" s="199"/>
      <c r="K258" s="200"/>
    </row>
    <row r="259" spans="2:11">
      <c r="B259" s="197">
        <v>348</v>
      </c>
      <c r="C259" s="198" t="s">
        <v>267</v>
      </c>
      <c r="D259" s="292" t="s">
        <v>488</v>
      </c>
      <c r="E259" s="199"/>
      <c r="F259" s="199"/>
      <c r="G259" s="199"/>
      <c r="H259" s="199"/>
      <c r="I259" s="199"/>
      <c r="J259" s="199"/>
      <c r="K259" s="200"/>
    </row>
    <row r="260" spans="2:11">
      <c r="B260" s="197">
        <v>358</v>
      </c>
      <c r="C260" s="198" t="s">
        <v>277</v>
      </c>
      <c r="D260" s="292" t="s">
        <v>488</v>
      </c>
      <c r="E260" s="199"/>
      <c r="F260" s="199"/>
      <c r="G260" s="199"/>
      <c r="H260" s="199"/>
      <c r="I260" s="199"/>
      <c r="J260" s="199"/>
      <c r="K260" s="200"/>
    </row>
    <row r="261" spans="2:11">
      <c r="B261" s="197">
        <v>339</v>
      </c>
      <c r="C261" s="198" t="s">
        <v>258</v>
      </c>
      <c r="D261" s="292" t="s">
        <v>488</v>
      </c>
      <c r="E261" s="199"/>
      <c r="F261" s="199"/>
      <c r="G261" s="199"/>
      <c r="H261" s="199"/>
      <c r="I261" s="199"/>
      <c r="J261" s="199"/>
      <c r="K261" s="200"/>
    </row>
    <row r="262" spans="2:11">
      <c r="B262" s="197">
        <v>349</v>
      </c>
      <c r="C262" s="198" t="s">
        <v>268</v>
      </c>
      <c r="D262" s="292" t="s">
        <v>488</v>
      </c>
      <c r="E262" s="199"/>
      <c r="F262" s="199"/>
      <c r="G262" s="199"/>
      <c r="H262" s="199"/>
      <c r="I262" s="199"/>
      <c r="J262" s="199"/>
      <c r="K262" s="200"/>
    </row>
    <row r="263" spans="2:11">
      <c r="B263" s="197">
        <v>359</v>
      </c>
      <c r="C263" s="198" t="s">
        <v>278</v>
      </c>
      <c r="D263" s="292" t="s">
        <v>488</v>
      </c>
      <c r="E263" s="199"/>
      <c r="F263" s="199"/>
      <c r="G263" s="199"/>
      <c r="H263" s="199"/>
      <c r="I263" s="199"/>
      <c r="J263" s="199"/>
      <c r="K263" s="200"/>
    </row>
    <row r="264" spans="2:11">
      <c r="B264" s="197">
        <v>340</v>
      </c>
      <c r="C264" s="198" t="s">
        <v>259</v>
      </c>
      <c r="D264" s="292" t="s">
        <v>488</v>
      </c>
      <c r="E264" s="199"/>
      <c r="F264" s="199"/>
      <c r="G264" s="199"/>
      <c r="H264" s="199"/>
      <c r="I264" s="199"/>
      <c r="J264" s="199"/>
      <c r="K264" s="200"/>
    </row>
    <row r="265" spans="2:11">
      <c r="B265" s="197">
        <v>350</v>
      </c>
      <c r="C265" s="198" t="s">
        <v>269</v>
      </c>
      <c r="D265" s="292" t="s">
        <v>488</v>
      </c>
      <c r="E265" s="199"/>
      <c r="F265" s="199"/>
      <c r="G265" s="199"/>
      <c r="H265" s="199"/>
      <c r="I265" s="199"/>
      <c r="J265" s="199"/>
      <c r="K265" s="200"/>
    </row>
    <row r="266" spans="2:11">
      <c r="B266" s="197">
        <v>360</v>
      </c>
      <c r="C266" s="198" t="s">
        <v>279</v>
      </c>
      <c r="D266" s="292" t="s">
        <v>488</v>
      </c>
      <c r="E266" s="199"/>
      <c r="F266" s="199"/>
      <c r="G266" s="199"/>
      <c r="H266" s="199"/>
      <c r="I266" s="199"/>
      <c r="J266" s="199"/>
      <c r="K266" s="200"/>
    </row>
    <row r="267" spans="2:11">
      <c r="B267" s="197">
        <v>356</v>
      </c>
      <c r="C267" s="198" t="s">
        <v>275</v>
      </c>
      <c r="D267" s="292" t="s">
        <v>479</v>
      </c>
      <c r="E267" s="199"/>
      <c r="F267" s="199"/>
      <c r="G267" s="199"/>
      <c r="H267" s="199"/>
      <c r="I267" s="199"/>
      <c r="J267" s="199"/>
      <c r="K267" s="200"/>
    </row>
    <row r="268" spans="2:11">
      <c r="B268" s="197">
        <v>385</v>
      </c>
      <c r="C268" s="198" t="s">
        <v>304</v>
      </c>
      <c r="D268" s="292" t="s">
        <v>469</v>
      </c>
      <c r="E268" s="199"/>
      <c r="F268" s="199"/>
      <c r="G268" s="199"/>
      <c r="H268" s="199"/>
      <c r="I268" s="199"/>
      <c r="J268" s="199"/>
      <c r="K268" s="200"/>
    </row>
    <row r="269" spans="2:11">
      <c r="B269" s="197">
        <v>395</v>
      </c>
      <c r="C269" s="198" t="s">
        <v>314</v>
      </c>
      <c r="D269" s="292" t="s">
        <v>470</v>
      </c>
      <c r="E269" s="199"/>
      <c r="F269" s="199"/>
      <c r="G269" s="199"/>
      <c r="H269" s="199"/>
      <c r="I269" s="199"/>
      <c r="J269" s="199"/>
      <c r="K269" s="200"/>
    </row>
    <row r="270" spans="2:11">
      <c r="B270" s="197">
        <v>341</v>
      </c>
      <c r="C270" s="198" t="s">
        <v>260</v>
      </c>
      <c r="D270" s="292" t="s">
        <v>336</v>
      </c>
      <c r="E270" s="199"/>
      <c r="F270" s="199"/>
      <c r="G270" s="199"/>
      <c r="H270" s="199"/>
      <c r="I270" s="199"/>
      <c r="J270" s="199"/>
      <c r="K270" s="200"/>
    </row>
    <row r="271" spans="2:11">
      <c r="B271" s="197">
        <v>351</v>
      </c>
      <c r="C271" s="198" t="s">
        <v>270</v>
      </c>
      <c r="D271" s="292" t="s">
        <v>336</v>
      </c>
      <c r="E271" s="199"/>
      <c r="F271" s="199"/>
      <c r="G271" s="199"/>
      <c r="H271" s="199"/>
      <c r="I271" s="199"/>
      <c r="J271" s="199"/>
      <c r="K271" s="200"/>
    </row>
    <row r="272" spans="2:11">
      <c r="B272" s="197">
        <v>342</v>
      </c>
      <c r="C272" s="198" t="s">
        <v>261</v>
      </c>
      <c r="D272" s="292" t="s">
        <v>336</v>
      </c>
      <c r="E272" s="199"/>
      <c r="F272" s="199"/>
      <c r="G272" s="199"/>
      <c r="H272" s="199"/>
      <c r="I272" s="199"/>
      <c r="J272" s="199"/>
      <c r="K272" s="200"/>
    </row>
    <row r="273" spans="2:11">
      <c r="B273" s="197">
        <v>352</v>
      </c>
      <c r="C273" s="198" t="s">
        <v>271</v>
      </c>
      <c r="D273" s="292" t="s">
        <v>336</v>
      </c>
      <c r="E273" s="199"/>
      <c r="F273" s="199"/>
      <c r="G273" s="199"/>
      <c r="H273" s="199"/>
      <c r="I273" s="199"/>
      <c r="J273" s="199"/>
      <c r="K273" s="200"/>
    </row>
    <row r="274" spans="2:11">
      <c r="B274" s="197">
        <v>333</v>
      </c>
      <c r="C274" s="198" t="s">
        <v>252</v>
      </c>
      <c r="D274" s="292" t="s">
        <v>336</v>
      </c>
      <c r="E274" s="199"/>
      <c r="F274" s="199"/>
      <c r="G274" s="199"/>
      <c r="H274" s="199"/>
      <c r="I274" s="199"/>
      <c r="J274" s="199"/>
      <c r="K274" s="200"/>
    </row>
    <row r="275" spans="2:11">
      <c r="B275" s="197">
        <v>343</v>
      </c>
      <c r="C275" s="198" t="s">
        <v>262</v>
      </c>
      <c r="D275" s="292" t="s">
        <v>336</v>
      </c>
      <c r="E275" s="199"/>
      <c r="F275" s="199"/>
      <c r="G275" s="199"/>
      <c r="H275" s="199"/>
      <c r="I275" s="199"/>
      <c r="J275" s="199"/>
      <c r="K275" s="200"/>
    </row>
    <row r="276" spans="2:11">
      <c r="B276" s="197">
        <v>334</v>
      </c>
      <c r="C276" s="198" t="s">
        <v>253</v>
      </c>
      <c r="D276" s="292" t="s">
        <v>336</v>
      </c>
      <c r="E276" s="199"/>
      <c r="F276" s="199"/>
      <c r="G276" s="199"/>
      <c r="H276" s="199"/>
      <c r="I276" s="199"/>
      <c r="J276" s="199"/>
      <c r="K276" s="200"/>
    </row>
    <row r="277" spans="2:11">
      <c r="B277" s="197">
        <v>344</v>
      </c>
      <c r="C277" s="198" t="s">
        <v>263</v>
      </c>
      <c r="D277" s="292" t="s">
        <v>336</v>
      </c>
      <c r="E277" s="199"/>
      <c r="F277" s="199"/>
      <c r="G277" s="199"/>
      <c r="H277" s="199"/>
      <c r="I277" s="199"/>
      <c r="J277" s="199"/>
      <c r="K277" s="200"/>
    </row>
    <row r="278" spans="2:11">
      <c r="B278" s="197">
        <v>345</v>
      </c>
      <c r="C278" s="198" t="s">
        <v>264</v>
      </c>
      <c r="D278" s="292" t="s">
        <v>336</v>
      </c>
      <c r="E278" s="199"/>
      <c r="F278" s="199"/>
      <c r="G278" s="199"/>
      <c r="H278" s="199"/>
      <c r="I278" s="199"/>
      <c r="J278" s="199"/>
      <c r="K278" s="200"/>
    </row>
    <row r="279" spans="2:11">
      <c r="B279" s="197">
        <v>355</v>
      </c>
      <c r="C279" s="198" t="s">
        <v>274</v>
      </c>
      <c r="D279" s="292" t="s">
        <v>336</v>
      </c>
      <c r="E279" s="199"/>
      <c r="F279" s="199"/>
      <c r="G279" s="199"/>
      <c r="H279" s="199"/>
      <c r="I279" s="199"/>
      <c r="J279" s="199"/>
      <c r="K279" s="200"/>
    </row>
    <row r="280" spans="2:11">
      <c r="B280" s="197">
        <v>396</v>
      </c>
      <c r="C280" s="198" t="s">
        <v>315</v>
      </c>
      <c r="D280" s="292" t="s">
        <v>481</v>
      </c>
      <c r="E280" s="199"/>
      <c r="F280" s="199"/>
      <c r="G280" s="199"/>
      <c r="H280" s="199"/>
      <c r="I280" s="199"/>
      <c r="J280" s="199"/>
      <c r="K280" s="200"/>
    </row>
    <row r="281" spans="2:11">
      <c r="B281" s="197">
        <v>386</v>
      </c>
      <c r="C281" s="198" t="s">
        <v>305</v>
      </c>
      <c r="D281" s="292" t="s">
        <v>480</v>
      </c>
      <c r="E281" s="199"/>
      <c r="F281" s="199"/>
      <c r="G281" s="199"/>
      <c r="H281" s="199"/>
      <c r="I281" s="199"/>
      <c r="J281" s="199"/>
      <c r="K281" s="200"/>
    </row>
    <row r="282" spans="2:11">
      <c r="B282" s="197">
        <v>387</v>
      </c>
      <c r="C282" s="198" t="s">
        <v>306</v>
      </c>
      <c r="D282" s="292" t="s">
        <v>489</v>
      </c>
      <c r="E282" s="199"/>
      <c r="F282" s="199"/>
      <c r="G282" s="199"/>
      <c r="H282" s="199"/>
      <c r="I282" s="199"/>
      <c r="J282" s="199"/>
      <c r="K282" s="200"/>
    </row>
    <row r="283" spans="2:11">
      <c r="B283" s="197">
        <v>388</v>
      </c>
      <c r="C283" s="198" t="s">
        <v>307</v>
      </c>
      <c r="D283" s="292" t="s">
        <v>495</v>
      </c>
      <c r="E283" s="199"/>
      <c r="F283" s="199"/>
      <c r="G283" s="199"/>
      <c r="H283" s="199"/>
      <c r="I283" s="199"/>
      <c r="J283" s="199"/>
      <c r="K283" s="200"/>
    </row>
    <row r="284" spans="2:11">
      <c r="B284" s="197">
        <v>392</v>
      </c>
      <c r="C284" s="198" t="s">
        <v>311</v>
      </c>
      <c r="D284" s="292" t="s">
        <v>440</v>
      </c>
      <c r="E284" s="199"/>
      <c r="F284" s="199"/>
      <c r="G284" s="199"/>
      <c r="H284" s="199"/>
      <c r="I284" s="199"/>
      <c r="J284" s="199"/>
      <c r="K284" s="200"/>
    </row>
    <row r="285" spans="2:11">
      <c r="B285" s="197">
        <v>382</v>
      </c>
      <c r="C285" s="198" t="s">
        <v>301</v>
      </c>
      <c r="D285" s="292" t="s">
        <v>441</v>
      </c>
      <c r="E285" s="199"/>
      <c r="F285" s="199"/>
      <c r="G285" s="199"/>
      <c r="H285" s="199"/>
      <c r="I285" s="199"/>
      <c r="J285" s="199"/>
      <c r="K285" s="200"/>
    </row>
    <row r="286" spans="2:11">
      <c r="B286" s="42">
        <v>194</v>
      </c>
      <c r="C286" s="21" t="s">
        <v>113</v>
      </c>
      <c r="D286" s="22" t="s">
        <v>587</v>
      </c>
      <c r="E286" s="323" t="s">
        <v>874</v>
      </c>
      <c r="F286" s="323"/>
      <c r="G286" s="389" t="s">
        <v>281</v>
      </c>
      <c r="H286" s="340" t="s">
        <v>950</v>
      </c>
      <c r="I286" s="5"/>
      <c r="J286" s="5"/>
      <c r="K286" s="14"/>
    </row>
    <row r="287" spans="2:11">
      <c r="B287" s="42">
        <v>193</v>
      </c>
      <c r="C287" s="21" t="s">
        <v>112</v>
      </c>
      <c r="D287" s="22" t="s">
        <v>564</v>
      </c>
      <c r="E287" s="323" t="s">
        <v>874</v>
      </c>
      <c r="F287" s="323"/>
      <c r="G287" s="389" t="s">
        <v>291</v>
      </c>
      <c r="H287" s="316" t="s">
        <v>950</v>
      </c>
      <c r="I287" s="5"/>
      <c r="J287" s="5"/>
      <c r="K287" s="14"/>
    </row>
    <row r="288" spans="2:11">
      <c r="B288" s="42">
        <v>184</v>
      </c>
      <c r="C288" s="21" t="s">
        <v>103</v>
      </c>
      <c r="D288" s="22" t="s">
        <v>586</v>
      </c>
      <c r="E288" s="323" t="s">
        <v>874</v>
      </c>
      <c r="F288" s="323"/>
      <c r="G288" s="389" t="s">
        <v>300</v>
      </c>
      <c r="H288" s="316" t="s">
        <v>950</v>
      </c>
      <c r="I288" s="5"/>
      <c r="J288" s="5"/>
      <c r="K288" s="14"/>
    </row>
    <row r="289" spans="2:11">
      <c r="B289" s="42">
        <v>183</v>
      </c>
      <c r="C289" s="21" t="s">
        <v>102</v>
      </c>
      <c r="D289" s="22" t="s">
        <v>563</v>
      </c>
      <c r="E289" s="323" t="s">
        <v>874</v>
      </c>
      <c r="F289" s="323"/>
      <c r="G289" s="389" t="s">
        <v>310</v>
      </c>
      <c r="H289" s="316" t="s">
        <v>950</v>
      </c>
      <c r="I289" s="5"/>
      <c r="J289" s="5"/>
      <c r="K289" s="14"/>
    </row>
    <row r="290" spans="2:11">
      <c r="B290" s="42">
        <v>182</v>
      </c>
      <c r="C290" s="21" t="s">
        <v>101</v>
      </c>
      <c r="D290" s="22" t="s">
        <v>542</v>
      </c>
      <c r="E290" s="323" t="s">
        <v>874</v>
      </c>
      <c r="F290" s="323"/>
      <c r="G290" s="389" t="s">
        <v>260</v>
      </c>
      <c r="H290" s="316" t="s">
        <v>950</v>
      </c>
      <c r="I290" s="5"/>
      <c r="J290" s="5"/>
      <c r="K290" s="14"/>
    </row>
    <row r="291" spans="2:11">
      <c r="B291" s="42">
        <v>192</v>
      </c>
      <c r="C291" s="21" t="s">
        <v>111</v>
      </c>
      <c r="D291" s="22" t="s">
        <v>543</v>
      </c>
      <c r="E291" s="323" t="s">
        <v>874</v>
      </c>
      <c r="F291" s="323"/>
      <c r="G291" s="389" t="s">
        <v>270</v>
      </c>
      <c r="H291" s="316" t="s">
        <v>950</v>
      </c>
      <c r="I291" s="5"/>
      <c r="J291" s="5"/>
      <c r="K291" s="14"/>
    </row>
    <row r="292" spans="2:11">
      <c r="B292" s="42">
        <v>214</v>
      </c>
      <c r="C292" s="21" t="s">
        <v>133</v>
      </c>
      <c r="D292" s="22" t="s">
        <v>589</v>
      </c>
      <c r="E292" s="323" t="s">
        <v>874</v>
      </c>
      <c r="F292" s="323"/>
      <c r="G292" s="389" t="s">
        <v>302</v>
      </c>
      <c r="H292" s="316" t="s">
        <v>950</v>
      </c>
      <c r="I292" s="5"/>
      <c r="J292" s="5"/>
      <c r="K292" s="14"/>
    </row>
    <row r="293" spans="2:11">
      <c r="B293" s="42">
        <v>213</v>
      </c>
      <c r="C293" s="21" t="s">
        <v>132</v>
      </c>
      <c r="D293" s="22" t="s">
        <v>566</v>
      </c>
      <c r="E293" s="323" t="s">
        <v>874</v>
      </c>
      <c r="F293" s="323"/>
      <c r="G293" s="389" t="s">
        <v>312</v>
      </c>
      <c r="H293" s="316" t="s">
        <v>950</v>
      </c>
      <c r="I293" s="5"/>
      <c r="J293" s="5"/>
      <c r="K293" s="14"/>
    </row>
    <row r="294" spans="2:11">
      <c r="B294" s="42">
        <v>204</v>
      </c>
      <c r="C294" s="21" t="s">
        <v>123</v>
      </c>
      <c r="D294" s="22" t="s">
        <v>588</v>
      </c>
      <c r="E294" s="323" t="s">
        <v>874</v>
      </c>
      <c r="F294" s="323"/>
      <c r="G294" s="389" t="s">
        <v>262</v>
      </c>
      <c r="H294" s="316" t="s">
        <v>950</v>
      </c>
      <c r="I294" s="5"/>
      <c r="J294" s="5"/>
      <c r="K294" s="14"/>
    </row>
    <row r="295" spans="2:11">
      <c r="B295" s="42">
        <v>203</v>
      </c>
      <c r="C295" s="21" t="s">
        <v>122</v>
      </c>
      <c r="D295" s="22" t="s">
        <v>565</v>
      </c>
      <c r="E295" s="323" t="s">
        <v>874</v>
      </c>
      <c r="F295" s="323"/>
      <c r="G295" s="389" t="s">
        <v>272</v>
      </c>
      <c r="H295" s="316" t="s">
        <v>950</v>
      </c>
      <c r="I295" s="5"/>
      <c r="J295" s="5"/>
      <c r="K295" s="14"/>
    </row>
    <row r="296" spans="2:11">
      <c r="B296" s="42">
        <v>176</v>
      </c>
      <c r="C296" s="21" t="s">
        <v>95</v>
      </c>
      <c r="D296" s="22" t="s">
        <v>617</v>
      </c>
      <c r="E296" s="323" t="s">
        <v>874</v>
      </c>
      <c r="F296" s="323"/>
      <c r="G296" s="389" t="s">
        <v>1010</v>
      </c>
      <c r="H296" s="316" t="s">
        <v>950</v>
      </c>
      <c r="I296" s="5"/>
      <c r="J296" s="5"/>
      <c r="K296" s="14"/>
    </row>
    <row r="297" spans="2:11">
      <c r="B297" s="42">
        <v>175</v>
      </c>
      <c r="C297" s="21" t="s">
        <v>94</v>
      </c>
      <c r="D297" s="22" t="s">
        <v>604</v>
      </c>
      <c r="E297" s="323" t="s">
        <v>874</v>
      </c>
      <c r="F297" s="323"/>
      <c r="G297" s="389" t="s">
        <v>1011</v>
      </c>
      <c r="H297" s="316" t="s">
        <v>950</v>
      </c>
      <c r="I297" s="5"/>
      <c r="J297" s="5"/>
      <c r="K297" s="14"/>
    </row>
    <row r="298" spans="2:11">
      <c r="B298" s="42">
        <v>114</v>
      </c>
      <c r="C298" s="21" t="s">
        <v>33</v>
      </c>
      <c r="D298" s="22" t="s">
        <v>585</v>
      </c>
      <c r="E298" s="323" t="s">
        <v>874</v>
      </c>
      <c r="F298" s="323"/>
      <c r="G298" s="389" t="s">
        <v>264</v>
      </c>
      <c r="H298" s="316" t="s">
        <v>950</v>
      </c>
      <c r="I298" s="5"/>
      <c r="J298" s="5"/>
      <c r="K298" s="14"/>
    </row>
    <row r="299" spans="2:11">
      <c r="B299" s="42">
        <v>115</v>
      </c>
      <c r="C299" s="21" t="s">
        <v>34</v>
      </c>
      <c r="D299" s="22" t="s">
        <v>603</v>
      </c>
      <c r="E299" s="323" t="s">
        <v>874</v>
      </c>
      <c r="F299" s="323"/>
      <c r="G299" s="389" t="s">
        <v>274</v>
      </c>
      <c r="H299" s="316" t="s">
        <v>950</v>
      </c>
      <c r="I299" s="5"/>
      <c r="J299" s="5"/>
      <c r="K299" s="14"/>
    </row>
    <row r="300" spans="2:11">
      <c r="B300" s="42">
        <v>122</v>
      </c>
      <c r="C300" s="21" t="s">
        <v>41</v>
      </c>
      <c r="D300" s="22" t="s">
        <v>540</v>
      </c>
      <c r="E300" s="323" t="s">
        <v>874</v>
      </c>
      <c r="F300" s="323"/>
      <c r="G300" s="389" t="s">
        <v>1012</v>
      </c>
      <c r="H300" s="316" t="s">
        <v>950</v>
      </c>
      <c r="I300" s="5"/>
      <c r="J300" s="5"/>
      <c r="K300" s="14"/>
    </row>
    <row r="301" spans="2:11">
      <c r="B301" s="42">
        <v>123</v>
      </c>
      <c r="C301" s="21" t="s">
        <v>42</v>
      </c>
      <c r="D301" s="22" t="s">
        <v>561</v>
      </c>
      <c r="E301" s="323" t="s">
        <v>874</v>
      </c>
      <c r="F301" s="323"/>
      <c r="G301" s="389" t="s">
        <v>1013</v>
      </c>
      <c r="H301" s="316" t="s">
        <v>950</v>
      </c>
      <c r="I301" s="5"/>
      <c r="J301" s="5"/>
      <c r="K301" s="14"/>
    </row>
    <row r="302" spans="2:11">
      <c r="B302" s="42">
        <v>112</v>
      </c>
      <c r="C302" s="21" t="s">
        <v>31</v>
      </c>
      <c r="D302" s="22" t="s">
        <v>539</v>
      </c>
      <c r="E302" s="323" t="s">
        <v>874</v>
      </c>
      <c r="F302" s="323"/>
      <c r="G302" s="389" t="s">
        <v>283</v>
      </c>
      <c r="H302" s="316" t="s">
        <v>950</v>
      </c>
      <c r="I302" s="5"/>
      <c r="J302" s="5"/>
      <c r="K302" s="14"/>
    </row>
    <row r="303" spans="2:11">
      <c r="B303" s="42">
        <v>113</v>
      </c>
      <c r="C303" s="21" t="s">
        <v>32</v>
      </c>
      <c r="D303" s="22" t="s">
        <v>560</v>
      </c>
      <c r="E303" s="323" t="s">
        <v>874</v>
      </c>
      <c r="F303" s="323"/>
      <c r="G303" s="389" t="s">
        <v>293</v>
      </c>
      <c r="H303" s="316" t="s">
        <v>950</v>
      </c>
      <c r="I303" s="5"/>
      <c r="J303" s="5"/>
      <c r="K303" s="14"/>
    </row>
    <row r="304" spans="2:11">
      <c r="B304" s="42">
        <v>141</v>
      </c>
      <c r="C304" s="21" t="s">
        <v>60</v>
      </c>
      <c r="D304" s="22" t="s">
        <v>526</v>
      </c>
      <c r="E304" s="323" t="s">
        <v>874</v>
      </c>
      <c r="F304" s="323"/>
      <c r="G304" s="389" t="s">
        <v>1014</v>
      </c>
      <c r="H304" s="316" t="s">
        <v>950</v>
      </c>
      <c r="I304" s="5"/>
      <c r="J304" s="5"/>
      <c r="K304" s="14"/>
    </row>
    <row r="305" spans="2:11">
      <c r="B305" s="42">
        <v>131</v>
      </c>
      <c r="C305" s="21" t="s">
        <v>50</v>
      </c>
      <c r="D305" s="22" t="s">
        <v>525</v>
      </c>
      <c r="E305" s="323" t="s">
        <v>874</v>
      </c>
      <c r="F305" s="323"/>
      <c r="G305" s="389" t="s">
        <v>1015</v>
      </c>
      <c r="H305" s="316" t="s">
        <v>950</v>
      </c>
      <c r="I305" s="5"/>
      <c r="J305" s="5"/>
      <c r="K305" s="14"/>
    </row>
    <row r="306" spans="2:11">
      <c r="B306" s="42">
        <v>121</v>
      </c>
      <c r="C306" s="21" t="s">
        <v>40</v>
      </c>
      <c r="D306" s="22" t="s">
        <v>524</v>
      </c>
      <c r="E306" s="323" t="s">
        <v>874</v>
      </c>
      <c r="F306" s="323"/>
      <c r="G306" s="389" t="s">
        <v>285</v>
      </c>
      <c r="H306" s="316" t="s">
        <v>950</v>
      </c>
      <c r="I306" s="5"/>
      <c r="J306" s="5"/>
      <c r="K306" s="14"/>
    </row>
    <row r="307" spans="2:11">
      <c r="B307" s="42">
        <v>111</v>
      </c>
      <c r="C307" s="21" t="s">
        <v>30</v>
      </c>
      <c r="D307" s="22" t="s">
        <v>523</v>
      </c>
      <c r="E307" s="323" t="s">
        <v>874</v>
      </c>
      <c r="F307" s="323"/>
      <c r="G307" s="389" t="s">
        <v>295</v>
      </c>
      <c r="H307" s="316" t="s">
        <v>950</v>
      </c>
      <c r="I307" s="5"/>
      <c r="J307" s="5"/>
      <c r="K307" s="14"/>
    </row>
    <row r="308" spans="2:11">
      <c r="B308" s="42">
        <v>132</v>
      </c>
      <c r="C308" s="21" t="s">
        <v>51</v>
      </c>
      <c r="D308" s="22" t="s">
        <v>541</v>
      </c>
      <c r="E308" s="323" t="s">
        <v>874</v>
      </c>
      <c r="F308" s="323"/>
      <c r="G308" s="389" t="s">
        <v>304</v>
      </c>
      <c r="H308" s="316" t="s">
        <v>950</v>
      </c>
      <c r="I308" s="5"/>
      <c r="J308" s="5"/>
      <c r="K308" s="14"/>
    </row>
    <row r="309" spans="2:11">
      <c r="B309" s="42">
        <v>133</v>
      </c>
      <c r="C309" s="21" t="s">
        <v>52</v>
      </c>
      <c r="D309" s="22" t="s">
        <v>562</v>
      </c>
      <c r="E309" s="323" t="s">
        <v>874</v>
      </c>
      <c r="F309" s="323"/>
      <c r="G309" s="389" t="s">
        <v>314</v>
      </c>
      <c r="H309" s="316" t="s">
        <v>950</v>
      </c>
      <c r="I309" s="5"/>
      <c r="J309" s="5"/>
      <c r="K309" s="14"/>
    </row>
    <row r="310" spans="2:11">
      <c r="B310" s="42">
        <v>124</v>
      </c>
      <c r="C310" s="21" t="s">
        <v>43</v>
      </c>
      <c r="D310" s="22" t="s">
        <v>465</v>
      </c>
      <c r="E310" s="323" t="s">
        <v>874</v>
      </c>
      <c r="F310" s="5"/>
      <c r="G310" s="387" t="s">
        <v>976</v>
      </c>
      <c r="H310" s="5"/>
      <c r="I310" s="5"/>
      <c r="J310" s="5"/>
      <c r="K310" s="14"/>
    </row>
    <row r="311" spans="2:11">
      <c r="B311" s="42">
        <v>125</v>
      </c>
      <c r="C311" s="21" t="s">
        <v>44</v>
      </c>
      <c r="D311" s="22" t="s">
        <v>456</v>
      </c>
      <c r="E311" s="323" t="s">
        <v>874</v>
      </c>
      <c r="F311" s="5"/>
      <c r="G311" s="387" t="s">
        <v>977</v>
      </c>
      <c r="H311" s="5"/>
      <c r="I311" s="5"/>
      <c r="J311" s="5"/>
      <c r="K311" s="14"/>
    </row>
    <row r="312" spans="2:11">
      <c r="B312" s="42">
        <v>162</v>
      </c>
      <c r="C312" s="21" t="s">
        <v>81</v>
      </c>
      <c r="D312" s="22" t="s">
        <v>433</v>
      </c>
      <c r="E312" s="5"/>
      <c r="F312" s="5"/>
      <c r="G312" s="5"/>
      <c r="H312" s="5"/>
      <c r="I312" s="5"/>
      <c r="J312" s="5"/>
      <c r="K312" s="14"/>
    </row>
    <row r="313" spans="2:11">
      <c r="B313" s="42">
        <v>161</v>
      </c>
      <c r="C313" s="21" t="s">
        <v>80</v>
      </c>
      <c r="D313" s="22" t="s">
        <v>327</v>
      </c>
      <c r="E313" s="323" t="s">
        <v>874</v>
      </c>
      <c r="F313" s="323"/>
      <c r="G313" s="388" t="s">
        <v>127</v>
      </c>
      <c r="H313" s="5"/>
      <c r="I313" s="5"/>
      <c r="J313" s="5"/>
      <c r="K313" s="14"/>
    </row>
    <row r="314" spans="2:11">
      <c r="B314" s="42">
        <v>164</v>
      </c>
      <c r="C314" s="21" t="s">
        <v>83</v>
      </c>
      <c r="D314" s="22" t="s">
        <v>458</v>
      </c>
      <c r="E314" s="5"/>
      <c r="F314" s="5"/>
      <c r="G314" s="5"/>
      <c r="H314" s="5"/>
      <c r="I314" s="5"/>
      <c r="J314" s="5"/>
      <c r="K314" s="14"/>
    </row>
    <row r="315" spans="2:11">
      <c r="B315" s="42">
        <v>163</v>
      </c>
      <c r="C315" s="21" t="s">
        <v>82</v>
      </c>
      <c r="D315" s="22" t="s">
        <v>448</v>
      </c>
      <c r="E315" s="323" t="s">
        <v>874</v>
      </c>
      <c r="F315" s="323"/>
      <c r="G315" s="388" t="s">
        <v>137</v>
      </c>
      <c r="H315" s="5"/>
      <c r="I315" s="5"/>
      <c r="J315" s="5"/>
      <c r="K315" s="14"/>
    </row>
    <row r="316" spans="2:11">
      <c r="B316" s="42">
        <v>181</v>
      </c>
      <c r="C316" s="21" t="s">
        <v>100</v>
      </c>
      <c r="D316" s="22" t="s">
        <v>432</v>
      </c>
      <c r="E316" s="5"/>
      <c r="F316" s="5"/>
      <c r="G316" s="5"/>
      <c r="H316" s="5"/>
      <c r="I316" s="5"/>
      <c r="J316" s="5"/>
      <c r="K316" s="14"/>
    </row>
    <row r="317" spans="2:11">
      <c r="B317" s="42">
        <v>191</v>
      </c>
      <c r="C317" s="21" t="s">
        <v>110</v>
      </c>
      <c r="D317" s="22" t="s">
        <v>432</v>
      </c>
      <c r="E317" s="5"/>
      <c r="F317" s="5"/>
      <c r="G317" s="5"/>
      <c r="H317" s="5"/>
      <c r="I317" s="5"/>
      <c r="J317" s="5"/>
      <c r="K317" s="14"/>
    </row>
    <row r="318" spans="2:11">
      <c r="B318" s="42">
        <v>201</v>
      </c>
      <c r="C318" s="21" t="s">
        <v>120</v>
      </c>
      <c r="D318" s="22" t="s">
        <v>432</v>
      </c>
      <c r="E318" s="5"/>
      <c r="F318" s="5"/>
      <c r="G318" s="5"/>
      <c r="H318" s="5"/>
      <c r="I318" s="5"/>
      <c r="J318" s="5"/>
      <c r="K318" s="14"/>
    </row>
    <row r="319" spans="2:11">
      <c r="B319" s="42">
        <v>211</v>
      </c>
      <c r="C319" s="21" t="s">
        <v>130</v>
      </c>
      <c r="D319" s="22" t="s">
        <v>432</v>
      </c>
      <c r="E319" s="5"/>
      <c r="F319" s="5"/>
      <c r="G319" s="5"/>
      <c r="H319" s="5"/>
      <c r="I319" s="5"/>
      <c r="J319" s="5"/>
      <c r="K319" s="14"/>
    </row>
    <row r="320" spans="2:11">
      <c r="B320" s="42">
        <v>185</v>
      </c>
      <c r="C320" s="21" t="s">
        <v>104</v>
      </c>
      <c r="D320" s="22" t="s">
        <v>432</v>
      </c>
      <c r="E320" s="5"/>
      <c r="F320" s="5"/>
      <c r="G320" s="5"/>
      <c r="H320" s="5"/>
      <c r="I320" s="5"/>
      <c r="J320" s="5"/>
      <c r="K320" s="14"/>
    </row>
    <row r="321" spans="2:11">
      <c r="B321" s="42">
        <v>195</v>
      </c>
      <c r="C321" s="21" t="s">
        <v>114</v>
      </c>
      <c r="D321" s="22" t="s">
        <v>432</v>
      </c>
      <c r="E321" s="5"/>
      <c r="F321" s="5"/>
      <c r="G321" s="5"/>
      <c r="H321" s="5"/>
      <c r="I321" s="5"/>
      <c r="J321" s="5"/>
      <c r="K321" s="14"/>
    </row>
    <row r="322" spans="2:11">
      <c r="B322" s="42">
        <v>205</v>
      </c>
      <c r="C322" s="21" t="s">
        <v>124</v>
      </c>
      <c r="D322" s="22" t="s">
        <v>432</v>
      </c>
      <c r="E322" s="5"/>
      <c r="F322" s="5"/>
      <c r="G322" s="5"/>
      <c r="H322" s="5"/>
      <c r="I322" s="5"/>
      <c r="J322" s="5"/>
      <c r="K322" s="14"/>
    </row>
    <row r="323" spans="2:11">
      <c r="B323" s="42">
        <v>215</v>
      </c>
      <c r="C323" s="21" t="s">
        <v>134</v>
      </c>
      <c r="D323" s="22" t="s">
        <v>432</v>
      </c>
      <c r="E323" s="5"/>
      <c r="F323" s="5"/>
      <c r="G323" s="5"/>
      <c r="H323" s="5"/>
      <c r="I323" s="5"/>
      <c r="J323" s="5"/>
      <c r="K323" s="14"/>
    </row>
    <row r="324" spans="2:11">
      <c r="B324" s="42">
        <v>186</v>
      </c>
      <c r="C324" s="21" t="s">
        <v>105</v>
      </c>
      <c r="D324" s="22" t="s">
        <v>432</v>
      </c>
      <c r="E324" s="5"/>
      <c r="F324" s="5"/>
      <c r="G324" s="5"/>
      <c r="H324" s="5"/>
      <c r="I324" s="5"/>
      <c r="J324" s="5"/>
      <c r="K324" s="14"/>
    </row>
    <row r="325" spans="2:11">
      <c r="B325" s="42">
        <v>196</v>
      </c>
      <c r="C325" s="21" t="s">
        <v>115</v>
      </c>
      <c r="D325" s="22" t="s">
        <v>432</v>
      </c>
      <c r="E325" s="5"/>
      <c r="F325" s="5"/>
      <c r="G325" s="5"/>
      <c r="H325" s="5"/>
      <c r="I325" s="5"/>
      <c r="J325" s="5"/>
      <c r="K325" s="14"/>
    </row>
    <row r="326" spans="2:11">
      <c r="B326" s="42">
        <v>151</v>
      </c>
      <c r="C326" s="21" t="s">
        <v>70</v>
      </c>
      <c r="D326" s="22" t="s">
        <v>326</v>
      </c>
      <c r="E326" s="5"/>
      <c r="F326" s="5"/>
      <c r="G326" s="5"/>
      <c r="H326" s="5"/>
      <c r="I326" s="5"/>
      <c r="J326" s="5"/>
      <c r="K326" s="14"/>
    </row>
    <row r="327" spans="2:11">
      <c r="B327" s="42">
        <v>172</v>
      </c>
      <c r="C327" s="21" t="s">
        <v>91</v>
      </c>
      <c r="D327" s="22" t="s">
        <v>434</v>
      </c>
      <c r="E327" s="5"/>
      <c r="F327" s="5"/>
      <c r="G327" s="5"/>
      <c r="H327" s="5"/>
      <c r="I327" s="5"/>
      <c r="J327" s="5"/>
      <c r="K327" s="14"/>
    </row>
    <row r="328" spans="2:11">
      <c r="B328" s="42">
        <v>171</v>
      </c>
      <c r="C328" s="21" t="s">
        <v>90</v>
      </c>
      <c r="D328" s="22" t="s">
        <v>328</v>
      </c>
      <c r="E328" s="5"/>
      <c r="F328" s="5"/>
      <c r="G328" s="5"/>
      <c r="H328" s="5"/>
      <c r="I328" s="5"/>
      <c r="J328" s="5"/>
      <c r="K328" s="14"/>
    </row>
    <row r="329" spans="2:11">
      <c r="B329" s="42">
        <v>142</v>
      </c>
      <c r="C329" s="21" t="s">
        <v>61</v>
      </c>
      <c r="D329" s="22" t="s">
        <v>329</v>
      </c>
      <c r="E329" s="5"/>
      <c r="F329" s="5"/>
      <c r="G329" s="5"/>
      <c r="H329" s="5"/>
      <c r="I329" s="5"/>
      <c r="J329" s="5"/>
      <c r="K329" s="14"/>
    </row>
    <row r="330" spans="2:11">
      <c r="B330" s="42">
        <v>152</v>
      </c>
      <c r="C330" s="21" t="s">
        <v>71</v>
      </c>
      <c r="D330" s="22" t="s">
        <v>329</v>
      </c>
      <c r="E330" s="5"/>
      <c r="F330" s="5"/>
      <c r="G330" s="5"/>
      <c r="H330" s="5"/>
      <c r="I330" s="5"/>
      <c r="J330" s="5"/>
      <c r="K330" s="14"/>
    </row>
    <row r="331" spans="2:11">
      <c r="B331" s="42">
        <v>143</v>
      </c>
      <c r="C331" s="21" t="s">
        <v>62</v>
      </c>
      <c r="D331" s="22" t="s">
        <v>329</v>
      </c>
      <c r="E331" s="5"/>
      <c r="F331" s="5"/>
      <c r="G331" s="5"/>
      <c r="H331" s="5"/>
      <c r="I331" s="5"/>
      <c r="J331" s="5"/>
      <c r="K331" s="14"/>
    </row>
    <row r="332" spans="2:11">
      <c r="B332" s="42">
        <v>153</v>
      </c>
      <c r="C332" s="21" t="s">
        <v>72</v>
      </c>
      <c r="D332" s="22" t="s">
        <v>329</v>
      </c>
      <c r="E332" s="5"/>
      <c r="F332" s="5"/>
      <c r="G332" s="5"/>
      <c r="H332" s="5"/>
      <c r="I332" s="5"/>
      <c r="J332" s="5"/>
      <c r="K332" s="14"/>
    </row>
    <row r="333" spans="2:11">
      <c r="B333" s="42">
        <v>144</v>
      </c>
      <c r="C333" s="21" t="s">
        <v>63</v>
      </c>
      <c r="D333" s="22" t="s">
        <v>329</v>
      </c>
      <c r="E333" s="5"/>
      <c r="F333" s="5"/>
      <c r="G333" s="5"/>
      <c r="H333" s="5"/>
      <c r="I333" s="5"/>
      <c r="J333" s="5"/>
      <c r="K333" s="14"/>
    </row>
    <row r="334" spans="2:11">
      <c r="B334" s="42">
        <v>154</v>
      </c>
      <c r="C334" s="21" t="s">
        <v>73</v>
      </c>
      <c r="D334" s="22" t="s">
        <v>329</v>
      </c>
      <c r="E334" s="5"/>
      <c r="F334" s="5"/>
      <c r="G334" s="5"/>
      <c r="H334" s="5"/>
      <c r="I334" s="5"/>
      <c r="J334" s="5"/>
      <c r="K334" s="14"/>
    </row>
    <row r="335" spans="2:11">
      <c r="B335" s="42">
        <v>145</v>
      </c>
      <c r="C335" s="21" t="s">
        <v>64</v>
      </c>
      <c r="D335" s="22" t="s">
        <v>329</v>
      </c>
      <c r="E335" s="5"/>
      <c r="F335" s="5"/>
      <c r="G335" s="5"/>
      <c r="H335" s="5"/>
      <c r="I335" s="5"/>
      <c r="J335" s="5"/>
      <c r="K335" s="14"/>
    </row>
    <row r="336" spans="2:11">
      <c r="B336" s="42">
        <v>155</v>
      </c>
      <c r="C336" s="21" t="s">
        <v>74</v>
      </c>
      <c r="D336" s="22" t="s">
        <v>329</v>
      </c>
      <c r="E336" s="5"/>
      <c r="F336" s="5"/>
      <c r="G336" s="5"/>
      <c r="H336" s="5"/>
      <c r="I336" s="5"/>
      <c r="J336" s="5"/>
      <c r="K336" s="14"/>
    </row>
    <row r="337" spans="2:11">
      <c r="B337" s="42">
        <v>165</v>
      </c>
      <c r="C337" s="21" t="s">
        <v>84</v>
      </c>
      <c r="D337" s="22" t="s">
        <v>329</v>
      </c>
      <c r="E337" s="5"/>
      <c r="F337" s="5"/>
      <c r="G337" s="5"/>
      <c r="H337" s="5"/>
      <c r="I337" s="5"/>
      <c r="J337" s="5"/>
      <c r="K337" s="14"/>
    </row>
    <row r="338" spans="2:11">
      <c r="B338" s="42">
        <v>146</v>
      </c>
      <c r="C338" s="21" t="s">
        <v>65</v>
      </c>
      <c r="D338" s="22" t="s">
        <v>329</v>
      </c>
      <c r="E338" s="5"/>
      <c r="F338" s="5"/>
      <c r="G338" s="5"/>
      <c r="H338" s="5"/>
      <c r="I338" s="5"/>
      <c r="J338" s="5"/>
      <c r="K338" s="14"/>
    </row>
    <row r="339" spans="2:11">
      <c r="B339" s="42">
        <v>156</v>
      </c>
      <c r="C339" s="21" t="s">
        <v>75</v>
      </c>
      <c r="D339" s="22" t="s">
        <v>329</v>
      </c>
      <c r="E339" s="5"/>
      <c r="F339" s="5"/>
      <c r="G339" s="5"/>
      <c r="H339" s="5"/>
      <c r="I339" s="5"/>
      <c r="J339" s="5"/>
      <c r="K339" s="14"/>
    </row>
    <row r="340" spans="2:11">
      <c r="B340" s="42">
        <v>166</v>
      </c>
      <c r="C340" s="21" t="s">
        <v>85</v>
      </c>
      <c r="D340" s="22" t="s">
        <v>329</v>
      </c>
      <c r="E340" s="5"/>
      <c r="F340" s="5"/>
      <c r="G340" s="5"/>
      <c r="H340" s="5"/>
      <c r="I340" s="5"/>
      <c r="J340" s="5"/>
      <c r="K340" s="14"/>
    </row>
    <row r="341" spans="2:11">
      <c r="B341" s="42">
        <v>212</v>
      </c>
      <c r="C341" s="21" t="s">
        <v>131</v>
      </c>
      <c r="D341" s="22" t="s">
        <v>436</v>
      </c>
      <c r="E341" s="5"/>
      <c r="F341" s="5"/>
      <c r="G341" s="5"/>
      <c r="H341" s="5"/>
      <c r="I341" s="5"/>
      <c r="J341" s="5"/>
      <c r="K341" s="14"/>
    </row>
    <row r="342" spans="2:11">
      <c r="B342" s="42">
        <v>202</v>
      </c>
      <c r="C342" s="21" t="s">
        <v>121</v>
      </c>
      <c r="D342" s="327" t="s">
        <v>435</v>
      </c>
      <c r="E342" s="323" t="s">
        <v>874</v>
      </c>
      <c r="F342" s="323"/>
      <c r="G342" s="387" t="s">
        <v>67</v>
      </c>
      <c r="H342" s="5"/>
      <c r="I342" s="5"/>
      <c r="J342" s="5"/>
      <c r="K342" s="14"/>
    </row>
    <row r="343" spans="2:11">
      <c r="B343" s="42">
        <v>174</v>
      </c>
      <c r="C343" s="21" t="s">
        <v>93</v>
      </c>
      <c r="D343" s="327" t="s">
        <v>459</v>
      </c>
      <c r="E343" s="323" t="s">
        <v>874</v>
      </c>
      <c r="F343" s="5"/>
      <c r="G343" s="388" t="s">
        <v>1031</v>
      </c>
      <c r="H343" s="5"/>
      <c r="I343" s="5"/>
      <c r="J343" s="5"/>
      <c r="K343" s="14"/>
    </row>
    <row r="344" spans="2:11">
      <c r="B344" s="42">
        <v>173</v>
      </c>
      <c r="C344" s="21" t="s">
        <v>92</v>
      </c>
      <c r="D344" s="327" t="s">
        <v>449</v>
      </c>
      <c r="E344" s="323" t="s">
        <v>874</v>
      </c>
      <c r="F344" s="5"/>
      <c r="G344" s="388" t="s">
        <v>1032</v>
      </c>
      <c r="H344" s="5"/>
      <c r="I344" s="5"/>
      <c r="J344" s="5"/>
      <c r="K344" s="14"/>
    </row>
    <row r="345" spans="2:11">
      <c r="B345" s="42">
        <v>135</v>
      </c>
      <c r="C345" s="21" t="s">
        <v>54</v>
      </c>
      <c r="D345" s="327" t="s">
        <v>457</v>
      </c>
      <c r="E345" s="323" t="s">
        <v>874</v>
      </c>
      <c r="F345" s="5"/>
      <c r="G345" s="323" t="s">
        <v>317</v>
      </c>
      <c r="H345" s="5"/>
      <c r="I345" s="5"/>
      <c r="J345" s="5"/>
      <c r="K345" s="14"/>
    </row>
    <row r="346" spans="2:11">
      <c r="B346" s="42">
        <v>134</v>
      </c>
      <c r="C346" s="21" t="s">
        <v>53</v>
      </c>
      <c r="D346" s="327" t="s">
        <v>466</v>
      </c>
      <c r="E346" s="323" t="s">
        <v>874</v>
      </c>
      <c r="F346" s="323"/>
      <c r="G346" s="387" t="s">
        <v>975</v>
      </c>
      <c r="H346" s="5"/>
      <c r="I346" s="5"/>
      <c r="J346" s="5"/>
      <c r="K346" s="14"/>
    </row>
    <row r="347" spans="2:11">
      <c r="B347" s="42">
        <v>332</v>
      </c>
      <c r="C347" s="21" t="s">
        <v>251</v>
      </c>
      <c r="D347" s="22" t="s">
        <v>549</v>
      </c>
      <c r="E347" s="324" t="s">
        <v>874</v>
      </c>
      <c r="F347" s="5"/>
      <c r="G347" s="389" t="s">
        <v>201</v>
      </c>
      <c r="H347" s="340" t="s">
        <v>951</v>
      </c>
      <c r="I347" s="5"/>
      <c r="J347" s="5"/>
      <c r="K347" s="14"/>
    </row>
    <row r="348" spans="2:11">
      <c r="B348" s="42">
        <v>331</v>
      </c>
      <c r="C348" s="21" t="s">
        <v>250</v>
      </c>
      <c r="D348" s="22" t="s">
        <v>529</v>
      </c>
      <c r="E348" s="324" t="s">
        <v>874</v>
      </c>
      <c r="F348" s="5"/>
      <c r="G348" s="389" t="s">
        <v>211</v>
      </c>
      <c r="H348" s="316" t="s">
        <v>951</v>
      </c>
      <c r="I348" s="5"/>
      <c r="J348" s="5"/>
      <c r="K348" s="14"/>
    </row>
    <row r="349" spans="2:11">
      <c r="B349" s="42">
        <v>322</v>
      </c>
      <c r="C349" s="21" t="s">
        <v>241</v>
      </c>
      <c r="D349" s="22" t="s">
        <v>548</v>
      </c>
      <c r="E349" s="324" t="s">
        <v>874</v>
      </c>
      <c r="F349" s="5"/>
      <c r="G349" s="389" t="s">
        <v>220</v>
      </c>
      <c r="H349" s="316" t="s">
        <v>951</v>
      </c>
      <c r="I349" s="5"/>
      <c r="J349" s="5"/>
      <c r="K349" s="14"/>
    </row>
    <row r="350" spans="2:11">
      <c r="B350" s="42">
        <v>321</v>
      </c>
      <c r="C350" s="21" t="s">
        <v>240</v>
      </c>
      <c r="D350" s="22" t="s">
        <v>528</v>
      </c>
      <c r="E350" s="324" t="s">
        <v>874</v>
      </c>
      <c r="F350" s="5"/>
      <c r="G350" s="389" t="s">
        <v>230</v>
      </c>
      <c r="H350" s="316" t="s">
        <v>951</v>
      </c>
      <c r="I350" s="5"/>
      <c r="J350" s="5"/>
      <c r="K350" s="14"/>
    </row>
    <row r="351" spans="2:11">
      <c r="B351" s="42">
        <v>312</v>
      </c>
      <c r="C351" s="21" t="s">
        <v>231</v>
      </c>
      <c r="D351" s="22" t="s">
        <v>547</v>
      </c>
      <c r="E351" s="324" t="s">
        <v>874</v>
      </c>
      <c r="F351" s="5"/>
      <c r="G351" s="389" t="s">
        <v>180</v>
      </c>
      <c r="H351" s="316" t="s">
        <v>951</v>
      </c>
      <c r="I351" s="5"/>
      <c r="J351" s="5"/>
      <c r="K351" s="14"/>
    </row>
    <row r="352" spans="2:11">
      <c r="B352" s="42">
        <v>311</v>
      </c>
      <c r="C352" s="21" t="s">
        <v>230</v>
      </c>
      <c r="D352" s="22" t="s">
        <v>527</v>
      </c>
      <c r="E352" s="324" t="s">
        <v>874</v>
      </c>
      <c r="F352" s="5"/>
      <c r="G352" s="389" t="s">
        <v>190</v>
      </c>
      <c r="H352" s="316" t="s">
        <v>951</v>
      </c>
      <c r="I352" s="5"/>
      <c r="J352" s="5"/>
      <c r="K352" s="14"/>
    </row>
    <row r="353" spans="2:11">
      <c r="B353" s="42">
        <v>313</v>
      </c>
      <c r="C353" s="21" t="s">
        <v>232</v>
      </c>
      <c r="D353" s="22" t="s">
        <v>572</v>
      </c>
      <c r="E353" s="324" t="s">
        <v>874</v>
      </c>
      <c r="F353" s="5"/>
      <c r="G353" s="389" t="s">
        <v>222</v>
      </c>
      <c r="H353" s="316" t="s">
        <v>951</v>
      </c>
      <c r="I353" s="5"/>
      <c r="J353" s="5"/>
      <c r="K353" s="14"/>
    </row>
    <row r="354" spans="2:11">
      <c r="B354" s="42">
        <v>323</v>
      </c>
      <c r="C354" s="21" t="s">
        <v>242</v>
      </c>
      <c r="D354" s="22" t="s">
        <v>573</v>
      </c>
      <c r="E354" s="324" t="s">
        <v>874</v>
      </c>
      <c r="F354" s="5"/>
      <c r="G354" s="389" t="s">
        <v>232</v>
      </c>
      <c r="H354" s="316" t="s">
        <v>951</v>
      </c>
      <c r="I354" s="5"/>
      <c r="J354" s="5"/>
      <c r="K354" s="14"/>
    </row>
    <row r="355" spans="2:11">
      <c r="B355" s="42">
        <v>303</v>
      </c>
      <c r="C355" s="21" t="s">
        <v>222</v>
      </c>
      <c r="D355" s="22" t="s">
        <v>571</v>
      </c>
      <c r="E355" s="324" t="s">
        <v>874</v>
      </c>
      <c r="F355" s="5"/>
      <c r="G355" s="389" t="s">
        <v>182</v>
      </c>
      <c r="H355" s="316" t="s">
        <v>951</v>
      </c>
      <c r="I355" s="5"/>
      <c r="J355" s="5"/>
      <c r="K355" s="14"/>
    </row>
    <row r="356" spans="2:11">
      <c r="B356" s="42">
        <v>293</v>
      </c>
      <c r="C356" s="21" t="s">
        <v>212</v>
      </c>
      <c r="D356" s="22" t="s">
        <v>570</v>
      </c>
      <c r="E356" s="324" t="s">
        <v>874</v>
      </c>
      <c r="F356" s="5"/>
      <c r="G356" s="389" t="s">
        <v>192</v>
      </c>
      <c r="H356" s="316" t="s">
        <v>951</v>
      </c>
      <c r="I356" s="5"/>
      <c r="J356" s="5"/>
      <c r="K356" s="14"/>
    </row>
    <row r="357" spans="2:11">
      <c r="B357" s="42">
        <v>324</v>
      </c>
      <c r="C357" s="21" t="s">
        <v>243</v>
      </c>
      <c r="D357" s="22" t="s">
        <v>594</v>
      </c>
      <c r="E357" s="324" t="s">
        <v>874</v>
      </c>
      <c r="F357" s="5"/>
      <c r="G357" s="389" t="s">
        <v>241</v>
      </c>
      <c r="H357" s="316" t="s">
        <v>951</v>
      </c>
      <c r="I357" s="5"/>
      <c r="J357" s="5"/>
      <c r="K357" s="14"/>
    </row>
    <row r="358" spans="2:11">
      <c r="B358" s="42">
        <v>314</v>
      </c>
      <c r="C358" s="21" t="s">
        <v>233</v>
      </c>
      <c r="D358" s="22" t="s">
        <v>593</v>
      </c>
      <c r="E358" s="324" t="s">
        <v>874</v>
      </c>
      <c r="F358" s="5"/>
      <c r="G358" s="389" t="s">
        <v>251</v>
      </c>
      <c r="H358" s="316" t="s">
        <v>951</v>
      </c>
      <c r="I358" s="5"/>
      <c r="J358" s="5"/>
      <c r="K358" s="14"/>
    </row>
    <row r="359" spans="2:11">
      <c r="B359" s="42">
        <v>244</v>
      </c>
      <c r="C359" s="21" t="s">
        <v>163</v>
      </c>
      <c r="D359" s="22" t="s">
        <v>592</v>
      </c>
      <c r="E359" s="324" t="s">
        <v>874</v>
      </c>
      <c r="F359" s="5"/>
      <c r="G359" s="389" t="s">
        <v>184</v>
      </c>
      <c r="H359" s="316" t="s">
        <v>951</v>
      </c>
      <c r="I359" s="5"/>
      <c r="J359" s="5"/>
      <c r="K359" s="14"/>
    </row>
    <row r="360" spans="2:11">
      <c r="B360" s="42">
        <v>245</v>
      </c>
      <c r="C360" s="21" t="s">
        <v>164</v>
      </c>
      <c r="D360" s="22" t="s">
        <v>607</v>
      </c>
      <c r="E360" s="324" t="s">
        <v>874</v>
      </c>
      <c r="F360" s="5"/>
      <c r="G360" s="389" t="s">
        <v>194</v>
      </c>
      <c r="H360" s="316" t="s">
        <v>951</v>
      </c>
      <c r="I360" s="5"/>
      <c r="J360" s="5"/>
      <c r="K360" s="14"/>
    </row>
    <row r="361" spans="2:11">
      <c r="B361" s="42">
        <v>234</v>
      </c>
      <c r="C361" s="21" t="s">
        <v>153</v>
      </c>
      <c r="D361" s="22" t="s">
        <v>591</v>
      </c>
      <c r="E361" s="324" t="s">
        <v>874</v>
      </c>
      <c r="F361" s="5"/>
      <c r="G361" s="389" t="s">
        <v>243</v>
      </c>
      <c r="H361" s="316" t="s">
        <v>951</v>
      </c>
      <c r="I361" s="5"/>
      <c r="J361" s="5"/>
      <c r="K361" s="14"/>
    </row>
    <row r="362" spans="2:11">
      <c r="B362" s="42">
        <v>235</v>
      </c>
      <c r="C362" s="21" t="s">
        <v>154</v>
      </c>
      <c r="D362" s="22" t="s">
        <v>606</v>
      </c>
      <c r="E362" s="324" t="s">
        <v>874</v>
      </c>
      <c r="F362" s="5"/>
      <c r="G362" s="389" t="s">
        <v>253</v>
      </c>
      <c r="H362" s="316" t="s">
        <v>951</v>
      </c>
      <c r="I362" s="5"/>
      <c r="J362" s="5"/>
      <c r="K362" s="14"/>
    </row>
    <row r="363" spans="2:11">
      <c r="B363" s="42">
        <v>224</v>
      </c>
      <c r="C363" s="21" t="s">
        <v>143</v>
      </c>
      <c r="D363" s="22" t="s">
        <v>590</v>
      </c>
      <c r="E363" s="324" t="s">
        <v>874</v>
      </c>
      <c r="F363" s="5"/>
      <c r="G363" s="389" t="s">
        <v>203</v>
      </c>
      <c r="H363" s="316" t="s">
        <v>951</v>
      </c>
      <c r="I363" s="5"/>
      <c r="J363" s="5"/>
      <c r="K363" s="14"/>
    </row>
    <row r="364" spans="2:11">
      <c r="B364" s="42">
        <v>225</v>
      </c>
      <c r="C364" s="21" t="s">
        <v>144</v>
      </c>
      <c r="D364" s="22" t="s">
        <v>605</v>
      </c>
      <c r="E364" s="324" t="s">
        <v>874</v>
      </c>
      <c r="F364" s="5"/>
      <c r="G364" s="389" t="s">
        <v>213</v>
      </c>
      <c r="H364" s="316" t="s">
        <v>951</v>
      </c>
      <c r="I364" s="5"/>
      <c r="J364" s="5"/>
      <c r="K364" s="14"/>
    </row>
    <row r="365" spans="2:11">
      <c r="B365" s="42">
        <v>252</v>
      </c>
      <c r="C365" s="21" t="s">
        <v>171</v>
      </c>
      <c r="D365" s="22" t="s">
        <v>546</v>
      </c>
      <c r="E365" s="324" t="s">
        <v>874</v>
      </c>
      <c r="F365" s="5"/>
      <c r="G365" s="389" t="s">
        <v>245</v>
      </c>
      <c r="H365" s="316" t="s">
        <v>951</v>
      </c>
      <c r="I365" s="5"/>
      <c r="J365" s="5"/>
      <c r="K365" s="14"/>
    </row>
    <row r="366" spans="2:11">
      <c r="B366" s="42">
        <v>253</v>
      </c>
      <c r="C366" s="21" t="s">
        <v>172</v>
      </c>
      <c r="D366" s="22" t="s">
        <v>569</v>
      </c>
      <c r="E366" s="324" t="s">
        <v>874</v>
      </c>
      <c r="F366" s="5"/>
      <c r="G366" s="389" t="s">
        <v>255</v>
      </c>
      <c r="H366" s="316" t="s">
        <v>951</v>
      </c>
      <c r="I366" s="5"/>
      <c r="J366" s="5"/>
      <c r="K366" s="14"/>
    </row>
    <row r="367" spans="2:11">
      <c r="B367" s="42">
        <v>242</v>
      </c>
      <c r="C367" s="21" t="s">
        <v>161</v>
      </c>
      <c r="D367" s="22" t="s">
        <v>545</v>
      </c>
      <c r="E367" s="324" t="s">
        <v>874</v>
      </c>
      <c r="F367" s="5"/>
      <c r="G367" s="389" t="s">
        <v>205</v>
      </c>
      <c r="H367" s="316" t="s">
        <v>951</v>
      </c>
      <c r="I367" s="5"/>
      <c r="J367" s="5"/>
      <c r="K367" s="14"/>
    </row>
    <row r="368" spans="2:11">
      <c r="B368" s="42">
        <v>243</v>
      </c>
      <c r="C368" s="21" t="s">
        <v>162</v>
      </c>
      <c r="D368" s="22" t="s">
        <v>568</v>
      </c>
      <c r="E368" s="324" t="s">
        <v>874</v>
      </c>
      <c r="F368" s="5"/>
      <c r="G368" s="389" t="s">
        <v>215</v>
      </c>
      <c r="H368" s="316" t="s">
        <v>951</v>
      </c>
      <c r="I368" s="5"/>
      <c r="J368" s="5"/>
      <c r="K368" s="14"/>
    </row>
    <row r="369" spans="2:11">
      <c r="B369" s="42">
        <v>222</v>
      </c>
      <c r="C369" s="21" t="s">
        <v>141</v>
      </c>
      <c r="D369" s="22" t="s">
        <v>544</v>
      </c>
      <c r="E369" s="324" t="s">
        <v>874</v>
      </c>
      <c r="F369" s="5"/>
      <c r="G369" s="389" t="s">
        <v>224</v>
      </c>
      <c r="H369" s="316" t="s">
        <v>951</v>
      </c>
      <c r="I369" s="5"/>
      <c r="J369" s="5"/>
      <c r="K369" s="14"/>
    </row>
    <row r="370" spans="2:11">
      <c r="B370" s="42">
        <v>223</v>
      </c>
      <c r="C370" s="21" t="s">
        <v>142</v>
      </c>
      <c r="D370" s="22" t="s">
        <v>567</v>
      </c>
      <c r="E370" s="324" t="s">
        <v>874</v>
      </c>
      <c r="F370" s="5"/>
      <c r="G370" s="389" t="s">
        <v>234</v>
      </c>
      <c r="H370" s="316" t="s">
        <v>951</v>
      </c>
      <c r="I370" s="5"/>
      <c r="J370" s="5"/>
      <c r="K370" s="14"/>
    </row>
    <row r="371" spans="2:11">
      <c r="B371" s="42">
        <v>254</v>
      </c>
      <c r="C371" s="21" t="s">
        <v>173</v>
      </c>
      <c r="D371" s="22" t="s">
        <v>460</v>
      </c>
      <c r="E371" s="324" t="s">
        <v>874</v>
      </c>
      <c r="F371" s="5"/>
      <c r="G371" s="387" t="s">
        <v>978</v>
      </c>
      <c r="H371" s="5"/>
      <c r="I371" s="5"/>
      <c r="J371" s="5"/>
      <c r="K371" s="14"/>
    </row>
    <row r="372" spans="2:11">
      <c r="B372" s="42">
        <v>255</v>
      </c>
      <c r="C372" s="21" t="s">
        <v>174</v>
      </c>
      <c r="D372" s="22" t="s">
        <v>467</v>
      </c>
      <c r="E372" s="324" t="s">
        <v>874</v>
      </c>
      <c r="F372" s="5"/>
      <c r="G372" s="387" t="s">
        <v>979</v>
      </c>
      <c r="H372" s="5"/>
      <c r="I372" s="5"/>
      <c r="J372" s="5"/>
      <c r="K372" s="14"/>
    </row>
    <row r="373" spans="2:11">
      <c r="B373" s="42">
        <v>275</v>
      </c>
      <c r="C373" s="21" t="s">
        <v>194</v>
      </c>
      <c r="D373" s="22" t="s">
        <v>468</v>
      </c>
      <c r="E373" s="5"/>
      <c r="F373" s="5"/>
      <c r="G373" s="5"/>
      <c r="H373" s="5"/>
      <c r="I373" s="5"/>
      <c r="J373" s="5"/>
      <c r="K373" s="14"/>
    </row>
    <row r="374" spans="2:11">
      <c r="B374" s="42">
        <v>274</v>
      </c>
      <c r="C374" s="21" t="s">
        <v>193</v>
      </c>
      <c r="D374" s="22" t="s">
        <v>461</v>
      </c>
      <c r="E374" s="324" t="s">
        <v>874</v>
      </c>
      <c r="F374" s="323"/>
      <c r="G374" s="387" t="s">
        <v>87</v>
      </c>
      <c r="H374" s="5"/>
      <c r="I374" s="5"/>
      <c r="J374" s="5"/>
      <c r="K374" s="14"/>
    </row>
    <row r="375" spans="2:11">
      <c r="B375" s="42">
        <v>272</v>
      </c>
      <c r="C375" s="21" t="s">
        <v>191</v>
      </c>
      <c r="D375" s="22" t="s">
        <v>438</v>
      </c>
      <c r="E375" s="5"/>
      <c r="F375" s="5"/>
      <c r="G375" s="5"/>
      <c r="H375" s="5"/>
      <c r="I375" s="5"/>
      <c r="J375" s="5"/>
      <c r="K375" s="14"/>
    </row>
    <row r="376" spans="2:11">
      <c r="B376" s="42">
        <v>273</v>
      </c>
      <c r="C376" s="21" t="s">
        <v>192</v>
      </c>
      <c r="D376" s="22" t="s">
        <v>451</v>
      </c>
      <c r="E376" s="324" t="s">
        <v>874</v>
      </c>
      <c r="F376" s="323"/>
      <c r="G376" s="388" t="s">
        <v>97</v>
      </c>
      <c r="H376" s="5"/>
      <c r="I376" s="5"/>
      <c r="J376" s="5"/>
      <c r="K376" s="14"/>
    </row>
    <row r="377" spans="2:11">
      <c r="B377" s="42">
        <v>291</v>
      </c>
      <c r="C377" s="21" t="s">
        <v>210</v>
      </c>
      <c r="D377" s="22" t="s">
        <v>330</v>
      </c>
      <c r="E377" s="5"/>
      <c r="F377" s="5"/>
      <c r="G377" s="5"/>
      <c r="H377" s="5"/>
      <c r="I377" s="5"/>
      <c r="J377" s="5"/>
      <c r="K377" s="14"/>
    </row>
    <row r="378" spans="2:11">
      <c r="B378" s="42">
        <v>292</v>
      </c>
      <c r="C378" s="21" t="s">
        <v>211</v>
      </c>
      <c r="D378" s="22" t="s">
        <v>330</v>
      </c>
      <c r="E378" s="5"/>
      <c r="F378" s="5"/>
      <c r="G378" s="5"/>
      <c r="H378" s="5"/>
      <c r="I378" s="5"/>
      <c r="J378" s="5"/>
      <c r="K378" s="14"/>
    </row>
    <row r="379" spans="2:11">
      <c r="B379" s="42">
        <v>295</v>
      </c>
      <c r="C379" s="21" t="s">
        <v>214</v>
      </c>
      <c r="D379" s="22" t="s">
        <v>330</v>
      </c>
      <c r="E379" s="5"/>
      <c r="F379" s="5"/>
      <c r="G379" s="5"/>
      <c r="H379" s="5"/>
      <c r="I379" s="5"/>
      <c r="J379" s="5"/>
      <c r="K379" s="14"/>
    </row>
    <row r="380" spans="2:11">
      <c r="B380" s="42">
        <v>305</v>
      </c>
      <c r="C380" s="21" t="s">
        <v>224</v>
      </c>
      <c r="D380" s="22" t="s">
        <v>330</v>
      </c>
      <c r="E380" s="5"/>
      <c r="F380" s="5"/>
      <c r="G380" s="5"/>
      <c r="H380" s="5"/>
      <c r="I380" s="5"/>
      <c r="J380" s="5"/>
      <c r="K380" s="14"/>
    </row>
    <row r="381" spans="2:11">
      <c r="B381" s="42">
        <v>315</v>
      </c>
      <c r="C381" s="21" t="s">
        <v>234</v>
      </c>
      <c r="D381" s="22" t="s">
        <v>330</v>
      </c>
      <c r="E381" s="5"/>
      <c r="F381" s="5"/>
      <c r="G381" s="5"/>
      <c r="H381" s="5"/>
      <c r="I381" s="5"/>
      <c r="J381" s="5"/>
      <c r="K381" s="14"/>
    </row>
    <row r="382" spans="2:11">
      <c r="B382" s="42">
        <v>325</v>
      </c>
      <c r="C382" s="21" t="s">
        <v>244</v>
      </c>
      <c r="D382" s="22" t="s">
        <v>330</v>
      </c>
      <c r="E382" s="5"/>
      <c r="F382" s="5"/>
      <c r="G382" s="5"/>
      <c r="H382" s="5"/>
      <c r="I382" s="5"/>
      <c r="J382" s="5"/>
      <c r="K382" s="14"/>
    </row>
    <row r="383" spans="2:11">
      <c r="B383" s="42">
        <v>261</v>
      </c>
      <c r="C383" s="21" t="s">
        <v>180</v>
      </c>
      <c r="D383" s="22" t="s">
        <v>331</v>
      </c>
      <c r="E383" s="5"/>
      <c r="F383" s="5"/>
      <c r="G383" s="5"/>
      <c r="H383" s="5"/>
      <c r="I383" s="5"/>
      <c r="J383" s="5"/>
      <c r="K383" s="14"/>
    </row>
    <row r="384" spans="2:11">
      <c r="B384" s="42">
        <v>281</v>
      </c>
      <c r="C384" s="21" t="s">
        <v>200</v>
      </c>
      <c r="D384" s="22" t="s">
        <v>333</v>
      </c>
      <c r="E384" s="5"/>
      <c r="F384" s="5"/>
      <c r="G384" s="5"/>
      <c r="H384" s="5"/>
      <c r="I384" s="5"/>
      <c r="J384" s="5"/>
      <c r="K384" s="14"/>
    </row>
    <row r="385" spans="2:11">
      <c r="B385" s="42">
        <v>271</v>
      </c>
      <c r="C385" s="21" t="s">
        <v>190</v>
      </c>
      <c r="D385" s="22" t="s">
        <v>332</v>
      </c>
      <c r="E385" s="5"/>
      <c r="F385" s="5"/>
      <c r="G385" s="5"/>
      <c r="H385" s="5"/>
      <c r="I385" s="5"/>
      <c r="J385" s="5"/>
      <c r="K385" s="14"/>
    </row>
    <row r="386" spans="2:11">
      <c r="B386" s="42">
        <v>221</v>
      </c>
      <c r="C386" s="21" t="s">
        <v>140</v>
      </c>
      <c r="D386" s="22" t="s">
        <v>334</v>
      </c>
      <c r="E386" s="5"/>
      <c r="F386" s="5"/>
      <c r="G386" s="5"/>
      <c r="H386" s="5"/>
      <c r="I386" s="5"/>
      <c r="J386" s="5"/>
      <c r="K386" s="14"/>
    </row>
    <row r="387" spans="2:11">
      <c r="B387" s="42">
        <v>231</v>
      </c>
      <c r="C387" s="21" t="s">
        <v>150</v>
      </c>
      <c r="D387" s="22" t="s">
        <v>334</v>
      </c>
      <c r="E387" s="5"/>
      <c r="F387" s="5"/>
      <c r="G387" s="5"/>
      <c r="H387" s="5"/>
      <c r="I387" s="5"/>
      <c r="J387" s="5"/>
      <c r="K387" s="14"/>
    </row>
    <row r="388" spans="2:11">
      <c r="B388" s="42">
        <v>241</v>
      </c>
      <c r="C388" s="21" t="s">
        <v>160</v>
      </c>
      <c r="D388" s="22" t="s">
        <v>334</v>
      </c>
      <c r="E388" s="5"/>
      <c r="F388" s="5"/>
      <c r="G388" s="5"/>
      <c r="H388" s="5"/>
      <c r="I388" s="5"/>
      <c r="J388" s="5"/>
      <c r="K388" s="14"/>
    </row>
    <row r="389" spans="2:11">
      <c r="B389" s="42">
        <v>251</v>
      </c>
      <c r="C389" s="21" t="s">
        <v>170</v>
      </c>
      <c r="D389" s="22" t="s">
        <v>334</v>
      </c>
      <c r="E389" s="5"/>
      <c r="F389" s="5"/>
      <c r="G389" s="5"/>
      <c r="H389" s="5"/>
      <c r="I389" s="5"/>
      <c r="J389" s="5"/>
      <c r="K389" s="14"/>
    </row>
    <row r="390" spans="2:11">
      <c r="B390" s="42">
        <v>262</v>
      </c>
      <c r="C390" s="21" t="s">
        <v>181</v>
      </c>
      <c r="D390" s="22" t="s">
        <v>334</v>
      </c>
      <c r="E390" s="5"/>
      <c r="F390" s="5"/>
      <c r="G390" s="5"/>
      <c r="H390" s="5"/>
      <c r="I390" s="5"/>
      <c r="J390" s="5"/>
      <c r="K390" s="14"/>
    </row>
    <row r="391" spans="2:11">
      <c r="B391" s="42">
        <v>263</v>
      </c>
      <c r="C391" s="21" t="s">
        <v>182</v>
      </c>
      <c r="D391" s="22" t="s">
        <v>334</v>
      </c>
      <c r="E391" s="5"/>
      <c r="F391" s="5"/>
      <c r="G391" s="5"/>
      <c r="H391" s="5"/>
      <c r="I391" s="5"/>
      <c r="J391" s="5"/>
      <c r="K391" s="14"/>
    </row>
    <row r="392" spans="2:11">
      <c r="B392" s="42">
        <v>264</v>
      </c>
      <c r="C392" s="21" t="s">
        <v>183</v>
      </c>
      <c r="D392" s="22" t="s">
        <v>334</v>
      </c>
      <c r="E392" s="5"/>
      <c r="F392" s="5"/>
      <c r="G392" s="5"/>
      <c r="H392" s="5"/>
      <c r="I392" s="5"/>
      <c r="J392" s="5"/>
      <c r="K392" s="14"/>
    </row>
    <row r="393" spans="2:11">
      <c r="B393" s="42">
        <v>265</v>
      </c>
      <c r="C393" s="21" t="s">
        <v>184</v>
      </c>
      <c r="D393" s="22" t="s">
        <v>334</v>
      </c>
      <c r="E393" s="5"/>
      <c r="F393" s="5"/>
      <c r="G393" s="5"/>
      <c r="H393" s="5"/>
      <c r="I393" s="5"/>
      <c r="J393" s="5"/>
      <c r="K393" s="14"/>
    </row>
    <row r="394" spans="2:11">
      <c r="B394" s="42">
        <v>302</v>
      </c>
      <c r="C394" s="21" t="s">
        <v>221</v>
      </c>
      <c r="D394" s="22" t="s">
        <v>439</v>
      </c>
      <c r="E394" s="5"/>
      <c r="F394" s="5"/>
      <c r="G394" s="5"/>
      <c r="H394" s="5"/>
      <c r="I394" s="5"/>
      <c r="J394" s="5"/>
      <c r="K394" s="14"/>
    </row>
    <row r="395" spans="2:11">
      <c r="B395" s="42">
        <v>301</v>
      </c>
      <c r="C395" s="21" t="s">
        <v>220</v>
      </c>
      <c r="D395" s="327" t="s">
        <v>335</v>
      </c>
      <c r="E395" s="324" t="s">
        <v>874</v>
      </c>
      <c r="F395" s="323"/>
      <c r="G395" s="387" t="s">
        <v>27</v>
      </c>
      <c r="H395" s="5"/>
      <c r="I395" s="5"/>
      <c r="J395" s="5"/>
      <c r="K395" s="14"/>
    </row>
    <row r="396" spans="2:11">
      <c r="B396" s="42">
        <v>304</v>
      </c>
      <c r="C396" s="21" t="s">
        <v>223</v>
      </c>
      <c r="D396" s="327" t="s">
        <v>463</v>
      </c>
      <c r="E396" s="324" t="s">
        <v>874</v>
      </c>
      <c r="F396" s="5"/>
      <c r="G396" s="387" t="s">
        <v>1037</v>
      </c>
      <c r="H396" s="5"/>
      <c r="I396" s="5"/>
      <c r="J396" s="5"/>
      <c r="K396" s="14"/>
    </row>
    <row r="397" spans="2:11">
      <c r="B397" s="42">
        <v>294</v>
      </c>
      <c r="C397" s="21" t="s">
        <v>213</v>
      </c>
      <c r="D397" s="327" t="s">
        <v>462</v>
      </c>
      <c r="E397" s="324" t="s">
        <v>874</v>
      </c>
      <c r="F397" s="5"/>
      <c r="G397" s="388" t="s">
        <v>1038</v>
      </c>
      <c r="H397" s="5"/>
      <c r="I397" s="5"/>
      <c r="J397" s="5"/>
      <c r="K397" s="14"/>
    </row>
    <row r="398" spans="2:11">
      <c r="B398" s="42">
        <v>232</v>
      </c>
      <c r="C398" s="21" t="s">
        <v>151</v>
      </c>
      <c r="D398" s="327" t="s">
        <v>450</v>
      </c>
      <c r="E398" s="324" t="s">
        <v>874</v>
      </c>
      <c r="F398" s="5"/>
      <c r="G398" s="323" t="s">
        <v>317</v>
      </c>
      <c r="H398" s="5"/>
      <c r="I398" s="5"/>
      <c r="J398" s="5"/>
      <c r="K398" s="14"/>
    </row>
    <row r="399" spans="2:11">
      <c r="B399" s="42">
        <v>233</v>
      </c>
      <c r="C399" s="21" t="s">
        <v>152</v>
      </c>
      <c r="D399" s="327" t="s">
        <v>437</v>
      </c>
      <c r="E399" s="324" t="s">
        <v>874</v>
      </c>
      <c r="F399" s="5"/>
      <c r="G399" s="387" t="s">
        <v>974</v>
      </c>
      <c r="H399" s="5"/>
      <c r="I399" s="5"/>
      <c r="J399" s="5"/>
      <c r="K399" s="14"/>
    </row>
    <row r="400" spans="2:11">
      <c r="B400" s="213">
        <v>282</v>
      </c>
      <c r="C400" s="214" t="s">
        <v>201</v>
      </c>
      <c r="D400" s="267" t="s">
        <v>454</v>
      </c>
      <c r="E400" s="199"/>
      <c r="F400" s="216"/>
      <c r="G400" s="216"/>
      <c r="H400" s="199"/>
      <c r="I400" s="216"/>
      <c r="J400" s="216"/>
      <c r="K400" s="217"/>
    </row>
    <row r="401" spans="2:11">
      <c r="B401" s="213">
        <v>283</v>
      </c>
      <c r="C401" s="214" t="s">
        <v>202</v>
      </c>
      <c r="D401" s="267" t="s">
        <v>454</v>
      </c>
      <c r="E401" s="199"/>
      <c r="F401" s="216"/>
      <c r="G401" s="216"/>
      <c r="H401" s="199"/>
      <c r="I401" s="216"/>
      <c r="J401" s="216"/>
      <c r="K401" s="217"/>
    </row>
    <row r="402" spans="2:11">
      <c r="B402" s="213">
        <v>284</v>
      </c>
      <c r="C402" s="214" t="s">
        <v>203</v>
      </c>
      <c r="D402" s="267" t="s">
        <v>454</v>
      </c>
      <c r="E402" s="199"/>
      <c r="F402" s="216"/>
      <c r="G402" s="216"/>
      <c r="H402" s="199"/>
      <c r="I402" s="216"/>
      <c r="J402" s="216"/>
      <c r="K402" s="217"/>
    </row>
    <row r="403" spans="2:11">
      <c r="B403" s="213">
        <v>285</v>
      </c>
      <c r="C403" s="214" t="s">
        <v>204</v>
      </c>
      <c r="D403" s="267" t="s">
        <v>454</v>
      </c>
      <c r="E403" s="199"/>
      <c r="F403" s="216"/>
      <c r="G403" s="216"/>
      <c r="H403" s="199"/>
      <c r="I403" s="216"/>
      <c r="J403" s="216"/>
      <c r="K403" s="217"/>
    </row>
    <row r="404" spans="2:11">
      <c r="B404" s="213">
        <v>335</v>
      </c>
      <c r="C404" s="214" t="s">
        <v>254</v>
      </c>
      <c r="D404" s="267" t="s">
        <v>454</v>
      </c>
      <c r="E404" s="199"/>
      <c r="F404" s="216"/>
      <c r="G404" s="216"/>
      <c r="H404" s="199"/>
      <c r="I404" s="216"/>
      <c r="J404" s="216"/>
      <c r="K404" s="217"/>
    </row>
    <row r="405" spans="2:11" ht="16.5" thickBot="1">
      <c r="B405" s="298">
        <v>99</v>
      </c>
      <c r="C405" s="315" t="s">
        <v>11</v>
      </c>
      <c r="D405" s="300" t="s">
        <v>454</v>
      </c>
      <c r="E405" s="290"/>
      <c r="F405" s="301"/>
      <c r="G405" s="301"/>
      <c r="H405" s="301"/>
      <c r="I405" s="301"/>
      <c r="J405" s="301"/>
      <c r="K405" s="302"/>
    </row>
  </sheetData>
  <sortState ref="B6:K405">
    <sortCondition ref="D6:D405"/>
  </sortState>
  <mergeCells count="11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</mergeCells>
  <conditionalFormatting sqref="B401:D405 F405:K405 F401:G404 I401:K404">
    <cfRule type="expression" dxfId="565" priority="268">
      <formula>MOD(ROW(),2)=0</formula>
    </cfRule>
  </conditionalFormatting>
  <conditionalFormatting sqref="F124 F126 F224 F226 F313 F315 F374 F376 B6:D400 F399 F346:F372 F249 F395 F342:F344 F245 F286:F311 F221:F222 F246:G247 F153:G154 F213:F218 F205:F210 F197:F202 F189:F194 F377:G394 F316:G341 F227:G244 F152 F400:G400 F250:G285 F156 F157:G188 F375:G375 F373:G373 F314:G314 F312:G312 F225:G225 F223:G223 F127:G151 F125:G125 F219:G220 F121:F122 F123:G123 F211:G212 F203:G204 F195:G196 I6:K400 F86:G120 F6:F85">
    <cfRule type="expression" dxfId="564" priority="266">
      <formula>MOD(ROW(),2)=0</formula>
    </cfRule>
  </conditionalFormatting>
  <conditionalFormatting sqref="F396:F397">
    <cfRule type="expression" dxfId="563" priority="261">
      <formula>MOD(ROW(),2)=0</formula>
    </cfRule>
  </conditionalFormatting>
  <conditionalFormatting sqref="G121:G122">
    <cfRule type="expression" dxfId="562" priority="260">
      <formula>MOD(ROW(),2)=0</formula>
    </cfRule>
  </conditionalFormatting>
  <conditionalFormatting sqref="G221:G222">
    <cfRule type="expression" dxfId="561" priority="259">
      <formula>MOD(ROW(),2)=0</formula>
    </cfRule>
  </conditionalFormatting>
  <conditionalFormatting sqref="G310:G311">
    <cfRule type="expression" dxfId="560" priority="258">
      <formula>MOD(ROW(),2)=0</formula>
    </cfRule>
  </conditionalFormatting>
  <conditionalFormatting sqref="G371:G372">
    <cfRule type="expression" dxfId="559" priority="257">
      <formula>MOD(ROW(),2)=0</formula>
    </cfRule>
  </conditionalFormatting>
  <conditionalFormatting sqref="G124">
    <cfRule type="expression" dxfId="558" priority="256">
      <formula>MOD(ROW(),2)=0</formula>
    </cfRule>
  </conditionalFormatting>
  <conditionalFormatting sqref="G126">
    <cfRule type="expression" dxfId="557" priority="255">
      <formula>MOD(ROW(),2)=0</formula>
    </cfRule>
  </conditionalFormatting>
  <conditionalFormatting sqref="G374">
    <cfRule type="expression" dxfId="556" priority="250">
      <formula>MOD(ROW(),2)=0</formula>
    </cfRule>
  </conditionalFormatting>
  <conditionalFormatting sqref="G156">
    <cfRule type="expression" dxfId="555" priority="240">
      <formula>MOD(ROW(),2)=0</formula>
    </cfRule>
  </conditionalFormatting>
  <conditionalFormatting sqref="G249">
    <cfRule type="expression" dxfId="554" priority="239">
      <formula>MOD(ROW(),2)=0</formula>
    </cfRule>
  </conditionalFormatting>
  <conditionalFormatting sqref="F155:G155">
    <cfRule type="expression" dxfId="553" priority="236">
      <formula>MOD(ROW(),2)=0</formula>
    </cfRule>
  </conditionalFormatting>
  <conditionalFormatting sqref="F248:G248">
    <cfRule type="expression" dxfId="552" priority="235">
      <formula>MOD(ROW(),2)=0</formula>
    </cfRule>
  </conditionalFormatting>
  <conditionalFormatting sqref="F345:G345">
    <cfRule type="expression" dxfId="551" priority="233">
      <formula>MOD(ROW(),2)=0</formula>
    </cfRule>
  </conditionalFormatting>
  <conditionalFormatting sqref="F398:G398">
    <cfRule type="expression" dxfId="550" priority="232">
      <formula>MOD(ROW(),2)=0</formula>
    </cfRule>
  </conditionalFormatting>
  <conditionalFormatting sqref="G152">
    <cfRule type="expression" dxfId="549" priority="175">
      <formula>MOD(ROW(),2)=0</formula>
    </cfRule>
  </conditionalFormatting>
  <conditionalFormatting sqref="G395">
    <cfRule type="expression" dxfId="548" priority="172">
      <formula>MOD(ROW(),2)=0</formula>
    </cfRule>
  </conditionalFormatting>
  <conditionalFormatting sqref="E155">
    <cfRule type="expression" dxfId="547" priority="139">
      <formula>MOD(ROW(),2)=0</formula>
    </cfRule>
  </conditionalFormatting>
  <conditionalFormatting sqref="E46:E49">
    <cfRule type="expression" dxfId="546" priority="138">
      <formula>MOD(ROW(),2)=0</formula>
    </cfRule>
  </conditionalFormatting>
  <conditionalFormatting sqref="E54:E57">
    <cfRule type="expression" dxfId="545" priority="135">
      <formula>MOD(ROW(),2)=0</formula>
    </cfRule>
  </conditionalFormatting>
  <conditionalFormatting sqref="E58:E61">
    <cfRule type="expression" dxfId="544" priority="134">
      <formula>MOD(ROW(),2)=0</formula>
    </cfRule>
  </conditionalFormatting>
  <conditionalFormatting sqref="E62:E65">
    <cfRule type="expression" dxfId="543" priority="133">
      <formula>MOD(ROW(),2)=0</formula>
    </cfRule>
  </conditionalFormatting>
  <conditionalFormatting sqref="E66:E69">
    <cfRule type="expression" dxfId="542" priority="132">
      <formula>MOD(ROW(),2)=0</formula>
    </cfRule>
  </conditionalFormatting>
  <conditionalFormatting sqref="E78:E81">
    <cfRule type="expression" dxfId="541" priority="129">
      <formula>MOD(ROW(),2)=0</formula>
    </cfRule>
  </conditionalFormatting>
  <conditionalFormatting sqref="E82:E85">
    <cfRule type="expression" dxfId="540" priority="128">
      <formula>MOD(ROW(),2)=0</formula>
    </cfRule>
  </conditionalFormatting>
  <conditionalFormatting sqref="E347:E352">
    <cfRule type="expression" dxfId="539" priority="127">
      <formula>MOD(ROW(),2)=0</formula>
    </cfRule>
  </conditionalFormatting>
  <conditionalFormatting sqref="E353:E358">
    <cfRule type="expression" dxfId="538" priority="126">
      <formula>MOD(ROW(),2)=0</formula>
    </cfRule>
  </conditionalFormatting>
  <conditionalFormatting sqref="E365:E370">
    <cfRule type="expression" dxfId="537" priority="124">
      <formula>MOD(ROW(),2)=0</formula>
    </cfRule>
  </conditionalFormatting>
  <conditionalFormatting sqref="E401:E405">
    <cfRule type="expression" dxfId="536" priority="153">
      <formula>MOD(ROW(),2)=0</formula>
    </cfRule>
  </conditionalFormatting>
  <conditionalFormatting sqref="E125 E225 E314 E375 E377:E394 E400 E6:E45 E88 E373 E156:E223 E227:E247 E127:E154 E119:E123 E90 E92:E115 E249:E312 E316:E344 E346">
    <cfRule type="expression" dxfId="535" priority="152">
      <formula>MOD(ROW(),2)=0</formula>
    </cfRule>
  </conditionalFormatting>
  <conditionalFormatting sqref="E50:E53">
    <cfRule type="expression" dxfId="534" priority="136">
      <formula>MOD(ROW(),2)=0</formula>
    </cfRule>
  </conditionalFormatting>
  <conditionalFormatting sqref="E70:E73">
    <cfRule type="expression" dxfId="533" priority="131">
      <formula>MOD(ROW(),2)=0</formula>
    </cfRule>
  </conditionalFormatting>
  <conditionalFormatting sqref="E74:E77">
    <cfRule type="expression" dxfId="532" priority="130">
      <formula>MOD(ROW(),2)=0</formula>
    </cfRule>
  </conditionalFormatting>
  <conditionalFormatting sqref="E359:E364">
    <cfRule type="expression" dxfId="531" priority="125">
      <formula>MOD(ROW(),2)=0</formula>
    </cfRule>
  </conditionalFormatting>
  <conditionalFormatting sqref="H401:H404">
    <cfRule type="expression" dxfId="530" priority="123">
      <formula>MOD(ROW(),2)=0</formula>
    </cfRule>
  </conditionalFormatting>
  <conditionalFormatting sqref="H86:H188 H6:H45 H219:H346 H348:H400">
    <cfRule type="expression" dxfId="529" priority="122">
      <formula>MOD(ROW(),2)=0</formula>
    </cfRule>
  </conditionalFormatting>
  <conditionalFormatting sqref="H189:H218">
    <cfRule type="expression" dxfId="528" priority="121">
      <formula>MOD(ROW(),2)=0</formula>
    </cfRule>
  </conditionalFormatting>
  <conditionalFormatting sqref="H47:H65">
    <cfRule type="expression" dxfId="527" priority="117">
      <formula>MOD(ROW(),2)=0</formula>
    </cfRule>
  </conditionalFormatting>
  <conditionalFormatting sqref="H67:H85">
    <cfRule type="expression" dxfId="526" priority="116">
      <formula>MOD(ROW(),2)=0</formula>
    </cfRule>
  </conditionalFormatting>
  <conditionalFormatting sqref="H46">
    <cfRule type="expression" dxfId="525" priority="115">
      <formula>MOD(ROW(),2)=0</formula>
    </cfRule>
  </conditionalFormatting>
  <conditionalFormatting sqref="H66">
    <cfRule type="expression" dxfId="524" priority="114">
      <formula>MOD(ROW(),2)=0</formula>
    </cfRule>
  </conditionalFormatting>
  <conditionalFormatting sqref="H347">
    <cfRule type="expression" dxfId="523" priority="113">
      <formula>MOD(ROW(),2)=0</formula>
    </cfRule>
  </conditionalFormatting>
  <conditionalFormatting sqref="G193:G194">
    <cfRule type="expression" dxfId="522" priority="112">
      <formula>MOD(ROW(),2)=0</formula>
    </cfRule>
  </conditionalFormatting>
  <conditionalFormatting sqref="G191:G192">
    <cfRule type="expression" dxfId="521" priority="111">
      <formula>MOD(ROW(),2)=0</formula>
    </cfRule>
  </conditionalFormatting>
  <conditionalFormatting sqref="G189:G190">
    <cfRule type="expression" dxfId="520" priority="110">
      <formula>MOD(ROW(),2)=0</formula>
    </cfRule>
  </conditionalFormatting>
  <conditionalFormatting sqref="G201:G202">
    <cfRule type="expression" dxfId="519" priority="109">
      <formula>MOD(ROW(),2)=0</formula>
    </cfRule>
  </conditionalFormatting>
  <conditionalFormatting sqref="G199:G200">
    <cfRule type="expression" dxfId="518" priority="108">
      <formula>MOD(ROW(),2)=0</formula>
    </cfRule>
  </conditionalFormatting>
  <conditionalFormatting sqref="G197:G198">
    <cfRule type="expression" dxfId="517" priority="107">
      <formula>MOD(ROW(),2)=0</formula>
    </cfRule>
  </conditionalFormatting>
  <conditionalFormatting sqref="G209:G210">
    <cfRule type="expression" dxfId="516" priority="106">
      <formula>MOD(ROW(),2)=0</formula>
    </cfRule>
  </conditionalFormatting>
  <conditionalFormatting sqref="G207:G208">
    <cfRule type="expression" dxfId="515" priority="105">
      <formula>MOD(ROW(),2)=0</formula>
    </cfRule>
  </conditionalFormatting>
  <conditionalFormatting sqref="G205:G206">
    <cfRule type="expression" dxfId="514" priority="104">
      <formula>MOD(ROW(),2)=0</formula>
    </cfRule>
  </conditionalFormatting>
  <conditionalFormatting sqref="G217:G218">
    <cfRule type="expression" dxfId="513" priority="103">
      <formula>MOD(ROW(),2)=0</formula>
    </cfRule>
  </conditionalFormatting>
  <conditionalFormatting sqref="G215:G216">
    <cfRule type="expression" dxfId="512" priority="102">
      <formula>MOD(ROW(),2)=0</formula>
    </cfRule>
  </conditionalFormatting>
  <conditionalFormatting sqref="G213:G214">
    <cfRule type="expression" dxfId="511" priority="101">
      <formula>MOD(ROW(),2)=0</formula>
    </cfRule>
  </conditionalFormatting>
  <conditionalFormatting sqref="G14:G15">
    <cfRule type="expression" dxfId="510" priority="100">
      <formula>MOD(ROW(),2)=0</formula>
    </cfRule>
  </conditionalFormatting>
  <conditionalFormatting sqref="G12:G13">
    <cfRule type="expression" dxfId="509" priority="99">
      <formula>MOD(ROW(),2)=0</formula>
    </cfRule>
  </conditionalFormatting>
  <conditionalFormatting sqref="G10:G11">
    <cfRule type="expression" dxfId="508" priority="98">
      <formula>MOD(ROW(),2)=0</formula>
    </cfRule>
  </conditionalFormatting>
  <conditionalFormatting sqref="G8:G9">
    <cfRule type="expression" dxfId="507" priority="97">
      <formula>MOD(ROW(),2)=0</formula>
    </cfRule>
  </conditionalFormatting>
  <conditionalFormatting sqref="G6:G7">
    <cfRule type="expression" dxfId="506" priority="96">
      <formula>MOD(ROW(),2)=0</formula>
    </cfRule>
  </conditionalFormatting>
  <conditionalFormatting sqref="G24:G25">
    <cfRule type="expression" dxfId="505" priority="95">
      <formula>MOD(ROW(),2)=0</formula>
    </cfRule>
  </conditionalFormatting>
  <conditionalFormatting sqref="G22:G23">
    <cfRule type="expression" dxfId="504" priority="94">
      <formula>MOD(ROW(),2)=0</formula>
    </cfRule>
  </conditionalFormatting>
  <conditionalFormatting sqref="G20:G21">
    <cfRule type="expression" dxfId="503" priority="93">
      <formula>MOD(ROW(),2)=0</formula>
    </cfRule>
  </conditionalFormatting>
  <conditionalFormatting sqref="G18:G19">
    <cfRule type="expression" dxfId="502" priority="92">
      <formula>MOD(ROW(),2)=0</formula>
    </cfRule>
  </conditionalFormatting>
  <conditionalFormatting sqref="G16:G17">
    <cfRule type="expression" dxfId="501" priority="91">
      <formula>MOD(ROW(),2)=0</formula>
    </cfRule>
  </conditionalFormatting>
  <conditionalFormatting sqref="G34:G35">
    <cfRule type="expression" dxfId="500" priority="90">
      <formula>MOD(ROW(),2)=0</formula>
    </cfRule>
  </conditionalFormatting>
  <conditionalFormatting sqref="G32:G33">
    <cfRule type="expression" dxfId="499" priority="89">
      <formula>MOD(ROW(),2)=0</formula>
    </cfRule>
  </conditionalFormatting>
  <conditionalFormatting sqref="G30:G31">
    <cfRule type="expression" dxfId="498" priority="88">
      <formula>MOD(ROW(),2)=0</formula>
    </cfRule>
  </conditionalFormatting>
  <conditionalFormatting sqref="G28:G29">
    <cfRule type="expression" dxfId="497" priority="87">
      <formula>MOD(ROW(),2)=0</formula>
    </cfRule>
  </conditionalFormatting>
  <conditionalFormatting sqref="G26:G27">
    <cfRule type="expression" dxfId="496" priority="86">
      <formula>MOD(ROW(),2)=0</formula>
    </cfRule>
  </conditionalFormatting>
  <conditionalFormatting sqref="G44:G45">
    <cfRule type="expression" dxfId="495" priority="85">
      <formula>MOD(ROW(),2)=0</formula>
    </cfRule>
  </conditionalFormatting>
  <conditionalFormatting sqref="G42:G43">
    <cfRule type="expression" dxfId="494" priority="84">
      <formula>MOD(ROW(),2)=0</formula>
    </cfRule>
  </conditionalFormatting>
  <conditionalFormatting sqref="G40:G41">
    <cfRule type="expression" dxfId="493" priority="83">
      <formula>MOD(ROW(),2)=0</formula>
    </cfRule>
  </conditionalFormatting>
  <conditionalFormatting sqref="G38:G39">
    <cfRule type="expression" dxfId="492" priority="82">
      <formula>MOD(ROW(),2)=0</formula>
    </cfRule>
  </conditionalFormatting>
  <conditionalFormatting sqref="G36:G37">
    <cfRule type="expression" dxfId="491" priority="81">
      <formula>MOD(ROW(),2)=0</formula>
    </cfRule>
  </conditionalFormatting>
  <conditionalFormatting sqref="G54:G55">
    <cfRule type="expression" dxfId="490" priority="80">
      <formula>MOD(ROW(),2)=0</formula>
    </cfRule>
  </conditionalFormatting>
  <conditionalFormatting sqref="G52:G53">
    <cfRule type="expression" dxfId="489" priority="79">
      <formula>MOD(ROW(),2)=0</formula>
    </cfRule>
  </conditionalFormatting>
  <conditionalFormatting sqref="G50:G51">
    <cfRule type="expression" dxfId="488" priority="78">
      <formula>MOD(ROW(),2)=0</formula>
    </cfRule>
  </conditionalFormatting>
  <conditionalFormatting sqref="G48:G49">
    <cfRule type="expression" dxfId="487" priority="77">
      <formula>MOD(ROW(),2)=0</formula>
    </cfRule>
  </conditionalFormatting>
  <conditionalFormatting sqref="G46:G47">
    <cfRule type="expression" dxfId="486" priority="76">
      <formula>MOD(ROW(),2)=0</formula>
    </cfRule>
  </conditionalFormatting>
  <conditionalFormatting sqref="G64:G65">
    <cfRule type="expression" dxfId="485" priority="75">
      <formula>MOD(ROW(),2)=0</formula>
    </cfRule>
  </conditionalFormatting>
  <conditionalFormatting sqref="G62:G63">
    <cfRule type="expression" dxfId="484" priority="74">
      <formula>MOD(ROW(),2)=0</formula>
    </cfRule>
  </conditionalFormatting>
  <conditionalFormatting sqref="G60:G61">
    <cfRule type="expression" dxfId="483" priority="73">
      <formula>MOD(ROW(),2)=0</formula>
    </cfRule>
  </conditionalFormatting>
  <conditionalFormatting sqref="G58:G59">
    <cfRule type="expression" dxfId="482" priority="72">
      <formula>MOD(ROW(),2)=0</formula>
    </cfRule>
  </conditionalFormatting>
  <conditionalFormatting sqref="G56:G57">
    <cfRule type="expression" dxfId="481" priority="71">
      <formula>MOD(ROW(),2)=0</formula>
    </cfRule>
  </conditionalFormatting>
  <conditionalFormatting sqref="G74:G75">
    <cfRule type="expression" dxfId="480" priority="70">
      <formula>MOD(ROW(),2)=0</formula>
    </cfRule>
  </conditionalFormatting>
  <conditionalFormatting sqref="G72:G73">
    <cfRule type="expression" dxfId="479" priority="69">
      <formula>MOD(ROW(),2)=0</formula>
    </cfRule>
  </conditionalFormatting>
  <conditionalFormatting sqref="G70:G71">
    <cfRule type="expression" dxfId="478" priority="68">
      <formula>MOD(ROW(),2)=0</formula>
    </cfRule>
  </conditionalFormatting>
  <conditionalFormatting sqref="G68:G69">
    <cfRule type="expression" dxfId="477" priority="67">
      <formula>MOD(ROW(),2)=0</formula>
    </cfRule>
  </conditionalFormatting>
  <conditionalFormatting sqref="G66:G67">
    <cfRule type="expression" dxfId="476" priority="66">
      <formula>MOD(ROW(),2)=0</formula>
    </cfRule>
  </conditionalFormatting>
  <conditionalFormatting sqref="G84:G85">
    <cfRule type="expression" dxfId="475" priority="65">
      <formula>MOD(ROW(),2)=0</formula>
    </cfRule>
  </conditionalFormatting>
  <conditionalFormatting sqref="G82:G83">
    <cfRule type="expression" dxfId="474" priority="64">
      <formula>MOD(ROW(),2)=0</formula>
    </cfRule>
  </conditionalFormatting>
  <conditionalFormatting sqref="G80:G81">
    <cfRule type="expression" dxfId="473" priority="63">
      <formula>MOD(ROW(),2)=0</formula>
    </cfRule>
  </conditionalFormatting>
  <conditionalFormatting sqref="G78:G79">
    <cfRule type="expression" dxfId="472" priority="62">
      <formula>MOD(ROW(),2)=0</formula>
    </cfRule>
  </conditionalFormatting>
  <conditionalFormatting sqref="G76:G77">
    <cfRule type="expression" dxfId="471" priority="61">
      <formula>MOD(ROW(),2)=0</formula>
    </cfRule>
  </conditionalFormatting>
  <conditionalFormatting sqref="G290:G291">
    <cfRule type="expression" dxfId="470" priority="60">
      <formula>MOD(ROW(),2)=0</formula>
    </cfRule>
  </conditionalFormatting>
  <conditionalFormatting sqref="G288:G289">
    <cfRule type="expression" dxfId="469" priority="59">
      <formula>MOD(ROW(),2)=0</formula>
    </cfRule>
  </conditionalFormatting>
  <conditionalFormatting sqref="G286:G287">
    <cfRule type="expression" dxfId="468" priority="58">
      <formula>MOD(ROW(),2)=0</formula>
    </cfRule>
  </conditionalFormatting>
  <conditionalFormatting sqref="G296:G297">
    <cfRule type="expression" dxfId="467" priority="57">
      <formula>MOD(ROW(),2)=0</formula>
    </cfRule>
  </conditionalFormatting>
  <conditionalFormatting sqref="G294:G295">
    <cfRule type="expression" dxfId="466" priority="56">
      <formula>MOD(ROW(),2)=0</formula>
    </cfRule>
  </conditionalFormatting>
  <conditionalFormatting sqref="G292:G293">
    <cfRule type="expression" dxfId="465" priority="55">
      <formula>MOD(ROW(),2)=0</formula>
    </cfRule>
  </conditionalFormatting>
  <conditionalFormatting sqref="G302:G303">
    <cfRule type="expression" dxfId="464" priority="54">
      <formula>MOD(ROW(),2)=0</formula>
    </cfRule>
  </conditionalFormatting>
  <conditionalFormatting sqref="G300:G301">
    <cfRule type="expression" dxfId="463" priority="53">
      <formula>MOD(ROW(),2)=0</formula>
    </cfRule>
  </conditionalFormatting>
  <conditionalFormatting sqref="G298:G299">
    <cfRule type="expression" dxfId="462" priority="52">
      <formula>MOD(ROW(),2)=0</formula>
    </cfRule>
  </conditionalFormatting>
  <conditionalFormatting sqref="G308:G309">
    <cfRule type="expression" dxfId="461" priority="51">
      <formula>MOD(ROW(),2)=0</formula>
    </cfRule>
  </conditionalFormatting>
  <conditionalFormatting sqref="G306:G307">
    <cfRule type="expression" dxfId="460" priority="50">
      <formula>MOD(ROW(),2)=0</formula>
    </cfRule>
  </conditionalFormatting>
  <conditionalFormatting sqref="G304:G305">
    <cfRule type="expression" dxfId="459" priority="49">
      <formula>MOD(ROW(),2)=0</formula>
    </cfRule>
  </conditionalFormatting>
  <conditionalFormatting sqref="G351:G352">
    <cfRule type="expression" dxfId="458" priority="48">
      <formula>MOD(ROW(),2)=0</formula>
    </cfRule>
  </conditionalFormatting>
  <conditionalFormatting sqref="G349:G350">
    <cfRule type="expression" dxfId="457" priority="47">
      <formula>MOD(ROW(),2)=0</formula>
    </cfRule>
  </conditionalFormatting>
  <conditionalFormatting sqref="G347:G348">
    <cfRule type="expression" dxfId="456" priority="46">
      <formula>MOD(ROW(),2)=0</formula>
    </cfRule>
  </conditionalFormatting>
  <conditionalFormatting sqref="G357:G358">
    <cfRule type="expression" dxfId="455" priority="45">
      <formula>MOD(ROW(),2)=0</formula>
    </cfRule>
  </conditionalFormatting>
  <conditionalFormatting sqref="G355:G356">
    <cfRule type="expression" dxfId="454" priority="44">
      <formula>MOD(ROW(),2)=0</formula>
    </cfRule>
  </conditionalFormatting>
  <conditionalFormatting sqref="G353:G354">
    <cfRule type="expression" dxfId="453" priority="43">
      <formula>MOD(ROW(),2)=0</formula>
    </cfRule>
  </conditionalFormatting>
  <conditionalFormatting sqref="G363:G364">
    <cfRule type="expression" dxfId="452" priority="42">
      <formula>MOD(ROW(),2)=0</formula>
    </cfRule>
  </conditionalFormatting>
  <conditionalFormatting sqref="G361:G362">
    <cfRule type="expression" dxfId="451" priority="41">
      <formula>MOD(ROW(),2)=0</formula>
    </cfRule>
  </conditionalFormatting>
  <conditionalFormatting sqref="G359:G360">
    <cfRule type="expression" dxfId="450" priority="40">
      <formula>MOD(ROW(),2)=0</formula>
    </cfRule>
  </conditionalFormatting>
  <conditionalFormatting sqref="G369:G370">
    <cfRule type="expression" dxfId="449" priority="39">
      <formula>MOD(ROW(),2)=0</formula>
    </cfRule>
  </conditionalFormatting>
  <conditionalFormatting sqref="G367:G368">
    <cfRule type="expression" dxfId="448" priority="38">
      <formula>MOD(ROW(),2)=0</formula>
    </cfRule>
  </conditionalFormatting>
  <conditionalFormatting sqref="G365:G366">
    <cfRule type="expression" dxfId="447" priority="37">
      <formula>MOD(ROW(),2)=0</formula>
    </cfRule>
  </conditionalFormatting>
  <conditionalFormatting sqref="E224">
    <cfRule type="expression" dxfId="446" priority="36">
      <formula>MOD(ROW(),2)=0</formula>
    </cfRule>
  </conditionalFormatting>
  <conditionalFormatting sqref="E226">
    <cfRule type="expression" dxfId="445" priority="35">
      <formula>MOD(ROW(),2)=0</formula>
    </cfRule>
  </conditionalFormatting>
  <conditionalFormatting sqref="E248">
    <cfRule type="expression" dxfId="444" priority="34">
      <formula>MOD(ROW(),2)=0</formula>
    </cfRule>
  </conditionalFormatting>
  <conditionalFormatting sqref="G245">
    <cfRule type="expression" dxfId="443" priority="33">
      <formula>MOD(ROW(),2)=0</formula>
    </cfRule>
  </conditionalFormatting>
  <conditionalFormatting sqref="G224">
    <cfRule type="expression" dxfId="442" priority="32">
      <formula>MOD(ROW(),2)=0</formula>
    </cfRule>
  </conditionalFormatting>
  <conditionalFormatting sqref="G226">
    <cfRule type="expression" dxfId="441" priority="31">
      <formula>MOD(ROW(),2)=0</formula>
    </cfRule>
  </conditionalFormatting>
  <conditionalFormatting sqref="E126">
    <cfRule type="expression" dxfId="440" priority="30">
      <formula>MOD(ROW(),2)=0</formula>
    </cfRule>
  </conditionalFormatting>
  <conditionalFormatting sqref="E124">
    <cfRule type="expression" dxfId="439" priority="29">
      <formula>MOD(ROW(),2)=0</formula>
    </cfRule>
  </conditionalFormatting>
  <conditionalFormatting sqref="E86">
    <cfRule type="expression" dxfId="438" priority="28">
      <formula>MOD(ROW(),2)=0</formula>
    </cfRule>
  </conditionalFormatting>
  <conditionalFormatting sqref="E87">
    <cfRule type="expression" dxfId="437" priority="27">
      <formula>MOD(ROW(),2)=0</formula>
    </cfRule>
  </conditionalFormatting>
  <conditionalFormatting sqref="E89">
    <cfRule type="expression" dxfId="436" priority="26">
      <formula>MOD(ROW(),2)=0</formula>
    </cfRule>
  </conditionalFormatting>
  <conditionalFormatting sqref="E91">
    <cfRule type="expression" dxfId="435" priority="25">
      <formula>MOD(ROW(),2)=0</formula>
    </cfRule>
  </conditionalFormatting>
  <conditionalFormatting sqref="E116">
    <cfRule type="expression" dxfId="434" priority="24">
      <formula>MOD(ROW(),2)=0</formula>
    </cfRule>
  </conditionalFormatting>
  <conditionalFormatting sqref="E117">
    <cfRule type="expression" dxfId="433" priority="23">
      <formula>MOD(ROW(),2)=0</formula>
    </cfRule>
  </conditionalFormatting>
  <conditionalFormatting sqref="E118">
    <cfRule type="expression" dxfId="432" priority="22">
      <formula>MOD(ROW(),2)=0</formula>
    </cfRule>
  </conditionalFormatting>
  <conditionalFormatting sqref="E313">
    <cfRule type="expression" dxfId="431" priority="21">
      <formula>MOD(ROW(),2)=0</formula>
    </cfRule>
  </conditionalFormatting>
  <conditionalFormatting sqref="E315">
    <cfRule type="expression" dxfId="430" priority="20">
      <formula>MOD(ROW(),2)=0</formula>
    </cfRule>
  </conditionalFormatting>
  <conditionalFormatting sqref="E345">
    <cfRule type="expression" dxfId="429" priority="19">
      <formula>MOD(ROW(),2)=0</formula>
    </cfRule>
  </conditionalFormatting>
  <conditionalFormatting sqref="G344">
    <cfRule type="expression" dxfId="428" priority="18">
      <formula>MOD(ROW(),2)=0</formula>
    </cfRule>
  </conditionalFormatting>
  <conditionalFormatting sqref="G343">
    <cfRule type="expression" dxfId="427" priority="17">
      <formula>MOD(ROW(),2)=0</formula>
    </cfRule>
  </conditionalFormatting>
  <conditionalFormatting sqref="G346">
    <cfRule type="expression" dxfId="426" priority="16">
      <formula>MOD(ROW(),2)=0</formula>
    </cfRule>
  </conditionalFormatting>
  <conditionalFormatting sqref="G342">
    <cfRule type="expression" dxfId="425" priority="15">
      <formula>MOD(ROW(),2)=0</formula>
    </cfRule>
  </conditionalFormatting>
  <conditionalFormatting sqref="G313">
    <cfRule type="expression" dxfId="424" priority="14">
      <formula>MOD(ROW(),2)=0</formula>
    </cfRule>
  </conditionalFormatting>
  <conditionalFormatting sqref="G315">
    <cfRule type="expression" dxfId="423" priority="13">
      <formula>MOD(ROW(),2)=0</formula>
    </cfRule>
  </conditionalFormatting>
  <conditionalFormatting sqref="E371">
    <cfRule type="expression" dxfId="422" priority="12">
      <formula>MOD(ROW(),2)=0</formula>
    </cfRule>
  </conditionalFormatting>
  <conditionalFormatting sqref="E372">
    <cfRule type="expression" dxfId="421" priority="11">
      <formula>MOD(ROW(),2)=0</formula>
    </cfRule>
  </conditionalFormatting>
  <conditionalFormatting sqref="E374">
    <cfRule type="expression" dxfId="420" priority="10">
      <formula>MOD(ROW(),2)=0</formula>
    </cfRule>
  </conditionalFormatting>
  <conditionalFormatting sqref="E376">
    <cfRule type="expression" dxfId="419" priority="9">
      <formula>MOD(ROW(),2)=0</formula>
    </cfRule>
  </conditionalFormatting>
  <conditionalFormatting sqref="E395">
    <cfRule type="expression" dxfId="418" priority="8">
      <formula>MOD(ROW(),2)=0</formula>
    </cfRule>
  </conditionalFormatting>
  <conditionalFormatting sqref="E396">
    <cfRule type="expression" dxfId="417" priority="7">
      <formula>MOD(ROW(),2)=0</formula>
    </cfRule>
  </conditionalFormatting>
  <conditionalFormatting sqref="E397">
    <cfRule type="expression" dxfId="416" priority="6">
      <formula>MOD(ROW(),2)=0</formula>
    </cfRule>
  </conditionalFormatting>
  <conditionalFormatting sqref="E398">
    <cfRule type="expression" dxfId="415" priority="5">
      <formula>MOD(ROW(),2)=0</formula>
    </cfRule>
  </conditionalFormatting>
  <conditionalFormatting sqref="E399">
    <cfRule type="expression" dxfId="414" priority="4">
      <formula>MOD(ROW(),2)=0</formula>
    </cfRule>
  </conditionalFormatting>
  <conditionalFormatting sqref="G396:G397">
    <cfRule type="expression" dxfId="413" priority="3">
      <formula>MOD(ROW(),2)=0</formula>
    </cfRule>
  </conditionalFormatting>
  <conditionalFormatting sqref="G399">
    <cfRule type="expression" dxfId="412" priority="2">
      <formula>MOD(ROW(),2)=0</formula>
    </cfRule>
  </conditionalFormatting>
  <conditionalFormatting sqref="G376">
    <cfRule type="expression" dxfId="411" priority="1">
      <formula>MOD(ROW(),2)=0</formula>
    </cfRule>
  </conditionalFormatting>
  <hyperlinks>
    <hyperlink ref="AL17" location="'0'!A1" tooltip="X stave 0, Front" display="'0'!A1"/>
    <hyperlink ref="AJ17" location="'1'!A1" tooltip="X stave 1, Back" display="'1'!A1"/>
    <hyperlink ref="AH17" location="'2'!A1" tooltip="Stereo stave 0, Back" display="'2'!A1"/>
    <hyperlink ref="AF17" location="'3'!A1" tooltip="Stereo stave 0, Front" display="'3'!A1"/>
    <hyperlink ref="AD17" location="'4'!A1" tooltip="X stave 1, Front" display="'4'!A1"/>
    <hyperlink ref="AB17" location="'5'!A1" tooltip="X stave 1, Back" display="'5'!A1"/>
    <hyperlink ref="Z17" location="'6'!A1" tooltip="Stereo stave 1, Back" display="'6'!A1"/>
    <hyperlink ref="X17" location="'7'!A1" tooltip="Stereo stave 1, Front" display="'7'!A1"/>
    <hyperlink ref="V17" location="'8'!A1" tooltip="X stave 2, Front" display="'8'!A1"/>
    <hyperlink ref="T17" location="'9'!A1" tooltip="X stave 2, Back" display="'9'!A1"/>
    <hyperlink ref="R17" location="'10'!A1" tooltip="Stereo stave 2, Back" display="'10'!A1"/>
    <hyperlink ref="P17" location="'11'!A1" tooltip="Stereo stave 2, Front" display="'11'!A1"/>
    <hyperlink ref="AL18" location="'0'!A1" tooltip="X stave 0, Front" display="'0'!A1"/>
    <hyperlink ref="AJ18" location="'1'!A1" tooltip="X stave 1, Back" display="'1'!A1"/>
    <hyperlink ref="AH18" location="'2'!A1" tooltip="Stereo stave 0, Back" display="'2'!A1"/>
    <hyperlink ref="AF18" location="'3'!A1" tooltip="Stereo stave 0, Front" display="'3'!A1"/>
    <hyperlink ref="AD18" location="'4'!A1" tooltip="X stave 1, Front" display="'4'!A1"/>
    <hyperlink ref="AB18" location="'5'!A1" tooltip="X stave 1, Back" display="'5'!A1"/>
    <hyperlink ref="Z18" location="'6'!A1" tooltip="Stereo stave 1, Back" display="'6'!A1"/>
    <hyperlink ref="X18" location="'7'!A1" tooltip="Stereo stave 1, Front" display="'7'!A1"/>
    <hyperlink ref="V18" location="'8'!A1" tooltip="X stave 2, Front" display="'8'!A1"/>
    <hyperlink ref="T18" location="'9'!A1" tooltip="X stave 2, Back" display="'9'!A1"/>
    <hyperlink ref="R18" location="'10'!A1" tooltip="Stereo stave 2, Back" display="'10'!A1"/>
    <hyperlink ref="P18" location="'11'!A1" tooltip="Stereo stave 2, Front" display="'11'!A1"/>
  </hyperlinks>
  <pageMargins left="0.75" right="0.75" top="1" bottom="1" header="0.5" footer="0.5"/>
  <pageSetup orientation="portrait" horizontalDpi="4294967292" verticalDpi="429496729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AR405"/>
  <sheetViews>
    <sheetView zoomScale="85" zoomScaleNormal="85" workbookViewId="0">
      <selection activeCell="X18" sqref="X18"/>
    </sheetView>
  </sheetViews>
  <sheetFormatPr defaultColWidth="11" defaultRowHeight="15.75"/>
  <cols>
    <col min="1" max="1" width="2.875" style="3" customWidth="1"/>
    <col min="2" max="2" width="6.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75" style="1" customWidth="1"/>
    <col min="7" max="7" width="7.875" style="1" bestFit="1" customWidth="1"/>
    <col min="8" max="10" width="7.875" style="1" customWidth="1"/>
    <col min="11" max="11" width="7.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5" thickBot="1"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/>
    </row>
    <row r="2" spans="2:44" s="4" customFormat="1" ht="16.5" customHeight="1">
      <c r="D2" s="43" t="s">
        <v>858</v>
      </c>
      <c r="E2" s="551" t="s">
        <v>955</v>
      </c>
      <c r="F2" s="551"/>
      <c r="G2" s="552" t="s">
        <v>834</v>
      </c>
      <c r="H2" s="552"/>
      <c r="I2" s="552"/>
      <c r="J2" s="40"/>
      <c r="L2" s="177"/>
      <c r="M2" s="178"/>
      <c r="N2" s="180"/>
      <c r="O2" s="179"/>
      <c r="P2" s="180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80"/>
      <c r="AM2" s="180"/>
      <c r="AN2" s="180"/>
      <c r="AO2" s="181"/>
      <c r="AP2" s="177"/>
      <c r="AQ2" s="182"/>
      <c r="AR2"/>
    </row>
    <row r="3" spans="2:44" s="1" customFormat="1">
      <c r="D3"/>
      <c r="E3" s="40"/>
      <c r="F3" s="40"/>
      <c r="G3" s="40"/>
      <c r="H3" s="40"/>
      <c r="I3" s="40"/>
      <c r="J3" s="40"/>
      <c r="L3" s="177"/>
      <c r="M3" s="183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5"/>
      <c r="AP3" s="177"/>
      <c r="AQ3" s="186"/>
      <c r="AR3"/>
    </row>
    <row r="4" spans="2:44" s="6" customFormat="1" ht="16.5" thickBot="1">
      <c r="B4" s="553" t="s">
        <v>722</v>
      </c>
      <c r="C4" s="554"/>
      <c r="D4" s="554"/>
      <c r="E4" s="554"/>
      <c r="F4" s="554"/>
      <c r="G4" s="554"/>
      <c r="H4" s="554"/>
      <c r="I4" s="554"/>
      <c r="J4" s="554"/>
      <c r="K4" s="555"/>
      <c r="L4" s="177"/>
      <c r="M4" s="187"/>
      <c r="N4" s="184"/>
      <c r="O4" s="184"/>
      <c r="P4" s="184"/>
      <c r="Q4" s="184"/>
      <c r="R4" s="16" t="s">
        <v>13</v>
      </c>
      <c r="S4" s="16"/>
      <c r="T4" s="16" t="s">
        <v>14</v>
      </c>
      <c r="U4" s="16"/>
      <c r="V4" s="16" t="s">
        <v>13</v>
      </c>
      <c r="W4" s="16"/>
      <c r="X4" s="16" t="s">
        <v>14</v>
      </c>
      <c r="Y4" s="16"/>
      <c r="Z4" s="16" t="s">
        <v>13</v>
      </c>
      <c r="AA4" s="16"/>
      <c r="AB4" s="16" t="s">
        <v>14</v>
      </c>
      <c r="AC4" s="16"/>
      <c r="AD4" s="16" t="s">
        <v>13</v>
      </c>
      <c r="AE4" s="16"/>
      <c r="AF4" s="16" t="s">
        <v>14</v>
      </c>
      <c r="AG4" s="16"/>
      <c r="AH4" s="16" t="s">
        <v>13</v>
      </c>
      <c r="AI4" s="16"/>
      <c r="AJ4" s="16" t="s">
        <v>14</v>
      </c>
      <c r="AK4" s="16"/>
      <c r="AL4" s="16" t="s">
        <v>13</v>
      </c>
      <c r="AM4" s="16"/>
      <c r="AN4" s="16" t="s">
        <v>14</v>
      </c>
      <c r="AO4" s="185"/>
      <c r="AP4" s="177"/>
      <c r="AQ4" s="182" t="s">
        <v>710</v>
      </c>
      <c r="AR4"/>
    </row>
    <row r="5" spans="2:44" s="12" customFormat="1" ht="32.25" thickBot="1">
      <c r="B5" s="41" t="s">
        <v>19</v>
      </c>
      <c r="C5" s="7" t="s">
        <v>442</v>
      </c>
      <c r="D5" s="8" t="s">
        <v>2</v>
      </c>
      <c r="E5" s="8" t="s">
        <v>1</v>
      </c>
      <c r="F5" s="9"/>
      <c r="G5" s="9" t="s">
        <v>953</v>
      </c>
      <c r="H5" s="10" t="s">
        <v>3</v>
      </c>
      <c r="I5" s="10"/>
      <c r="J5" s="10"/>
      <c r="K5" s="11"/>
      <c r="L5" s="177"/>
      <c r="M5" s="187"/>
      <c r="N5" s="184"/>
      <c r="O5" s="184"/>
      <c r="P5" s="184"/>
      <c r="Q5" s="188"/>
      <c r="R5" s="175">
        <v>5</v>
      </c>
      <c r="S5" s="175"/>
      <c r="T5" s="175">
        <v>5</v>
      </c>
      <c r="U5" s="175"/>
      <c r="V5" s="175">
        <v>4</v>
      </c>
      <c r="W5" s="175"/>
      <c r="X5" s="175">
        <v>4</v>
      </c>
      <c r="Y5" s="175"/>
      <c r="Z5" s="175">
        <v>3</v>
      </c>
      <c r="AA5" s="175"/>
      <c r="AB5" s="175">
        <v>3</v>
      </c>
      <c r="AC5" s="175"/>
      <c r="AD5" s="175">
        <v>2</v>
      </c>
      <c r="AE5" s="175"/>
      <c r="AF5" s="175">
        <v>2</v>
      </c>
      <c r="AG5" s="175"/>
      <c r="AH5" s="175">
        <v>1</v>
      </c>
      <c r="AI5" s="175"/>
      <c r="AJ5" s="175">
        <v>1</v>
      </c>
      <c r="AK5" s="175"/>
      <c r="AL5" s="175">
        <v>0</v>
      </c>
      <c r="AM5" s="175"/>
      <c r="AN5" s="175">
        <v>0</v>
      </c>
      <c r="AO5" s="185"/>
      <c r="AP5" s="177"/>
      <c r="AQ5" s="254" t="s">
        <v>711</v>
      </c>
      <c r="AR5"/>
    </row>
    <row r="6" spans="2:44">
      <c r="B6" s="42">
        <v>199</v>
      </c>
      <c r="C6" s="293" t="s">
        <v>118</v>
      </c>
      <c r="D6" s="294" t="s">
        <v>677</v>
      </c>
      <c r="E6" s="322" t="s">
        <v>872</v>
      </c>
      <c r="F6" s="296"/>
      <c r="G6" s="389" t="s">
        <v>123</v>
      </c>
      <c r="H6" s="340" t="s">
        <v>942</v>
      </c>
      <c r="I6" s="296"/>
      <c r="J6" s="296"/>
      <c r="K6" s="297"/>
      <c r="L6" s="177"/>
      <c r="M6" s="187"/>
      <c r="N6" s="184"/>
      <c r="O6" s="184"/>
      <c r="P6" s="184"/>
      <c r="Q6" s="184"/>
      <c r="R6" s="189"/>
      <c r="S6" s="184"/>
      <c r="T6" s="265"/>
      <c r="U6" s="184"/>
      <c r="V6" s="189"/>
      <c r="W6" s="184"/>
      <c r="X6" s="265"/>
      <c r="Y6" s="184"/>
      <c r="Z6" s="189"/>
      <c r="AA6" s="184"/>
      <c r="AB6" s="189"/>
      <c r="AC6" s="184"/>
      <c r="AD6" s="189"/>
      <c r="AE6" s="184"/>
      <c r="AF6" s="189"/>
      <c r="AG6" s="184"/>
      <c r="AH6" s="189"/>
      <c r="AI6" s="184"/>
      <c r="AJ6" s="189"/>
      <c r="AK6" s="184"/>
      <c r="AL6" s="189"/>
      <c r="AM6" s="184"/>
      <c r="AN6" s="189"/>
      <c r="AO6" s="185"/>
      <c r="AP6" s="177"/>
      <c r="AQ6" s="186"/>
      <c r="AR6"/>
    </row>
    <row r="7" spans="2:44" ht="16.5" thickBot="1">
      <c r="B7" s="42">
        <v>200</v>
      </c>
      <c r="C7" s="21" t="s">
        <v>119</v>
      </c>
      <c r="D7" s="22" t="s">
        <v>699</v>
      </c>
      <c r="E7" s="323" t="s">
        <v>872</v>
      </c>
      <c r="F7" s="5"/>
      <c r="G7" s="389" t="s">
        <v>133</v>
      </c>
      <c r="H7" s="312" t="s">
        <v>942</v>
      </c>
      <c r="I7" s="5"/>
      <c r="J7" s="5"/>
      <c r="K7" s="14"/>
      <c r="L7" s="177"/>
      <c r="M7" s="187"/>
      <c r="N7" s="184"/>
      <c r="O7" s="184"/>
      <c r="P7" s="184"/>
      <c r="Q7" s="184"/>
      <c r="R7" s="191"/>
      <c r="S7" s="184"/>
      <c r="T7" s="266"/>
      <c r="U7" s="184"/>
      <c r="V7" s="191"/>
      <c r="W7" s="184"/>
      <c r="X7" s="266"/>
      <c r="Y7" s="184"/>
      <c r="Z7" s="191"/>
      <c r="AA7" s="184"/>
      <c r="AB7" s="191"/>
      <c r="AC7" s="184"/>
      <c r="AD7" s="191"/>
      <c r="AE7" s="184"/>
      <c r="AF7" s="191"/>
      <c r="AG7" s="184"/>
      <c r="AH7" s="191"/>
      <c r="AI7" s="184"/>
      <c r="AJ7" s="191"/>
      <c r="AK7" s="184"/>
      <c r="AL7" s="191"/>
      <c r="AM7" s="184"/>
      <c r="AN7" s="191"/>
      <c r="AO7" s="185"/>
      <c r="AP7" s="177"/>
      <c r="AQ7" s="186"/>
      <c r="AR7"/>
    </row>
    <row r="8" spans="2:44" ht="16.5" thickBot="1">
      <c r="B8" s="42">
        <v>207</v>
      </c>
      <c r="C8" s="21" t="s">
        <v>126</v>
      </c>
      <c r="D8" s="22" t="s">
        <v>632</v>
      </c>
      <c r="E8" s="323" t="s">
        <v>872</v>
      </c>
      <c r="F8" s="5"/>
      <c r="G8" s="389" t="s">
        <v>142</v>
      </c>
      <c r="H8" s="312" t="s">
        <v>942</v>
      </c>
      <c r="I8" s="5"/>
      <c r="J8" s="5"/>
      <c r="K8" s="14"/>
      <c r="L8" s="177"/>
      <c r="M8" s="187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5"/>
      <c r="AP8" s="177"/>
      <c r="AQ8" s="186"/>
      <c r="AR8"/>
    </row>
    <row r="9" spans="2:44">
      <c r="B9" s="42">
        <v>208</v>
      </c>
      <c r="C9" s="21" t="s">
        <v>127</v>
      </c>
      <c r="D9" s="22" t="s">
        <v>655</v>
      </c>
      <c r="E9" s="323" t="s">
        <v>872</v>
      </c>
      <c r="F9" s="5"/>
      <c r="G9" s="389" t="s">
        <v>152</v>
      </c>
      <c r="H9" s="312" t="s">
        <v>942</v>
      </c>
      <c r="I9" s="5"/>
      <c r="J9" s="5"/>
      <c r="K9" s="14"/>
      <c r="L9" s="177"/>
      <c r="M9" s="187"/>
      <c r="N9" s="184"/>
      <c r="O9" s="184"/>
      <c r="P9" s="184"/>
      <c r="Q9" s="184"/>
      <c r="R9" s="189"/>
      <c r="S9" s="184"/>
      <c r="T9" s="265"/>
      <c r="U9" s="184"/>
      <c r="V9" s="189"/>
      <c r="W9" s="184"/>
      <c r="X9" s="265"/>
      <c r="Y9" s="184"/>
      <c r="Z9" s="189"/>
      <c r="AA9" s="184"/>
      <c r="AB9" s="189"/>
      <c r="AC9" s="184"/>
      <c r="AD9" s="189"/>
      <c r="AE9" s="184"/>
      <c r="AF9" s="189"/>
      <c r="AG9" s="184"/>
      <c r="AH9" s="189"/>
      <c r="AI9" s="184"/>
      <c r="AJ9" s="189"/>
      <c r="AK9" s="184"/>
      <c r="AL9" s="189"/>
      <c r="AM9" s="184"/>
      <c r="AN9" s="189"/>
      <c r="AO9" s="185"/>
      <c r="AP9" s="177"/>
      <c r="AQ9" s="186"/>
      <c r="AR9"/>
    </row>
    <row r="10" spans="2:44" ht="16.5" thickBot="1">
      <c r="B10" s="42">
        <v>228</v>
      </c>
      <c r="C10" s="21" t="s">
        <v>147</v>
      </c>
      <c r="D10" s="22" t="s">
        <v>657</v>
      </c>
      <c r="E10" s="323" t="s">
        <v>872</v>
      </c>
      <c r="F10" s="5"/>
      <c r="G10" s="389" t="s">
        <v>102</v>
      </c>
      <c r="H10" s="312" t="s">
        <v>942</v>
      </c>
      <c r="I10" s="5"/>
      <c r="J10" s="5"/>
      <c r="K10" s="14"/>
      <c r="L10" s="177"/>
      <c r="M10" s="187"/>
      <c r="N10" s="184"/>
      <c r="O10" s="184"/>
      <c r="P10" s="184"/>
      <c r="Q10" s="184"/>
      <c r="R10" s="191"/>
      <c r="S10" s="184"/>
      <c r="T10" s="266"/>
      <c r="U10" s="184"/>
      <c r="V10" s="191"/>
      <c r="W10" s="184"/>
      <c r="X10" s="266"/>
      <c r="Y10" s="184"/>
      <c r="Z10" s="191"/>
      <c r="AA10" s="184"/>
      <c r="AB10" s="191"/>
      <c r="AC10" s="184"/>
      <c r="AD10" s="191"/>
      <c r="AE10" s="184"/>
      <c r="AF10" s="191"/>
      <c r="AG10" s="184"/>
      <c r="AH10" s="191"/>
      <c r="AI10" s="184"/>
      <c r="AJ10" s="191"/>
      <c r="AK10" s="184"/>
      <c r="AL10" s="190"/>
      <c r="AM10" s="184"/>
      <c r="AN10" s="191"/>
      <c r="AO10" s="192"/>
      <c r="AP10" s="177"/>
      <c r="AQ10" s="186"/>
      <c r="AR10"/>
    </row>
    <row r="11" spans="2:44">
      <c r="B11" s="42">
        <v>227</v>
      </c>
      <c r="C11" s="21" t="s">
        <v>146</v>
      </c>
      <c r="D11" s="22" t="s">
        <v>634</v>
      </c>
      <c r="E11" s="323" t="s">
        <v>872</v>
      </c>
      <c r="F11" s="5"/>
      <c r="G11" s="389" t="s">
        <v>112</v>
      </c>
      <c r="H11" s="312" t="s">
        <v>942</v>
      </c>
      <c r="I11" s="5"/>
      <c r="J11" s="5"/>
      <c r="K11" s="14"/>
      <c r="L11" s="177"/>
      <c r="M11" s="187"/>
      <c r="N11" s="184"/>
      <c r="O11" s="184"/>
      <c r="P11" s="184"/>
      <c r="Q11" s="184"/>
      <c r="R11" s="556">
        <v>11</v>
      </c>
      <c r="S11" s="556"/>
      <c r="T11" s="556">
        <v>10</v>
      </c>
      <c r="U11" s="556"/>
      <c r="V11" s="184">
        <v>9</v>
      </c>
      <c r="W11" s="184"/>
      <c r="X11" s="184">
        <v>8</v>
      </c>
      <c r="Y11" s="184"/>
      <c r="Z11" s="184">
        <v>7</v>
      </c>
      <c r="AA11" s="184"/>
      <c r="AB11" s="184">
        <v>6</v>
      </c>
      <c r="AC11" s="184"/>
      <c r="AD11" s="184">
        <v>5</v>
      </c>
      <c r="AE11" s="184"/>
      <c r="AF11" s="184">
        <v>4</v>
      </c>
      <c r="AG11" s="184"/>
      <c r="AH11" s="249">
        <v>3</v>
      </c>
      <c r="AI11" s="249"/>
      <c r="AJ11" s="249">
        <v>2</v>
      </c>
      <c r="AK11" s="250"/>
      <c r="AL11" s="251">
        <v>1</v>
      </c>
      <c r="AM11" s="249"/>
      <c r="AN11" s="249">
        <v>0</v>
      </c>
      <c r="AO11" s="192"/>
      <c r="AP11" s="177"/>
      <c r="AQ11" s="186"/>
      <c r="AR11"/>
    </row>
    <row r="12" spans="2:44">
      <c r="B12" s="260">
        <v>189</v>
      </c>
      <c r="C12" s="261" t="s">
        <v>108</v>
      </c>
      <c r="D12" s="262" t="s">
        <v>676</v>
      </c>
      <c r="E12" s="325" t="s">
        <v>872</v>
      </c>
      <c r="F12" s="212"/>
      <c r="G12" s="386" t="s">
        <v>161</v>
      </c>
      <c r="H12" s="312" t="s">
        <v>942</v>
      </c>
      <c r="I12" s="212"/>
      <c r="J12" s="212"/>
      <c r="K12" s="263"/>
      <c r="L12" s="177"/>
      <c r="M12" s="187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92"/>
      <c r="AP12" s="193"/>
      <c r="AQ12" s="186"/>
      <c r="AR12"/>
    </row>
    <row r="13" spans="2:44">
      <c r="B13" s="260">
        <v>190</v>
      </c>
      <c r="C13" s="261" t="s">
        <v>109</v>
      </c>
      <c r="D13" s="262" t="s">
        <v>698</v>
      </c>
      <c r="E13" s="325" t="s">
        <v>872</v>
      </c>
      <c r="F13" s="212"/>
      <c r="G13" s="386" t="s">
        <v>171</v>
      </c>
      <c r="H13" s="312" t="s">
        <v>942</v>
      </c>
      <c r="I13" s="212"/>
      <c r="J13" s="212"/>
      <c r="K13" s="263"/>
      <c r="L13" s="177"/>
      <c r="M13" s="187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92"/>
      <c r="AP13" s="193"/>
      <c r="AQ13" s="186"/>
      <c r="AR13"/>
    </row>
    <row r="14" spans="2:44">
      <c r="B14" s="213">
        <v>179</v>
      </c>
      <c r="C14" s="214" t="s">
        <v>98</v>
      </c>
      <c r="D14" s="215" t="s">
        <v>675</v>
      </c>
      <c r="E14" s="359"/>
      <c r="F14" s="216"/>
      <c r="G14" s="359"/>
      <c r="H14" s="312"/>
      <c r="I14" s="216"/>
      <c r="J14" s="216"/>
      <c r="K14" s="217"/>
      <c r="L14" s="177"/>
      <c r="M14" s="187"/>
      <c r="N14" s="184"/>
      <c r="O14" s="184"/>
      <c r="P14" s="16" t="s">
        <v>13</v>
      </c>
      <c r="Q14" s="16"/>
      <c r="R14" s="16" t="s">
        <v>13</v>
      </c>
      <c r="S14" s="16"/>
      <c r="T14" s="16" t="s">
        <v>14</v>
      </c>
      <c r="U14" s="16"/>
      <c r="V14" s="16" t="s">
        <v>14</v>
      </c>
      <c r="W14" s="16"/>
      <c r="X14" s="16" t="s">
        <v>13</v>
      </c>
      <c r="Y14" s="16"/>
      <c r="Z14" s="16" t="s">
        <v>13</v>
      </c>
      <c r="AA14" s="16"/>
      <c r="AB14" s="16" t="s">
        <v>14</v>
      </c>
      <c r="AC14" s="16"/>
      <c r="AD14" s="16" t="s">
        <v>14</v>
      </c>
      <c r="AE14" s="16"/>
      <c r="AF14" s="16" t="s">
        <v>13</v>
      </c>
      <c r="AG14" s="16"/>
      <c r="AH14" s="16" t="s">
        <v>13</v>
      </c>
      <c r="AI14" s="16"/>
      <c r="AJ14" s="16" t="s">
        <v>14</v>
      </c>
      <c r="AK14" s="16"/>
      <c r="AL14" s="16" t="s">
        <v>14</v>
      </c>
      <c r="AM14" s="184"/>
      <c r="AN14" s="184"/>
      <c r="AO14" s="192"/>
      <c r="AP14" s="193"/>
      <c r="AQ14" s="182" t="s">
        <v>710</v>
      </c>
      <c r="AR14"/>
    </row>
    <row r="15" spans="2:44">
      <c r="B15" s="213">
        <v>180</v>
      </c>
      <c r="C15" s="214" t="s">
        <v>99</v>
      </c>
      <c r="D15" s="215" t="s">
        <v>697</v>
      </c>
      <c r="E15" s="359"/>
      <c r="F15" s="216"/>
      <c r="G15" s="359"/>
      <c r="H15" s="312"/>
      <c r="I15" s="216"/>
      <c r="J15" s="216"/>
      <c r="K15" s="217"/>
      <c r="L15" s="177"/>
      <c r="M15" s="187"/>
      <c r="N15" s="184"/>
      <c r="O15" s="184"/>
      <c r="P15" s="16">
        <v>2</v>
      </c>
      <c r="Q15" s="16"/>
      <c r="R15" s="16">
        <v>2</v>
      </c>
      <c r="S15" s="16"/>
      <c r="T15" s="16">
        <v>2</v>
      </c>
      <c r="U15" s="16"/>
      <c r="V15" s="16">
        <v>2</v>
      </c>
      <c r="W15" s="16"/>
      <c r="X15" s="16">
        <v>1</v>
      </c>
      <c r="Y15" s="16"/>
      <c r="Z15" s="16">
        <v>1</v>
      </c>
      <c r="AA15" s="16"/>
      <c r="AB15" s="16">
        <v>1</v>
      </c>
      <c r="AC15" s="16"/>
      <c r="AD15" s="16">
        <v>1</v>
      </c>
      <c r="AE15" s="16"/>
      <c r="AF15" s="16">
        <v>0</v>
      </c>
      <c r="AG15" s="16"/>
      <c r="AH15" s="16">
        <v>0</v>
      </c>
      <c r="AI15" s="16"/>
      <c r="AJ15" s="16">
        <v>0</v>
      </c>
      <c r="AK15" s="16"/>
      <c r="AL15" s="16">
        <v>0</v>
      </c>
      <c r="AM15" s="184"/>
      <c r="AN15" s="184"/>
      <c r="AO15" s="192"/>
      <c r="AP15" s="193"/>
      <c r="AQ15" s="182" t="s">
        <v>713</v>
      </c>
      <c r="AR15"/>
    </row>
    <row r="16" spans="2:44" ht="16.5" thickBot="1">
      <c r="B16" s="42">
        <v>197</v>
      </c>
      <c r="C16" s="21" t="s">
        <v>116</v>
      </c>
      <c r="D16" s="22" t="s">
        <v>631</v>
      </c>
      <c r="E16" s="323" t="s">
        <v>872</v>
      </c>
      <c r="F16" s="5"/>
      <c r="G16" s="389" t="s">
        <v>165</v>
      </c>
      <c r="H16" s="312" t="s">
        <v>942</v>
      </c>
      <c r="I16" s="5"/>
      <c r="J16" s="5"/>
      <c r="K16" s="14"/>
      <c r="L16" s="177"/>
      <c r="M16" s="187"/>
      <c r="N16" s="184"/>
      <c r="O16" s="184"/>
      <c r="P16" s="16" t="s">
        <v>17</v>
      </c>
      <c r="Q16" s="16"/>
      <c r="R16" s="16" t="s">
        <v>13</v>
      </c>
      <c r="S16" s="16"/>
      <c r="T16" s="16" t="s">
        <v>13</v>
      </c>
      <c r="U16" s="16"/>
      <c r="V16" s="16" t="s">
        <v>17</v>
      </c>
      <c r="W16" s="16"/>
      <c r="X16" s="16" t="s">
        <v>17</v>
      </c>
      <c r="Y16" s="16"/>
      <c r="Z16" s="16" t="s">
        <v>13</v>
      </c>
      <c r="AA16" s="16"/>
      <c r="AB16" s="16" t="s">
        <v>13</v>
      </c>
      <c r="AC16" s="16"/>
      <c r="AD16" s="16" t="s">
        <v>17</v>
      </c>
      <c r="AE16" s="16"/>
      <c r="AF16" s="16" t="s">
        <v>17</v>
      </c>
      <c r="AG16" s="16"/>
      <c r="AH16" s="16" t="s">
        <v>13</v>
      </c>
      <c r="AI16" s="16"/>
      <c r="AJ16" s="16" t="s">
        <v>13</v>
      </c>
      <c r="AK16" s="16"/>
      <c r="AL16" s="16" t="s">
        <v>17</v>
      </c>
      <c r="AM16" s="184"/>
      <c r="AN16" s="184"/>
      <c r="AO16" s="192"/>
      <c r="AP16" s="193"/>
      <c r="AQ16" s="182" t="s">
        <v>954</v>
      </c>
      <c r="AR16"/>
    </row>
    <row r="17" spans="2:44">
      <c r="B17" s="42">
        <v>198</v>
      </c>
      <c r="C17" s="21" t="s">
        <v>117</v>
      </c>
      <c r="D17" s="22" t="s">
        <v>654</v>
      </c>
      <c r="E17" s="323" t="s">
        <v>872</v>
      </c>
      <c r="F17" s="5"/>
      <c r="G17" s="389" t="s">
        <v>175</v>
      </c>
      <c r="H17" s="312" t="s">
        <v>942</v>
      </c>
      <c r="I17" s="5"/>
      <c r="J17" s="5"/>
      <c r="K17" s="14"/>
      <c r="L17" s="177"/>
      <c r="M17" s="187"/>
      <c r="N17" s="184"/>
      <c r="O17" s="16"/>
      <c r="P17" s="244">
        <v>11</v>
      </c>
      <c r="Q17" s="35"/>
      <c r="R17" s="244">
        <v>10</v>
      </c>
      <c r="S17" s="35"/>
      <c r="T17" s="244">
        <v>9</v>
      </c>
      <c r="U17" s="35"/>
      <c r="V17" s="255">
        <v>8</v>
      </c>
      <c r="W17" s="35"/>
      <c r="X17" s="244">
        <v>7</v>
      </c>
      <c r="Y17" s="35"/>
      <c r="Z17" s="244">
        <v>6</v>
      </c>
      <c r="AA17" s="35"/>
      <c r="AB17" s="244">
        <v>5</v>
      </c>
      <c r="AC17" s="35"/>
      <c r="AD17" s="244">
        <v>4</v>
      </c>
      <c r="AE17" s="35"/>
      <c r="AF17" s="244">
        <v>3</v>
      </c>
      <c r="AG17" s="35"/>
      <c r="AH17" s="244">
        <v>2</v>
      </c>
      <c r="AI17" s="35"/>
      <c r="AJ17" s="244">
        <v>1</v>
      </c>
      <c r="AK17" s="35"/>
      <c r="AL17" s="244">
        <v>0</v>
      </c>
      <c r="AM17" s="184"/>
      <c r="AN17" s="184"/>
      <c r="AO17" s="192"/>
      <c r="AP17" s="193"/>
      <c r="AQ17" s="182" t="s">
        <v>964</v>
      </c>
      <c r="AR17"/>
    </row>
    <row r="18" spans="2:44" s="1" customFormat="1" ht="16.5" thickBot="1">
      <c r="B18" s="42">
        <v>210</v>
      </c>
      <c r="C18" s="21" t="s">
        <v>129</v>
      </c>
      <c r="D18" s="22" t="s">
        <v>700</v>
      </c>
      <c r="E18" s="323" t="s">
        <v>872</v>
      </c>
      <c r="F18" s="5"/>
      <c r="G18" s="389" t="s">
        <v>125</v>
      </c>
      <c r="H18" s="312" t="s">
        <v>942</v>
      </c>
      <c r="I18" s="5"/>
      <c r="J18" s="5"/>
      <c r="K18" s="14"/>
      <c r="L18" s="177"/>
      <c r="M18" s="187"/>
      <c r="N18" s="184"/>
      <c r="O18" s="16"/>
      <c r="P18" s="246">
        <v>11</v>
      </c>
      <c r="Q18" s="35"/>
      <c r="R18" s="246">
        <v>10</v>
      </c>
      <c r="S18" s="35"/>
      <c r="T18" s="246">
        <v>9</v>
      </c>
      <c r="U18" s="35"/>
      <c r="V18" s="256">
        <v>8</v>
      </c>
      <c r="W18" s="35"/>
      <c r="X18" s="246">
        <v>7</v>
      </c>
      <c r="Y18" s="35"/>
      <c r="Z18" s="246">
        <v>6</v>
      </c>
      <c r="AA18" s="35"/>
      <c r="AB18" s="246">
        <v>5</v>
      </c>
      <c r="AC18" s="35"/>
      <c r="AD18" s="246">
        <v>4</v>
      </c>
      <c r="AE18" s="35"/>
      <c r="AF18" s="246">
        <v>3</v>
      </c>
      <c r="AG18" s="35"/>
      <c r="AH18" s="246">
        <v>2</v>
      </c>
      <c r="AI18" s="35"/>
      <c r="AJ18" s="246">
        <v>1</v>
      </c>
      <c r="AK18" s="35"/>
      <c r="AL18" s="246">
        <v>0</v>
      </c>
      <c r="AM18" s="184"/>
      <c r="AN18" s="184"/>
      <c r="AO18" s="192"/>
      <c r="AP18" s="193"/>
      <c r="AQ18" s="186"/>
      <c r="AR18"/>
    </row>
    <row r="19" spans="2:44" s="1" customFormat="1" ht="16.5" thickBot="1">
      <c r="B19" s="42">
        <v>209</v>
      </c>
      <c r="C19" s="21" t="s">
        <v>128</v>
      </c>
      <c r="D19" s="22" t="s">
        <v>678</v>
      </c>
      <c r="E19" s="323" t="s">
        <v>872</v>
      </c>
      <c r="F19" s="5"/>
      <c r="G19" s="389" t="s">
        <v>135</v>
      </c>
      <c r="H19" s="312" t="s">
        <v>942</v>
      </c>
      <c r="I19" s="5"/>
      <c r="J19" s="5"/>
      <c r="K19" s="14"/>
      <c r="L19" s="177"/>
      <c r="M19" s="194"/>
      <c r="N19" s="195"/>
      <c r="O19" s="195"/>
      <c r="P19" s="563">
        <v>11</v>
      </c>
      <c r="Q19" s="563"/>
      <c r="R19" s="563">
        <v>10</v>
      </c>
      <c r="S19" s="563"/>
      <c r="T19" s="195">
        <v>9</v>
      </c>
      <c r="U19" s="195"/>
      <c r="V19" s="195">
        <v>8</v>
      </c>
      <c r="W19" s="195"/>
      <c r="X19" s="195">
        <v>7</v>
      </c>
      <c r="Y19" s="195"/>
      <c r="Z19" s="195">
        <v>6</v>
      </c>
      <c r="AA19" s="195"/>
      <c r="AB19" s="195">
        <v>5</v>
      </c>
      <c r="AC19" s="195"/>
      <c r="AD19" s="195">
        <v>4</v>
      </c>
      <c r="AE19" s="195"/>
      <c r="AF19" s="195">
        <v>3</v>
      </c>
      <c r="AG19" s="195"/>
      <c r="AH19" s="195">
        <v>2</v>
      </c>
      <c r="AI19" s="195"/>
      <c r="AJ19" s="253">
        <v>1</v>
      </c>
      <c r="AK19" s="253"/>
      <c r="AL19" s="253">
        <v>0</v>
      </c>
      <c r="AM19" s="253"/>
      <c r="AN19" s="195"/>
      <c r="AO19" s="196"/>
      <c r="AP19" s="193"/>
      <c r="AQ19" s="186"/>
      <c r="AR19"/>
    </row>
    <row r="20" spans="2:44" s="1" customFormat="1">
      <c r="B20" s="42">
        <v>217</v>
      </c>
      <c r="C20" s="21" t="s">
        <v>136</v>
      </c>
      <c r="D20" s="22" t="s">
        <v>633</v>
      </c>
      <c r="E20" s="323" t="s">
        <v>872</v>
      </c>
      <c r="F20" s="5"/>
      <c r="G20" s="389" t="s">
        <v>144</v>
      </c>
      <c r="H20" s="312" t="s">
        <v>942</v>
      </c>
      <c r="I20" s="5"/>
      <c r="J20" s="5"/>
      <c r="K20" s="14"/>
      <c r="L20" s="558" t="s">
        <v>864</v>
      </c>
      <c r="M20" s="559"/>
      <c r="N20" s="559"/>
      <c r="O20" s="559"/>
      <c r="P20" s="559"/>
      <c r="Q20" s="559"/>
      <c r="R20" s="559"/>
      <c r="S20" s="559"/>
      <c r="T20" s="559"/>
      <c r="U20" s="559"/>
      <c r="V20" s="559"/>
      <c r="W20" s="559"/>
      <c r="X20" s="559"/>
      <c r="Y20" s="559"/>
      <c r="Z20" s="559"/>
      <c r="AA20" s="559"/>
      <c r="AB20" s="559"/>
      <c r="AC20" s="559"/>
      <c r="AD20" s="559"/>
      <c r="AE20" s="559"/>
      <c r="AF20" s="559"/>
      <c r="AG20" s="559"/>
      <c r="AH20" s="559"/>
      <c r="AI20" s="559"/>
      <c r="AJ20" s="559"/>
      <c r="AK20" s="559"/>
      <c r="AL20" s="559"/>
      <c r="AM20" s="559"/>
      <c r="AN20" s="559"/>
      <c r="AO20" s="559"/>
      <c r="AP20" s="559"/>
      <c r="AQ20" s="186"/>
      <c r="AR20"/>
    </row>
    <row r="21" spans="2:44" s="1" customFormat="1">
      <c r="B21" s="42">
        <v>218</v>
      </c>
      <c r="C21" s="21" t="s">
        <v>137</v>
      </c>
      <c r="D21" s="22" t="s">
        <v>656</v>
      </c>
      <c r="E21" s="323" t="s">
        <v>872</v>
      </c>
      <c r="F21" s="5"/>
      <c r="G21" s="389" t="s">
        <v>154</v>
      </c>
      <c r="H21" s="312" t="s">
        <v>942</v>
      </c>
      <c r="I21" s="5"/>
      <c r="J21" s="5"/>
      <c r="K21" s="14"/>
      <c r="L21" s="560" t="s">
        <v>721</v>
      </c>
      <c r="M21" s="561"/>
      <c r="N21" s="561"/>
      <c r="O21" s="561"/>
      <c r="P21" s="561"/>
      <c r="Q21" s="561"/>
      <c r="R21" s="561"/>
      <c r="S21" s="561"/>
      <c r="T21" s="561"/>
      <c r="U21" s="561"/>
      <c r="V21" s="561"/>
      <c r="W21" s="561"/>
      <c r="X21" s="561"/>
      <c r="Y21" s="561"/>
      <c r="Z21" s="561"/>
      <c r="AA21" s="561"/>
      <c r="AB21" s="561"/>
      <c r="AC21" s="561"/>
      <c r="AD21" s="561"/>
      <c r="AE21" s="561"/>
      <c r="AF21" s="561"/>
      <c r="AG21" s="561"/>
      <c r="AH21" s="561"/>
      <c r="AI21" s="561"/>
      <c r="AJ21" s="561"/>
      <c r="AK21" s="561"/>
      <c r="AL21" s="561"/>
      <c r="AM21" s="561"/>
      <c r="AN21" s="561"/>
      <c r="AO21" s="561"/>
      <c r="AP21" s="561"/>
      <c r="AQ21" s="193"/>
      <c r="AR21"/>
    </row>
    <row r="22" spans="2:44" s="1" customFormat="1">
      <c r="B22" s="260">
        <v>177</v>
      </c>
      <c r="C22" s="261" t="s">
        <v>96</v>
      </c>
      <c r="D22" s="262" t="s">
        <v>629</v>
      </c>
      <c r="E22" s="325" t="s">
        <v>872</v>
      </c>
      <c r="F22" s="212"/>
      <c r="G22" s="386" t="s">
        <v>104</v>
      </c>
      <c r="H22" s="312" t="s">
        <v>942</v>
      </c>
      <c r="I22" s="212"/>
      <c r="J22" s="212"/>
      <c r="K22" s="263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0">
        <v>187</v>
      </c>
      <c r="C23" s="261" t="s">
        <v>106</v>
      </c>
      <c r="D23" s="262" t="s">
        <v>630</v>
      </c>
      <c r="E23" s="325" t="s">
        <v>872</v>
      </c>
      <c r="F23" s="212"/>
      <c r="G23" s="386" t="s">
        <v>114</v>
      </c>
      <c r="H23" s="312" t="s">
        <v>942</v>
      </c>
      <c r="I23" s="212"/>
      <c r="J23" s="212"/>
      <c r="K23" s="263"/>
      <c r="L23"/>
      <c r="M23" s="562" t="s">
        <v>836</v>
      </c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2"/>
      <c r="AP23"/>
      <c r="AQ23"/>
      <c r="AR23"/>
    </row>
    <row r="24" spans="2:44" s="1" customFormat="1">
      <c r="B24" s="213">
        <v>178</v>
      </c>
      <c r="C24" s="214" t="s">
        <v>97</v>
      </c>
      <c r="D24" s="215" t="s">
        <v>652</v>
      </c>
      <c r="E24" s="199"/>
      <c r="F24" s="216"/>
      <c r="G24" s="216"/>
      <c r="H24" s="199"/>
      <c r="I24" s="216"/>
      <c r="J24" s="216"/>
      <c r="K24" s="217"/>
      <c r="L24"/>
      <c r="M24" s="557" t="s">
        <v>883</v>
      </c>
      <c r="N24" s="557"/>
      <c r="O24" s="557"/>
      <c r="P24" s="557"/>
      <c r="Q24" s="557"/>
      <c r="R24" s="557"/>
      <c r="S24" s="557"/>
      <c r="T24" s="557"/>
      <c r="U24" s="557"/>
      <c r="V24" s="557"/>
      <c r="W24" s="557"/>
      <c r="X24" s="557"/>
      <c r="Y24" s="557"/>
      <c r="Z24" s="557"/>
      <c r="AA24" s="557"/>
      <c r="AB24" s="557"/>
      <c r="AC24" s="557"/>
      <c r="AD24" s="557"/>
      <c r="AE24" s="557"/>
      <c r="AF24" s="557"/>
      <c r="AG24" s="557"/>
      <c r="AH24" s="557"/>
      <c r="AI24" s="557"/>
      <c r="AJ24" s="557"/>
      <c r="AK24" s="557"/>
      <c r="AL24" s="557"/>
      <c r="AM24" s="557"/>
      <c r="AN24" s="557"/>
      <c r="AO24" s="557"/>
      <c r="AP24"/>
      <c r="AQ24"/>
      <c r="AR24"/>
    </row>
    <row r="25" spans="2:44" s="1" customFormat="1">
      <c r="B25" s="213">
        <v>188</v>
      </c>
      <c r="C25" s="214" t="s">
        <v>107</v>
      </c>
      <c r="D25" s="215" t="s">
        <v>653</v>
      </c>
      <c r="E25" s="199"/>
      <c r="F25" s="216"/>
      <c r="G25" s="216"/>
      <c r="H25" s="199"/>
      <c r="I25" s="216"/>
      <c r="J25" s="216"/>
      <c r="K25" s="217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42">
        <v>277</v>
      </c>
      <c r="C26" s="21" t="s">
        <v>196</v>
      </c>
      <c r="D26" s="22" t="s">
        <v>635</v>
      </c>
      <c r="E26" s="323" t="s">
        <v>872</v>
      </c>
      <c r="F26" s="323"/>
      <c r="G26" s="389" t="s">
        <v>43</v>
      </c>
      <c r="H26" s="340" t="s">
        <v>969</v>
      </c>
      <c r="I26" s="5"/>
      <c r="J26" s="5"/>
      <c r="K26" s="14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42">
        <v>278</v>
      </c>
      <c r="C27" s="21" t="s">
        <v>197</v>
      </c>
      <c r="D27" s="22" t="s">
        <v>658</v>
      </c>
      <c r="E27" s="323" t="s">
        <v>872</v>
      </c>
      <c r="F27" s="323"/>
      <c r="G27" s="389" t="s">
        <v>53</v>
      </c>
      <c r="H27" s="312" t="s">
        <v>969</v>
      </c>
      <c r="I27" s="5"/>
      <c r="J27" s="5"/>
      <c r="K27" s="14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42">
        <v>287</v>
      </c>
      <c r="C28" s="21" t="s">
        <v>206</v>
      </c>
      <c r="D28" s="22" t="s">
        <v>636</v>
      </c>
      <c r="E28" s="323" t="s">
        <v>872</v>
      </c>
      <c r="F28" s="323"/>
      <c r="G28" s="389" t="s">
        <v>62</v>
      </c>
      <c r="H28" s="312" t="s">
        <v>969</v>
      </c>
      <c r="I28" s="5"/>
      <c r="J28" s="5"/>
      <c r="K28" s="14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42">
        <v>288</v>
      </c>
      <c r="C29" s="21" t="s">
        <v>207</v>
      </c>
      <c r="D29" s="22" t="s">
        <v>659</v>
      </c>
      <c r="E29" s="323" t="s">
        <v>872</v>
      </c>
      <c r="F29" s="323"/>
      <c r="G29" s="389" t="s">
        <v>72</v>
      </c>
      <c r="H29" s="312" t="s">
        <v>969</v>
      </c>
      <c r="I29" s="5"/>
      <c r="J29" s="5"/>
      <c r="K29" s="14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42">
        <v>297</v>
      </c>
      <c r="C30" s="21" t="s">
        <v>216</v>
      </c>
      <c r="D30" s="22" t="s">
        <v>637</v>
      </c>
      <c r="E30" s="323" t="s">
        <v>872</v>
      </c>
      <c r="F30" s="323"/>
      <c r="G30" s="389" t="s">
        <v>22</v>
      </c>
      <c r="H30" s="312" t="s">
        <v>969</v>
      </c>
      <c r="I30" s="5"/>
      <c r="J30" s="5"/>
      <c r="K30" s="14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42">
        <v>298</v>
      </c>
      <c r="C31" s="21" t="s">
        <v>217</v>
      </c>
      <c r="D31" s="22" t="s">
        <v>660</v>
      </c>
      <c r="E31" s="323" t="s">
        <v>872</v>
      </c>
      <c r="F31" s="323"/>
      <c r="G31" s="389" t="s">
        <v>32</v>
      </c>
      <c r="H31" s="312" t="s">
        <v>969</v>
      </c>
      <c r="I31" s="5"/>
      <c r="J31" s="5"/>
      <c r="K31" s="14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0">
        <v>307</v>
      </c>
      <c r="C32" s="261" t="s">
        <v>226</v>
      </c>
      <c r="D32" s="262" t="s">
        <v>638</v>
      </c>
      <c r="E32" s="325" t="s">
        <v>872</v>
      </c>
      <c r="F32" s="325"/>
      <c r="G32" s="386" t="s">
        <v>81</v>
      </c>
      <c r="H32" s="312" t="s">
        <v>969</v>
      </c>
      <c r="I32" s="212"/>
      <c r="J32" s="212"/>
      <c r="K32" s="263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0">
        <v>308</v>
      </c>
      <c r="C33" s="261" t="s">
        <v>227</v>
      </c>
      <c r="D33" s="262" t="s">
        <v>661</v>
      </c>
      <c r="E33" s="325" t="s">
        <v>872</v>
      </c>
      <c r="F33" s="325"/>
      <c r="G33" s="386" t="s">
        <v>91</v>
      </c>
      <c r="H33" s="312" t="s">
        <v>969</v>
      </c>
      <c r="I33" s="212"/>
      <c r="J33" s="212"/>
      <c r="K33" s="26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13">
        <v>317</v>
      </c>
      <c r="C34" s="214" t="s">
        <v>236</v>
      </c>
      <c r="D34" s="215" t="s">
        <v>639</v>
      </c>
      <c r="E34" s="359"/>
      <c r="F34" s="359"/>
      <c r="G34" s="359"/>
      <c r="H34" s="312"/>
      <c r="I34" s="216"/>
      <c r="J34" s="216"/>
      <c r="K34" s="217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13">
        <v>318</v>
      </c>
      <c r="C35" s="214" t="s">
        <v>237</v>
      </c>
      <c r="D35" s="215" t="s">
        <v>662</v>
      </c>
      <c r="E35" s="359"/>
      <c r="F35" s="359"/>
      <c r="G35" s="359"/>
      <c r="H35" s="312"/>
      <c r="I35" s="216"/>
      <c r="J35" s="216"/>
      <c r="K35" s="217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42">
        <v>279</v>
      </c>
      <c r="C36" s="21" t="s">
        <v>198</v>
      </c>
      <c r="D36" s="22" t="s">
        <v>679</v>
      </c>
      <c r="E36" s="323" t="s">
        <v>872</v>
      </c>
      <c r="F36" s="323"/>
      <c r="G36" s="389" t="s">
        <v>85</v>
      </c>
      <c r="H36" s="312" t="s">
        <v>969</v>
      </c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42">
        <v>280</v>
      </c>
      <c r="C37" s="21" t="s">
        <v>199</v>
      </c>
      <c r="D37" s="22" t="s">
        <v>701</v>
      </c>
      <c r="E37" s="323" t="s">
        <v>872</v>
      </c>
      <c r="F37" s="323"/>
      <c r="G37" s="389" t="s">
        <v>95</v>
      </c>
      <c r="H37" s="312" t="s">
        <v>969</v>
      </c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42">
        <v>289</v>
      </c>
      <c r="C38" s="21" t="s">
        <v>208</v>
      </c>
      <c r="D38" s="22" t="s">
        <v>680</v>
      </c>
      <c r="E38" s="323" t="s">
        <v>872</v>
      </c>
      <c r="F38" s="323"/>
      <c r="G38" s="389" t="s">
        <v>45</v>
      </c>
      <c r="H38" s="312" t="s">
        <v>969</v>
      </c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42">
        <v>290</v>
      </c>
      <c r="C39" s="21" t="s">
        <v>209</v>
      </c>
      <c r="D39" s="22" t="s">
        <v>702</v>
      </c>
      <c r="E39" s="323" t="s">
        <v>872</v>
      </c>
      <c r="F39" s="323"/>
      <c r="G39" s="389" t="s">
        <v>55</v>
      </c>
      <c r="H39" s="312" t="s">
        <v>969</v>
      </c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42">
        <v>299</v>
      </c>
      <c r="C40" s="21" t="s">
        <v>218</v>
      </c>
      <c r="D40" s="22" t="s">
        <v>681</v>
      </c>
      <c r="E40" s="323" t="s">
        <v>872</v>
      </c>
      <c r="F40" s="323"/>
      <c r="G40" s="389" t="s">
        <v>64</v>
      </c>
      <c r="H40" s="312" t="s">
        <v>969</v>
      </c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42">
        <v>300</v>
      </c>
      <c r="C41" s="21" t="s">
        <v>219</v>
      </c>
      <c r="D41" s="22" t="s">
        <v>703</v>
      </c>
      <c r="E41" s="323" t="s">
        <v>872</v>
      </c>
      <c r="F41" s="323"/>
      <c r="G41" s="389" t="s">
        <v>74</v>
      </c>
      <c r="H41" s="312" t="s">
        <v>969</v>
      </c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0">
        <v>309</v>
      </c>
      <c r="C42" s="261" t="s">
        <v>228</v>
      </c>
      <c r="D42" s="262" t="s">
        <v>682</v>
      </c>
      <c r="E42" s="325" t="s">
        <v>872</v>
      </c>
      <c r="F42" s="325"/>
      <c r="G42" s="386" t="s">
        <v>24</v>
      </c>
      <c r="H42" s="312" t="s">
        <v>969</v>
      </c>
      <c r="I42" s="212"/>
      <c r="J42" s="212"/>
      <c r="K42" s="263"/>
      <c r="L42" s="3"/>
    </row>
    <row r="43" spans="2:44" s="1" customFormat="1">
      <c r="B43" s="260">
        <v>310</v>
      </c>
      <c r="C43" s="261" t="s">
        <v>229</v>
      </c>
      <c r="D43" s="262" t="s">
        <v>704</v>
      </c>
      <c r="E43" s="325" t="s">
        <v>872</v>
      </c>
      <c r="F43" s="325"/>
      <c r="G43" s="386" t="s">
        <v>34</v>
      </c>
      <c r="H43" s="312" t="s">
        <v>969</v>
      </c>
      <c r="I43" s="212"/>
      <c r="J43" s="212"/>
      <c r="K43" s="263"/>
      <c r="L43" s="3"/>
    </row>
    <row r="44" spans="2:44" s="1" customFormat="1">
      <c r="B44" s="213">
        <v>319</v>
      </c>
      <c r="C44" s="214" t="s">
        <v>238</v>
      </c>
      <c r="D44" s="215" t="s">
        <v>683</v>
      </c>
      <c r="E44" s="199"/>
      <c r="F44" s="216"/>
      <c r="G44" s="359"/>
      <c r="H44" s="199"/>
      <c r="I44" s="216"/>
      <c r="J44" s="216"/>
      <c r="K44" s="217"/>
      <c r="L44" s="3"/>
    </row>
    <row r="45" spans="2:44" s="1" customFormat="1">
      <c r="B45" s="213">
        <v>320</v>
      </c>
      <c r="C45" s="214" t="s">
        <v>239</v>
      </c>
      <c r="D45" s="215" t="s">
        <v>705</v>
      </c>
      <c r="E45" s="199"/>
      <c r="F45" s="216"/>
      <c r="G45" s="216"/>
      <c r="H45" s="199"/>
      <c r="I45" s="216"/>
      <c r="J45" s="216"/>
      <c r="K45" s="217"/>
      <c r="L45" s="3"/>
    </row>
    <row r="46" spans="2:44" s="1" customFormat="1">
      <c r="B46" s="213">
        <v>37</v>
      </c>
      <c r="C46" s="214" t="s">
        <v>373</v>
      </c>
      <c r="D46" s="215" t="s">
        <v>622</v>
      </c>
      <c r="E46" s="199"/>
      <c r="F46" s="216"/>
      <c r="G46" s="216"/>
      <c r="H46" s="199"/>
      <c r="I46" s="216"/>
      <c r="J46" s="216"/>
      <c r="K46" s="217"/>
      <c r="L46" s="3"/>
    </row>
    <row r="47" spans="2:44" s="1" customFormat="1">
      <c r="B47" s="213">
        <v>27</v>
      </c>
      <c r="C47" s="214" t="s">
        <v>363</v>
      </c>
      <c r="D47" s="215" t="s">
        <v>623</v>
      </c>
      <c r="E47" s="199"/>
      <c r="F47" s="216"/>
      <c r="G47" s="216"/>
      <c r="H47" s="199"/>
      <c r="I47" s="216"/>
      <c r="J47" s="216"/>
      <c r="K47" s="217"/>
      <c r="L47" s="3"/>
    </row>
    <row r="48" spans="2:44">
      <c r="B48" s="213">
        <v>18</v>
      </c>
      <c r="C48" s="214" t="s">
        <v>354</v>
      </c>
      <c r="D48" s="215" t="s">
        <v>643</v>
      </c>
      <c r="E48" s="199"/>
      <c r="F48" s="216"/>
      <c r="G48" s="216"/>
      <c r="H48" s="199"/>
      <c r="I48" s="216"/>
      <c r="J48" s="216"/>
      <c r="K48" s="217"/>
    </row>
    <row r="49" spans="2:11">
      <c r="B49" s="213">
        <v>8</v>
      </c>
      <c r="C49" s="214" t="s">
        <v>344</v>
      </c>
      <c r="D49" s="215" t="s">
        <v>644</v>
      </c>
      <c r="E49" s="199"/>
      <c r="F49" s="216"/>
      <c r="G49" s="216"/>
      <c r="H49" s="199"/>
      <c r="I49" s="216"/>
      <c r="J49" s="216"/>
      <c r="K49" s="217"/>
    </row>
    <row r="50" spans="2:11">
      <c r="B50" s="213">
        <v>10</v>
      </c>
      <c r="C50" s="214" t="s">
        <v>346</v>
      </c>
      <c r="D50" s="215" t="s">
        <v>666</v>
      </c>
      <c r="E50" s="199"/>
      <c r="F50" s="216"/>
      <c r="G50" s="216"/>
      <c r="H50" s="199"/>
      <c r="I50" s="216"/>
      <c r="J50" s="216"/>
      <c r="K50" s="217"/>
    </row>
    <row r="51" spans="2:11">
      <c r="B51" s="213">
        <v>9</v>
      </c>
      <c r="C51" s="214" t="s">
        <v>345</v>
      </c>
      <c r="D51" s="215" t="s">
        <v>688</v>
      </c>
      <c r="E51" s="199"/>
      <c r="F51" s="216"/>
      <c r="G51" s="216"/>
      <c r="H51" s="199"/>
      <c r="I51" s="216"/>
      <c r="J51" s="216"/>
      <c r="K51" s="217"/>
    </row>
    <row r="52" spans="2:11">
      <c r="B52" s="213">
        <v>7</v>
      </c>
      <c r="C52" s="214" t="s">
        <v>343</v>
      </c>
      <c r="D52" s="215" t="s">
        <v>621</v>
      </c>
      <c r="E52" s="199"/>
      <c r="F52" s="216"/>
      <c r="G52" s="216"/>
      <c r="H52" s="199"/>
      <c r="I52" s="216"/>
      <c r="J52" s="216"/>
      <c r="K52" s="217"/>
    </row>
    <row r="53" spans="2:11">
      <c r="B53" s="213">
        <v>17</v>
      </c>
      <c r="C53" s="214" t="s">
        <v>353</v>
      </c>
      <c r="D53" s="215" t="s">
        <v>620</v>
      </c>
      <c r="E53" s="199"/>
      <c r="F53" s="216"/>
      <c r="G53" s="216"/>
      <c r="H53" s="199"/>
      <c r="I53" s="216"/>
      <c r="J53" s="216"/>
      <c r="K53" s="217"/>
    </row>
    <row r="54" spans="2:11">
      <c r="B54" s="213">
        <v>6</v>
      </c>
      <c r="C54" s="214" t="s">
        <v>342</v>
      </c>
      <c r="D54" s="215" t="s">
        <v>611</v>
      </c>
      <c r="E54" s="199"/>
      <c r="F54" s="216"/>
      <c r="G54" s="216"/>
      <c r="H54" s="199"/>
      <c r="I54" s="216"/>
      <c r="J54" s="216"/>
      <c r="K54" s="217"/>
    </row>
    <row r="55" spans="2:11">
      <c r="B55" s="213">
        <v>16</v>
      </c>
      <c r="C55" s="214" t="s">
        <v>352</v>
      </c>
      <c r="D55" s="215" t="s">
        <v>610</v>
      </c>
      <c r="E55" s="199"/>
      <c r="F55" s="216"/>
      <c r="G55" s="216"/>
      <c r="H55" s="199"/>
      <c r="I55" s="216"/>
      <c r="J55" s="216"/>
      <c r="K55" s="217"/>
    </row>
    <row r="56" spans="2:11">
      <c r="B56" s="213">
        <v>60</v>
      </c>
      <c r="C56" s="214" t="s">
        <v>396</v>
      </c>
      <c r="D56" s="259" t="s">
        <v>669</v>
      </c>
      <c r="E56" s="199"/>
      <c r="F56" s="216"/>
      <c r="G56" s="216"/>
      <c r="H56" s="199"/>
      <c r="I56" s="216"/>
      <c r="J56" s="216"/>
      <c r="K56" s="217"/>
    </row>
    <row r="57" spans="2:11">
      <c r="B57" s="213">
        <v>59</v>
      </c>
      <c r="C57" s="214" t="s">
        <v>395</v>
      </c>
      <c r="D57" s="259" t="s">
        <v>691</v>
      </c>
      <c r="E57" s="199"/>
      <c r="F57" s="216"/>
      <c r="G57" s="216"/>
      <c r="H57" s="199"/>
      <c r="I57" s="216"/>
      <c r="J57" s="216"/>
      <c r="K57" s="217"/>
    </row>
    <row r="58" spans="2:11">
      <c r="B58" s="213">
        <v>28</v>
      </c>
      <c r="C58" s="214" t="s">
        <v>364</v>
      </c>
      <c r="D58" s="215" t="s">
        <v>646</v>
      </c>
      <c r="E58" s="199"/>
      <c r="F58" s="216"/>
      <c r="G58" s="216"/>
      <c r="H58" s="199"/>
      <c r="I58" s="216"/>
      <c r="J58" s="216"/>
      <c r="K58" s="217"/>
    </row>
    <row r="59" spans="2:11">
      <c r="B59" s="213">
        <v>38</v>
      </c>
      <c r="C59" s="214" t="s">
        <v>374</v>
      </c>
      <c r="D59" s="215" t="s">
        <v>645</v>
      </c>
      <c r="E59" s="199"/>
      <c r="F59" s="216"/>
      <c r="G59" s="216"/>
      <c r="H59" s="199"/>
      <c r="I59" s="216"/>
      <c r="J59" s="216"/>
      <c r="K59" s="217"/>
    </row>
    <row r="60" spans="2:11">
      <c r="B60" s="213">
        <v>49</v>
      </c>
      <c r="C60" s="214" t="s">
        <v>385</v>
      </c>
      <c r="D60" s="259" t="s">
        <v>690</v>
      </c>
      <c r="E60" s="199"/>
      <c r="F60" s="216"/>
      <c r="G60" s="216"/>
      <c r="H60" s="199"/>
      <c r="I60" s="216"/>
      <c r="J60" s="216"/>
      <c r="K60" s="217"/>
    </row>
    <row r="61" spans="2:11">
      <c r="B61" s="213">
        <v>50</v>
      </c>
      <c r="C61" s="214" t="s">
        <v>386</v>
      </c>
      <c r="D61" s="259" t="s">
        <v>668</v>
      </c>
      <c r="E61" s="199"/>
      <c r="F61" s="216"/>
      <c r="G61" s="216"/>
      <c r="H61" s="199"/>
      <c r="I61" s="216"/>
      <c r="J61" s="216"/>
      <c r="K61" s="217"/>
    </row>
    <row r="62" spans="2:11">
      <c r="B62" s="213">
        <v>19</v>
      </c>
      <c r="C62" s="214" t="s">
        <v>355</v>
      </c>
      <c r="D62" s="215" t="s">
        <v>689</v>
      </c>
      <c r="E62" s="199"/>
      <c r="F62" s="216"/>
      <c r="G62" s="216"/>
      <c r="H62" s="199"/>
      <c r="I62" s="216"/>
      <c r="J62" s="216"/>
      <c r="K62" s="217"/>
    </row>
    <row r="63" spans="2:11">
      <c r="B63" s="213">
        <v>20</v>
      </c>
      <c r="C63" s="214" t="s">
        <v>356</v>
      </c>
      <c r="D63" s="215" t="s">
        <v>667</v>
      </c>
      <c r="E63" s="199"/>
      <c r="F63" s="216"/>
      <c r="G63" s="216"/>
      <c r="H63" s="199"/>
      <c r="I63" s="216"/>
      <c r="J63" s="216"/>
      <c r="K63" s="217"/>
    </row>
    <row r="64" spans="2:11">
      <c r="B64" s="213">
        <v>26</v>
      </c>
      <c r="C64" s="214" t="s">
        <v>362</v>
      </c>
      <c r="D64" s="215" t="s">
        <v>613</v>
      </c>
      <c r="E64" s="199"/>
      <c r="F64" s="216"/>
      <c r="G64" s="216"/>
      <c r="H64" s="199"/>
      <c r="I64" s="216"/>
      <c r="J64" s="216"/>
      <c r="K64" s="217"/>
    </row>
    <row r="65" spans="2:11">
      <c r="B65" s="213">
        <v>36</v>
      </c>
      <c r="C65" s="214" t="s">
        <v>372</v>
      </c>
      <c r="D65" s="215" t="s">
        <v>612</v>
      </c>
      <c r="E65" s="199"/>
      <c r="F65" s="216"/>
      <c r="G65" s="216"/>
      <c r="H65" s="199"/>
      <c r="I65" s="216"/>
      <c r="J65" s="216"/>
      <c r="K65" s="217"/>
    </row>
    <row r="66" spans="2:11">
      <c r="B66" s="213">
        <v>118</v>
      </c>
      <c r="C66" s="214" t="s">
        <v>37</v>
      </c>
      <c r="D66" s="215" t="s">
        <v>624</v>
      </c>
      <c r="E66" s="199"/>
      <c r="F66" s="216"/>
      <c r="G66" s="216"/>
      <c r="H66" s="199"/>
      <c r="I66" s="216"/>
      <c r="J66" s="216"/>
      <c r="K66" s="217"/>
    </row>
    <row r="67" spans="2:11">
      <c r="B67" s="213">
        <v>117</v>
      </c>
      <c r="C67" s="214" t="s">
        <v>36</v>
      </c>
      <c r="D67" s="215" t="s">
        <v>647</v>
      </c>
      <c r="E67" s="199"/>
      <c r="F67" s="216"/>
      <c r="G67" s="216"/>
      <c r="H67" s="199"/>
      <c r="I67" s="216"/>
      <c r="J67" s="216"/>
      <c r="K67" s="217"/>
    </row>
    <row r="68" spans="2:11">
      <c r="B68" s="213">
        <v>148</v>
      </c>
      <c r="C68" s="214" t="s">
        <v>67</v>
      </c>
      <c r="D68" s="215" t="s">
        <v>626</v>
      </c>
      <c r="E68" s="199"/>
      <c r="F68" s="216"/>
      <c r="G68" s="216"/>
      <c r="H68" s="199"/>
      <c r="I68" s="216"/>
      <c r="J68" s="216"/>
      <c r="K68" s="217"/>
    </row>
    <row r="69" spans="2:11">
      <c r="B69" s="213">
        <v>147</v>
      </c>
      <c r="C69" s="214" t="s">
        <v>66</v>
      </c>
      <c r="D69" s="215" t="s">
        <v>649</v>
      </c>
      <c r="E69" s="199"/>
      <c r="F69" s="216"/>
      <c r="G69" s="216"/>
      <c r="H69" s="199"/>
      <c r="I69" s="216"/>
      <c r="J69" s="216"/>
      <c r="K69" s="217"/>
    </row>
    <row r="70" spans="2:11">
      <c r="B70" s="213">
        <v>168</v>
      </c>
      <c r="C70" s="214" t="s">
        <v>87</v>
      </c>
      <c r="D70" s="215" t="s">
        <v>628</v>
      </c>
      <c r="E70" s="199"/>
      <c r="F70" s="216"/>
      <c r="G70" s="216"/>
      <c r="H70" s="199"/>
      <c r="I70" s="216"/>
      <c r="J70" s="216"/>
      <c r="K70" s="217"/>
    </row>
    <row r="71" spans="2:11">
      <c r="B71" s="213">
        <v>167</v>
      </c>
      <c r="C71" s="214" t="s">
        <v>86</v>
      </c>
      <c r="D71" s="215" t="s">
        <v>651</v>
      </c>
      <c r="E71" s="199"/>
      <c r="F71" s="216"/>
      <c r="G71" s="216"/>
      <c r="H71" s="199"/>
      <c r="I71" s="216"/>
      <c r="J71" s="216"/>
      <c r="K71" s="217"/>
    </row>
    <row r="72" spans="2:11">
      <c r="B72" s="213">
        <v>170</v>
      </c>
      <c r="C72" s="214" t="s">
        <v>89</v>
      </c>
      <c r="D72" s="215" t="s">
        <v>674</v>
      </c>
      <c r="E72" s="199"/>
      <c r="F72" s="216"/>
      <c r="G72" s="216"/>
      <c r="H72" s="199"/>
      <c r="I72" s="216"/>
      <c r="J72" s="216"/>
      <c r="K72" s="217"/>
    </row>
    <row r="73" spans="2:11">
      <c r="B73" s="213">
        <v>169</v>
      </c>
      <c r="C73" s="214" t="s">
        <v>88</v>
      </c>
      <c r="D73" s="215" t="s">
        <v>696</v>
      </c>
      <c r="E73" s="199"/>
      <c r="F73" s="216"/>
      <c r="G73" s="216"/>
      <c r="H73" s="199"/>
      <c r="I73" s="216"/>
      <c r="J73" s="216"/>
      <c r="K73" s="217"/>
    </row>
    <row r="74" spans="2:11">
      <c r="B74" s="213">
        <v>158</v>
      </c>
      <c r="C74" s="214" t="s">
        <v>77</v>
      </c>
      <c r="D74" s="215" t="s">
        <v>627</v>
      </c>
      <c r="E74" s="199"/>
      <c r="F74" s="216"/>
      <c r="G74" s="216"/>
      <c r="H74" s="199"/>
      <c r="I74" s="216"/>
      <c r="J74" s="216"/>
      <c r="K74" s="217"/>
    </row>
    <row r="75" spans="2:11">
      <c r="B75" s="213">
        <v>157</v>
      </c>
      <c r="C75" s="214" t="s">
        <v>76</v>
      </c>
      <c r="D75" s="215" t="s">
        <v>650</v>
      </c>
      <c r="E75" s="199"/>
      <c r="F75" s="216"/>
      <c r="G75" s="216"/>
      <c r="H75" s="199"/>
      <c r="I75" s="216"/>
      <c r="J75" s="216"/>
      <c r="K75" s="217"/>
    </row>
    <row r="76" spans="2:11">
      <c r="B76" s="213">
        <v>129</v>
      </c>
      <c r="C76" s="214" t="s">
        <v>48</v>
      </c>
      <c r="D76" s="215" t="s">
        <v>692</v>
      </c>
      <c r="E76" s="199"/>
      <c r="F76" s="216"/>
      <c r="G76" s="216"/>
      <c r="H76" s="199"/>
      <c r="I76" s="216"/>
      <c r="J76" s="216"/>
      <c r="K76" s="217"/>
    </row>
    <row r="77" spans="2:11">
      <c r="B77" s="213">
        <v>130</v>
      </c>
      <c r="C77" s="214" t="s">
        <v>49</v>
      </c>
      <c r="D77" s="215" t="s">
        <v>670</v>
      </c>
      <c r="E77" s="199"/>
      <c r="F77" s="216"/>
      <c r="G77" s="216"/>
      <c r="H77" s="199"/>
      <c r="I77" s="216"/>
      <c r="J77" s="216"/>
      <c r="K77" s="217"/>
    </row>
    <row r="78" spans="2:11">
      <c r="B78" s="213">
        <v>139</v>
      </c>
      <c r="C78" s="214" t="s">
        <v>58</v>
      </c>
      <c r="D78" s="215" t="s">
        <v>693</v>
      </c>
      <c r="E78" s="199"/>
      <c r="F78" s="216"/>
      <c r="G78" s="216"/>
      <c r="H78" s="199"/>
      <c r="I78" s="216"/>
      <c r="J78" s="216"/>
      <c r="K78" s="217"/>
    </row>
    <row r="79" spans="2:11">
      <c r="B79" s="213">
        <v>140</v>
      </c>
      <c r="C79" s="214" t="s">
        <v>59</v>
      </c>
      <c r="D79" s="215" t="s">
        <v>671</v>
      </c>
      <c r="E79" s="199"/>
      <c r="F79" s="216"/>
      <c r="G79" s="216"/>
      <c r="H79" s="199"/>
      <c r="I79" s="216"/>
      <c r="J79" s="216"/>
      <c r="K79" s="217"/>
    </row>
    <row r="80" spans="2:11">
      <c r="B80" s="213">
        <v>138</v>
      </c>
      <c r="C80" s="214" t="s">
        <v>57</v>
      </c>
      <c r="D80" s="215" t="s">
        <v>625</v>
      </c>
      <c r="E80" s="199"/>
      <c r="F80" s="216"/>
      <c r="G80" s="216"/>
      <c r="H80" s="199"/>
      <c r="I80" s="216"/>
      <c r="J80" s="216"/>
      <c r="K80" s="217"/>
    </row>
    <row r="81" spans="2:11">
      <c r="B81" s="213">
        <v>137</v>
      </c>
      <c r="C81" s="214" t="s">
        <v>56</v>
      </c>
      <c r="D81" s="215" t="s">
        <v>648</v>
      </c>
      <c r="E81" s="199"/>
      <c r="F81" s="216"/>
      <c r="G81" s="216"/>
      <c r="H81" s="199"/>
      <c r="I81" s="216"/>
      <c r="J81" s="216"/>
      <c r="K81" s="217"/>
    </row>
    <row r="82" spans="2:11">
      <c r="B82" s="213">
        <v>150</v>
      </c>
      <c r="C82" s="214" t="s">
        <v>69</v>
      </c>
      <c r="D82" s="215" t="s">
        <v>672</v>
      </c>
      <c r="E82" s="199"/>
      <c r="F82" s="216"/>
      <c r="G82" s="216"/>
      <c r="H82" s="199"/>
      <c r="I82" s="216"/>
      <c r="J82" s="216"/>
      <c r="K82" s="217"/>
    </row>
    <row r="83" spans="2:11">
      <c r="B83" s="213">
        <v>149</v>
      </c>
      <c r="C83" s="214" t="s">
        <v>68</v>
      </c>
      <c r="D83" s="215" t="s">
        <v>694</v>
      </c>
      <c r="E83" s="199"/>
      <c r="F83" s="216"/>
      <c r="G83" s="216"/>
      <c r="H83" s="199"/>
      <c r="I83" s="216"/>
      <c r="J83" s="216"/>
      <c r="K83" s="217"/>
    </row>
    <row r="84" spans="2:11">
      <c r="B84" s="213">
        <v>160</v>
      </c>
      <c r="C84" s="214" t="s">
        <v>79</v>
      </c>
      <c r="D84" s="215" t="s">
        <v>673</v>
      </c>
      <c r="E84" s="199"/>
      <c r="F84" s="216"/>
      <c r="G84" s="216"/>
      <c r="H84" s="199"/>
      <c r="I84" s="216"/>
      <c r="J84" s="216"/>
      <c r="K84" s="217"/>
    </row>
    <row r="85" spans="2:11">
      <c r="B85" s="213">
        <v>159</v>
      </c>
      <c r="C85" s="214" t="s">
        <v>78</v>
      </c>
      <c r="D85" s="215" t="s">
        <v>695</v>
      </c>
      <c r="E85" s="199"/>
      <c r="F85" s="216"/>
      <c r="G85" s="216"/>
      <c r="H85" s="199"/>
      <c r="I85" s="216"/>
      <c r="J85" s="216"/>
      <c r="K85" s="217"/>
    </row>
    <row r="86" spans="2:11">
      <c r="B86" s="213">
        <v>128</v>
      </c>
      <c r="C86" s="214" t="s">
        <v>47</v>
      </c>
      <c r="D86" s="215" t="s">
        <v>507</v>
      </c>
      <c r="E86" s="199"/>
      <c r="F86" s="216"/>
      <c r="G86" s="216"/>
      <c r="H86" s="199"/>
      <c r="I86" s="216"/>
      <c r="J86" s="216"/>
      <c r="K86" s="217"/>
    </row>
    <row r="87" spans="2:11">
      <c r="B87" s="213">
        <v>127</v>
      </c>
      <c r="C87" s="214" t="s">
        <v>46</v>
      </c>
      <c r="D87" s="215" t="s">
        <v>497</v>
      </c>
      <c r="E87" s="199"/>
      <c r="F87" s="216"/>
      <c r="G87" s="216"/>
      <c r="H87" s="199"/>
      <c r="I87" s="216"/>
      <c r="J87" s="216"/>
      <c r="K87" s="217"/>
    </row>
    <row r="88" spans="2:11">
      <c r="B88" s="213">
        <v>79</v>
      </c>
      <c r="C88" s="214" t="s">
        <v>415</v>
      </c>
      <c r="D88" s="259" t="s">
        <v>490</v>
      </c>
      <c r="E88" s="199"/>
      <c r="F88" s="216"/>
      <c r="G88" s="216"/>
      <c r="H88" s="199"/>
      <c r="I88" s="216"/>
      <c r="J88" s="216"/>
      <c r="K88" s="217"/>
    </row>
    <row r="89" spans="2:11">
      <c r="B89" s="213">
        <v>78</v>
      </c>
      <c r="C89" s="214" t="s">
        <v>414</v>
      </c>
      <c r="D89" s="259" t="s">
        <v>498</v>
      </c>
      <c r="E89" s="199"/>
      <c r="F89" s="216"/>
      <c r="G89" s="216"/>
      <c r="H89" s="199"/>
      <c r="I89" s="216"/>
      <c r="J89" s="216"/>
      <c r="K89" s="217"/>
    </row>
    <row r="90" spans="2:11">
      <c r="B90" s="213">
        <v>88</v>
      </c>
      <c r="C90" s="214" t="s">
        <v>424</v>
      </c>
      <c r="D90" s="215" t="s">
        <v>499</v>
      </c>
      <c r="E90" s="199"/>
      <c r="F90" s="216"/>
      <c r="G90" s="216"/>
      <c r="H90" s="199"/>
      <c r="I90" s="216"/>
      <c r="J90" s="216"/>
      <c r="K90" s="217"/>
    </row>
    <row r="91" spans="2:11">
      <c r="B91" s="213">
        <v>89</v>
      </c>
      <c r="C91" s="214" t="s">
        <v>425</v>
      </c>
      <c r="D91" s="215" t="s">
        <v>491</v>
      </c>
      <c r="E91" s="199"/>
      <c r="F91" s="216"/>
      <c r="G91" s="216"/>
      <c r="H91" s="199"/>
      <c r="I91" s="216"/>
      <c r="J91" s="216"/>
      <c r="K91" s="217"/>
    </row>
    <row r="92" spans="2:11">
      <c r="B92" s="213">
        <v>47</v>
      </c>
      <c r="C92" s="214" t="s">
        <v>383</v>
      </c>
      <c r="D92" s="259" t="s">
        <v>474</v>
      </c>
      <c r="E92" s="199"/>
      <c r="F92" s="216"/>
      <c r="G92" s="216"/>
      <c r="H92" s="199"/>
      <c r="I92" s="216"/>
      <c r="J92" s="216"/>
      <c r="K92" s="217"/>
    </row>
    <row r="93" spans="2:11">
      <c r="B93" s="213">
        <v>57</v>
      </c>
      <c r="C93" s="214" t="s">
        <v>393</v>
      </c>
      <c r="D93" s="259" t="s">
        <v>474</v>
      </c>
      <c r="E93" s="199"/>
      <c r="F93" s="216"/>
      <c r="G93" s="216"/>
      <c r="H93" s="199"/>
      <c r="I93" s="216"/>
      <c r="J93" s="216"/>
      <c r="K93" s="217"/>
    </row>
    <row r="94" spans="2:11">
      <c r="B94" s="213">
        <v>67</v>
      </c>
      <c r="C94" s="214" t="s">
        <v>403</v>
      </c>
      <c r="D94" s="259" t="s">
        <v>474</v>
      </c>
      <c r="E94" s="199"/>
      <c r="F94" s="216"/>
      <c r="G94" s="216"/>
      <c r="H94" s="199"/>
      <c r="I94" s="216"/>
      <c r="J94" s="216"/>
      <c r="K94" s="217"/>
    </row>
    <row r="95" spans="2:11">
      <c r="B95" s="213">
        <v>77</v>
      </c>
      <c r="C95" s="214" t="s">
        <v>413</v>
      </c>
      <c r="D95" s="259" t="s">
        <v>474</v>
      </c>
      <c r="E95" s="199"/>
      <c r="F95" s="216"/>
      <c r="G95" s="216"/>
      <c r="H95" s="199"/>
      <c r="I95" s="216"/>
      <c r="J95" s="216"/>
      <c r="K95" s="217"/>
    </row>
    <row r="96" spans="2:11">
      <c r="B96" s="213">
        <v>87</v>
      </c>
      <c r="C96" s="214" t="s">
        <v>423</v>
      </c>
      <c r="D96" s="215" t="s">
        <v>474</v>
      </c>
      <c r="E96" s="199"/>
      <c r="F96" s="216"/>
      <c r="G96" s="216"/>
      <c r="H96" s="199"/>
      <c r="I96" s="216"/>
      <c r="J96" s="216"/>
      <c r="K96" s="217"/>
    </row>
    <row r="97" spans="2:11">
      <c r="B97" s="213">
        <v>48</v>
      </c>
      <c r="C97" s="214" t="s">
        <v>384</v>
      </c>
      <c r="D97" s="259" t="s">
        <v>474</v>
      </c>
      <c r="E97" s="199"/>
      <c r="F97" s="216"/>
      <c r="G97" s="216"/>
      <c r="H97" s="199"/>
      <c r="I97" s="216"/>
      <c r="J97" s="216"/>
      <c r="K97" s="217"/>
    </row>
    <row r="98" spans="2:11">
      <c r="B98" s="213">
        <v>58</v>
      </c>
      <c r="C98" s="214" t="s">
        <v>394</v>
      </c>
      <c r="D98" s="259" t="s">
        <v>474</v>
      </c>
      <c r="E98" s="199"/>
      <c r="F98" s="216"/>
      <c r="G98" s="216"/>
      <c r="H98" s="199"/>
      <c r="I98" s="216"/>
      <c r="J98" s="216"/>
      <c r="K98" s="217"/>
    </row>
    <row r="99" spans="2:11">
      <c r="B99" s="213">
        <v>68</v>
      </c>
      <c r="C99" s="214" t="s">
        <v>404</v>
      </c>
      <c r="D99" s="259" t="s">
        <v>474</v>
      </c>
      <c r="E99" s="199"/>
      <c r="F99" s="216"/>
      <c r="G99" s="216"/>
      <c r="H99" s="199"/>
      <c r="I99" s="216"/>
      <c r="J99" s="216"/>
      <c r="K99" s="217"/>
    </row>
    <row r="100" spans="2:11">
      <c r="B100" s="213">
        <v>69</v>
      </c>
      <c r="C100" s="214" t="s">
        <v>405</v>
      </c>
      <c r="D100" s="259" t="s">
        <v>474</v>
      </c>
      <c r="E100" s="199"/>
      <c r="F100" s="216"/>
      <c r="G100" s="216"/>
      <c r="H100" s="199"/>
      <c r="I100" s="216"/>
      <c r="J100" s="216"/>
      <c r="K100" s="217"/>
    </row>
    <row r="101" spans="2:11">
      <c r="B101" s="213">
        <v>70</v>
      </c>
      <c r="C101" s="214" t="s">
        <v>406</v>
      </c>
      <c r="D101" s="259" t="s">
        <v>508</v>
      </c>
      <c r="E101" s="199"/>
      <c r="F101" s="216"/>
      <c r="G101" s="216"/>
      <c r="H101" s="199"/>
      <c r="I101" s="216"/>
      <c r="J101" s="216"/>
      <c r="K101" s="217"/>
    </row>
    <row r="102" spans="2:11">
      <c r="B102" s="213">
        <v>80</v>
      </c>
      <c r="C102" s="214" t="s">
        <v>416</v>
      </c>
      <c r="D102" s="259" t="s">
        <v>510</v>
      </c>
      <c r="E102" s="199"/>
      <c r="F102" s="216"/>
      <c r="G102" s="216"/>
      <c r="H102" s="199"/>
      <c r="I102" s="216"/>
      <c r="J102" s="216"/>
      <c r="K102" s="217"/>
    </row>
    <row r="103" spans="2:11">
      <c r="B103" s="213">
        <v>90</v>
      </c>
      <c r="C103" s="214" t="s">
        <v>426</v>
      </c>
      <c r="D103" s="215" t="s">
        <v>509</v>
      </c>
      <c r="E103" s="199"/>
      <c r="F103" s="216"/>
      <c r="G103" s="216"/>
      <c r="H103" s="199"/>
      <c r="I103" s="216"/>
      <c r="J103" s="216"/>
      <c r="K103" s="217"/>
    </row>
    <row r="104" spans="2:11">
      <c r="B104" s="213">
        <v>106</v>
      </c>
      <c r="C104" s="214" t="s">
        <v>25</v>
      </c>
      <c r="D104" s="215" t="s">
        <v>482</v>
      </c>
      <c r="E104" s="199"/>
      <c r="F104" s="216"/>
      <c r="G104" s="216"/>
      <c r="H104" s="199"/>
      <c r="I104" s="216"/>
      <c r="J104" s="216"/>
      <c r="K104" s="217"/>
    </row>
    <row r="105" spans="2:11">
      <c r="B105" s="213">
        <v>116</v>
      </c>
      <c r="C105" s="214" t="s">
        <v>35</v>
      </c>
      <c r="D105" s="215" t="s">
        <v>482</v>
      </c>
      <c r="E105" s="199"/>
      <c r="F105" s="216"/>
      <c r="G105" s="216"/>
      <c r="H105" s="199"/>
      <c r="I105" s="216"/>
      <c r="J105" s="216"/>
      <c r="K105" s="217"/>
    </row>
    <row r="106" spans="2:11">
      <c r="B106" s="213">
        <v>126</v>
      </c>
      <c r="C106" s="214" t="s">
        <v>45</v>
      </c>
      <c r="D106" s="215" t="s">
        <v>482</v>
      </c>
      <c r="E106" s="199"/>
      <c r="F106" s="216"/>
      <c r="G106" s="216"/>
      <c r="H106" s="199"/>
      <c r="I106" s="216"/>
      <c r="J106" s="216"/>
      <c r="K106" s="217"/>
    </row>
    <row r="107" spans="2:11">
      <c r="B107" s="213">
        <v>136</v>
      </c>
      <c r="C107" s="214" t="s">
        <v>55</v>
      </c>
      <c r="D107" s="215" t="s">
        <v>482</v>
      </c>
      <c r="E107" s="199"/>
      <c r="F107" s="216"/>
      <c r="G107" s="216"/>
      <c r="H107" s="199"/>
      <c r="I107" s="216"/>
      <c r="J107" s="216"/>
      <c r="K107" s="217"/>
    </row>
    <row r="108" spans="2:11">
      <c r="B108" s="213">
        <v>97</v>
      </c>
      <c r="C108" s="214" t="s">
        <v>9</v>
      </c>
      <c r="D108" s="215" t="s">
        <v>482</v>
      </c>
      <c r="E108" s="199"/>
      <c r="F108" s="216"/>
      <c r="G108" s="216"/>
      <c r="H108" s="199"/>
      <c r="I108" s="216"/>
      <c r="J108" s="216"/>
      <c r="K108" s="217"/>
    </row>
    <row r="109" spans="2:11">
      <c r="B109" s="213">
        <v>107</v>
      </c>
      <c r="C109" s="214" t="s">
        <v>26</v>
      </c>
      <c r="D109" s="215" t="s">
        <v>482</v>
      </c>
      <c r="E109" s="199"/>
      <c r="F109" s="216"/>
      <c r="G109" s="216"/>
      <c r="H109" s="199"/>
      <c r="I109" s="216"/>
      <c r="J109" s="216"/>
      <c r="K109" s="217"/>
    </row>
    <row r="110" spans="2:11">
      <c r="B110" s="213">
        <v>98</v>
      </c>
      <c r="C110" s="214" t="s">
        <v>10</v>
      </c>
      <c r="D110" s="215" t="s">
        <v>482</v>
      </c>
      <c r="E110" s="199"/>
      <c r="F110" s="216"/>
      <c r="G110" s="216"/>
      <c r="H110" s="199"/>
      <c r="I110" s="216"/>
      <c r="J110" s="216"/>
      <c r="K110" s="217"/>
    </row>
    <row r="111" spans="2:11">
      <c r="B111" s="213">
        <v>108</v>
      </c>
      <c r="C111" s="214" t="s">
        <v>27</v>
      </c>
      <c r="D111" s="215" t="s">
        <v>482</v>
      </c>
      <c r="E111" s="199"/>
      <c r="F111" s="216"/>
      <c r="G111" s="216"/>
      <c r="H111" s="199"/>
      <c r="I111" s="216"/>
      <c r="J111" s="216"/>
      <c r="K111" s="217"/>
    </row>
    <row r="112" spans="2:11">
      <c r="B112" s="213">
        <v>109</v>
      </c>
      <c r="C112" s="214" t="s">
        <v>28</v>
      </c>
      <c r="D112" s="215" t="s">
        <v>482</v>
      </c>
      <c r="E112" s="199"/>
      <c r="F112" s="216"/>
      <c r="G112" s="216"/>
      <c r="H112" s="199"/>
      <c r="I112" s="216"/>
      <c r="J112" s="216"/>
      <c r="K112" s="217"/>
    </row>
    <row r="113" spans="2:11">
      <c r="B113" s="213">
        <v>100</v>
      </c>
      <c r="C113" s="214" t="s">
        <v>12</v>
      </c>
      <c r="D113" s="215" t="s">
        <v>482</v>
      </c>
      <c r="E113" s="199"/>
      <c r="F113" s="216"/>
      <c r="G113" s="216"/>
      <c r="H113" s="199"/>
      <c r="I113" s="216"/>
      <c r="J113" s="216"/>
      <c r="K113" s="217"/>
    </row>
    <row r="114" spans="2:11">
      <c r="B114" s="213">
        <v>110</v>
      </c>
      <c r="C114" s="214" t="s">
        <v>29</v>
      </c>
      <c r="D114" s="215" t="s">
        <v>482</v>
      </c>
      <c r="E114" s="199"/>
      <c r="F114" s="216"/>
      <c r="G114" s="216"/>
      <c r="H114" s="199"/>
      <c r="I114" s="216"/>
      <c r="J114" s="216"/>
      <c r="K114" s="217"/>
    </row>
    <row r="115" spans="2:11">
      <c r="B115" s="213">
        <v>30</v>
      </c>
      <c r="C115" s="214" t="s">
        <v>366</v>
      </c>
      <c r="D115" s="215" t="s">
        <v>511</v>
      </c>
      <c r="E115" s="199"/>
      <c r="F115" s="216"/>
      <c r="G115" s="216"/>
      <c r="H115" s="199"/>
      <c r="I115" s="216"/>
      <c r="J115" s="216"/>
      <c r="K115" s="217"/>
    </row>
    <row r="116" spans="2:11">
      <c r="B116" s="213">
        <v>29</v>
      </c>
      <c r="C116" s="214" t="s">
        <v>365</v>
      </c>
      <c r="D116" s="215" t="s">
        <v>500</v>
      </c>
      <c r="E116" s="199"/>
      <c r="F116" s="216"/>
      <c r="G116" s="216"/>
      <c r="H116" s="199"/>
      <c r="I116" s="216"/>
      <c r="J116" s="216"/>
      <c r="K116" s="217"/>
    </row>
    <row r="117" spans="2:11">
      <c r="B117" s="213">
        <v>39</v>
      </c>
      <c r="C117" s="214" t="s">
        <v>375</v>
      </c>
      <c r="D117" s="215" t="s">
        <v>483</v>
      </c>
      <c r="E117" s="199"/>
      <c r="F117" s="216"/>
      <c r="G117" s="216"/>
      <c r="H117" s="199"/>
      <c r="I117" s="216"/>
      <c r="J117" s="216"/>
      <c r="K117" s="217"/>
    </row>
    <row r="118" spans="2:11">
      <c r="B118" s="213">
        <v>40</v>
      </c>
      <c r="C118" s="214" t="s">
        <v>376</v>
      </c>
      <c r="D118" s="215" t="s">
        <v>492</v>
      </c>
      <c r="E118" s="199"/>
      <c r="F118" s="216"/>
      <c r="G118" s="216"/>
      <c r="H118" s="199"/>
      <c r="I118" s="216"/>
      <c r="J118" s="216"/>
      <c r="K118" s="217"/>
    </row>
    <row r="119" spans="2:11">
      <c r="B119" s="213">
        <v>119</v>
      </c>
      <c r="C119" s="214" t="s">
        <v>38</v>
      </c>
      <c r="D119" s="215" t="s">
        <v>506</v>
      </c>
      <c r="E119" s="199"/>
      <c r="F119" s="216"/>
      <c r="G119" s="216"/>
      <c r="H119" s="199"/>
      <c r="I119" s="216"/>
      <c r="J119" s="216"/>
      <c r="K119" s="217"/>
    </row>
    <row r="120" spans="2:11">
      <c r="B120" s="213">
        <v>120</v>
      </c>
      <c r="C120" s="214" t="s">
        <v>39</v>
      </c>
      <c r="D120" s="215" t="s">
        <v>496</v>
      </c>
      <c r="E120" s="199"/>
      <c r="F120" s="216"/>
      <c r="G120" s="216"/>
      <c r="H120" s="199"/>
      <c r="I120" s="216"/>
      <c r="J120" s="216"/>
      <c r="K120" s="217"/>
    </row>
    <row r="121" spans="2:11">
      <c r="B121" s="42">
        <v>267</v>
      </c>
      <c r="C121" s="21" t="s">
        <v>186</v>
      </c>
      <c r="D121" s="327" t="s">
        <v>485</v>
      </c>
      <c r="E121" s="323" t="s">
        <v>872</v>
      </c>
      <c r="F121" s="5"/>
      <c r="G121" s="320" t="s">
        <v>306</v>
      </c>
      <c r="H121" s="5"/>
      <c r="I121" s="5"/>
      <c r="J121" s="5"/>
      <c r="K121" s="14"/>
    </row>
    <row r="122" spans="2:11">
      <c r="B122" s="42">
        <v>268</v>
      </c>
      <c r="C122" s="21" t="s">
        <v>187</v>
      </c>
      <c r="D122" s="327" t="s">
        <v>494</v>
      </c>
      <c r="E122" s="323" t="s">
        <v>872</v>
      </c>
      <c r="F122" s="5"/>
      <c r="G122" s="320" t="s">
        <v>316</v>
      </c>
      <c r="H122" s="5"/>
      <c r="I122" s="5"/>
      <c r="J122" s="5"/>
      <c r="K122" s="14"/>
    </row>
    <row r="123" spans="2:11">
      <c r="B123" s="42">
        <v>258</v>
      </c>
      <c r="C123" s="21" t="s">
        <v>177</v>
      </c>
      <c r="D123" s="22" t="s">
        <v>493</v>
      </c>
      <c r="E123" s="5"/>
      <c r="F123" s="5"/>
      <c r="G123" s="279"/>
      <c r="H123" s="5"/>
      <c r="I123" s="5"/>
      <c r="J123" s="5"/>
      <c r="K123" s="14"/>
    </row>
    <row r="124" spans="2:11">
      <c r="B124" s="42">
        <v>257</v>
      </c>
      <c r="C124" s="21" t="s">
        <v>176</v>
      </c>
      <c r="D124" s="327" t="s">
        <v>484</v>
      </c>
      <c r="E124" s="323" t="s">
        <v>872</v>
      </c>
      <c r="F124" s="5"/>
      <c r="G124" s="387" t="s">
        <v>47</v>
      </c>
      <c r="H124" s="5"/>
      <c r="I124" s="5"/>
      <c r="J124" s="5"/>
      <c r="K124" s="14"/>
    </row>
    <row r="125" spans="2:11">
      <c r="B125" s="42">
        <v>260</v>
      </c>
      <c r="C125" s="21" t="s">
        <v>179</v>
      </c>
      <c r="D125" s="22" t="s">
        <v>516</v>
      </c>
      <c r="E125" s="5"/>
      <c r="F125" s="5"/>
      <c r="G125" s="5"/>
      <c r="H125" s="5"/>
      <c r="I125" s="5"/>
      <c r="J125" s="5"/>
      <c r="K125" s="14"/>
    </row>
    <row r="126" spans="2:11">
      <c r="B126" s="42">
        <v>259</v>
      </c>
      <c r="C126" s="21" t="s">
        <v>178</v>
      </c>
      <c r="D126" s="327" t="s">
        <v>504</v>
      </c>
      <c r="E126" s="323" t="s">
        <v>872</v>
      </c>
      <c r="F126" s="5"/>
      <c r="G126" s="388" t="s">
        <v>57</v>
      </c>
      <c r="H126" s="5"/>
      <c r="I126" s="5"/>
      <c r="J126" s="5"/>
      <c r="K126" s="14"/>
    </row>
    <row r="127" spans="2:11">
      <c r="B127" s="42">
        <v>206</v>
      </c>
      <c r="C127" s="21" t="s">
        <v>125</v>
      </c>
      <c r="D127" s="22" t="s">
        <v>475</v>
      </c>
      <c r="E127" s="5"/>
      <c r="F127" s="5"/>
      <c r="G127" s="5"/>
      <c r="H127" s="5"/>
      <c r="I127" s="5"/>
      <c r="J127" s="5"/>
      <c r="K127" s="14"/>
    </row>
    <row r="128" spans="2:11">
      <c r="B128" s="42">
        <v>216</v>
      </c>
      <c r="C128" s="21" t="s">
        <v>135</v>
      </c>
      <c r="D128" s="22" t="s">
        <v>475</v>
      </c>
      <c r="E128" s="5"/>
      <c r="F128" s="5"/>
      <c r="G128" s="5"/>
      <c r="H128" s="5"/>
      <c r="I128" s="5"/>
      <c r="J128" s="5"/>
      <c r="K128" s="14"/>
    </row>
    <row r="129" spans="2:11">
      <c r="B129" s="42">
        <v>226</v>
      </c>
      <c r="C129" s="21" t="s">
        <v>145</v>
      </c>
      <c r="D129" s="22" t="s">
        <v>475</v>
      </c>
      <c r="E129" s="5"/>
      <c r="F129" s="5"/>
      <c r="G129" s="5"/>
      <c r="H129" s="5"/>
      <c r="I129" s="5"/>
      <c r="J129" s="5"/>
      <c r="K129" s="14"/>
    </row>
    <row r="130" spans="2:11">
      <c r="B130" s="42">
        <v>236</v>
      </c>
      <c r="C130" s="21" t="s">
        <v>155</v>
      </c>
      <c r="D130" s="22" t="s">
        <v>475</v>
      </c>
      <c r="E130" s="5"/>
      <c r="F130" s="5"/>
      <c r="G130" s="5"/>
      <c r="H130" s="5"/>
      <c r="I130" s="5"/>
      <c r="J130" s="5"/>
      <c r="K130" s="14"/>
    </row>
    <row r="131" spans="2:11">
      <c r="B131" s="42">
        <v>246</v>
      </c>
      <c r="C131" s="21" t="s">
        <v>165</v>
      </c>
      <c r="D131" s="22" t="s">
        <v>475</v>
      </c>
      <c r="E131" s="5"/>
      <c r="F131" s="5"/>
      <c r="G131" s="5"/>
      <c r="H131" s="5"/>
      <c r="I131" s="5"/>
      <c r="J131" s="5"/>
      <c r="K131" s="14"/>
    </row>
    <row r="132" spans="2:11">
      <c r="B132" s="42">
        <v>256</v>
      </c>
      <c r="C132" s="21" t="s">
        <v>175</v>
      </c>
      <c r="D132" s="22" t="s">
        <v>475</v>
      </c>
      <c r="E132" s="5"/>
      <c r="F132" s="5"/>
      <c r="G132" s="5"/>
      <c r="H132" s="5"/>
      <c r="I132" s="5"/>
      <c r="J132" s="5"/>
      <c r="K132" s="14"/>
    </row>
    <row r="133" spans="2:11">
      <c r="B133" s="42">
        <v>237</v>
      </c>
      <c r="C133" s="21" t="s">
        <v>156</v>
      </c>
      <c r="D133" s="22" t="s">
        <v>475</v>
      </c>
      <c r="E133" s="5"/>
      <c r="F133" s="5"/>
      <c r="G133" s="5"/>
      <c r="H133" s="5"/>
      <c r="I133" s="5"/>
      <c r="J133" s="5"/>
      <c r="K133" s="14"/>
    </row>
    <row r="134" spans="2:11">
      <c r="B134" s="42">
        <v>247</v>
      </c>
      <c r="C134" s="21" t="s">
        <v>166</v>
      </c>
      <c r="D134" s="22" t="s">
        <v>475</v>
      </c>
      <c r="E134" s="5"/>
      <c r="F134" s="5"/>
      <c r="G134" s="5"/>
      <c r="H134" s="5"/>
      <c r="I134" s="5"/>
      <c r="J134" s="5"/>
      <c r="K134" s="14"/>
    </row>
    <row r="135" spans="2:11">
      <c r="B135" s="42">
        <v>238</v>
      </c>
      <c r="C135" s="21" t="s">
        <v>157</v>
      </c>
      <c r="D135" s="22" t="s">
        <v>475</v>
      </c>
      <c r="E135" s="5"/>
      <c r="F135" s="5"/>
      <c r="G135" s="5"/>
      <c r="H135" s="5"/>
      <c r="I135" s="5"/>
      <c r="J135" s="5"/>
      <c r="K135" s="14"/>
    </row>
    <row r="136" spans="2:11">
      <c r="B136" s="42">
        <v>248</v>
      </c>
      <c r="C136" s="21" t="s">
        <v>167</v>
      </c>
      <c r="D136" s="22" t="s">
        <v>475</v>
      </c>
      <c r="E136" s="5"/>
      <c r="F136" s="5"/>
      <c r="G136" s="5"/>
      <c r="H136" s="5"/>
      <c r="I136" s="5"/>
      <c r="J136" s="5"/>
      <c r="K136" s="14"/>
    </row>
    <row r="137" spans="2:11">
      <c r="B137" s="42">
        <v>239</v>
      </c>
      <c r="C137" s="21" t="s">
        <v>158</v>
      </c>
      <c r="D137" s="22" t="s">
        <v>475</v>
      </c>
      <c r="E137" s="5"/>
      <c r="F137" s="5"/>
      <c r="G137" s="5"/>
      <c r="H137" s="5"/>
      <c r="I137" s="5"/>
      <c r="J137" s="5"/>
      <c r="K137" s="14"/>
    </row>
    <row r="138" spans="2:11">
      <c r="B138" s="42">
        <v>240</v>
      </c>
      <c r="C138" s="21" t="s">
        <v>159</v>
      </c>
      <c r="D138" s="22" t="s">
        <v>514</v>
      </c>
      <c r="E138" s="5"/>
      <c r="F138" s="5"/>
      <c r="G138" s="5"/>
      <c r="H138" s="5"/>
      <c r="I138" s="5"/>
      <c r="J138" s="5"/>
      <c r="K138" s="14"/>
    </row>
    <row r="139" spans="2:11">
      <c r="B139" s="42">
        <v>250</v>
      </c>
      <c r="C139" s="21" t="s">
        <v>169</v>
      </c>
      <c r="D139" s="22" t="s">
        <v>515</v>
      </c>
      <c r="E139" s="5"/>
      <c r="F139" s="5"/>
      <c r="G139" s="5"/>
      <c r="H139" s="5"/>
      <c r="I139" s="5"/>
      <c r="J139" s="5"/>
      <c r="K139" s="14"/>
    </row>
    <row r="140" spans="2:11">
      <c r="B140" s="42">
        <v>249</v>
      </c>
      <c r="C140" s="21" t="s">
        <v>168</v>
      </c>
      <c r="D140" s="22" t="s">
        <v>503</v>
      </c>
      <c r="E140" s="5"/>
      <c r="F140" s="5"/>
      <c r="G140" s="5"/>
      <c r="H140" s="5"/>
      <c r="I140" s="5"/>
      <c r="J140" s="5"/>
      <c r="K140" s="14"/>
    </row>
    <row r="141" spans="2:11">
      <c r="B141" s="42">
        <v>266</v>
      </c>
      <c r="C141" s="21" t="s">
        <v>185</v>
      </c>
      <c r="D141" s="22" t="s">
        <v>476</v>
      </c>
      <c r="E141" s="5"/>
      <c r="F141" s="5"/>
      <c r="G141" s="5"/>
      <c r="H141" s="5"/>
      <c r="I141" s="5"/>
      <c r="J141" s="5"/>
      <c r="K141" s="14"/>
    </row>
    <row r="142" spans="2:11">
      <c r="B142" s="42">
        <v>276</v>
      </c>
      <c r="C142" s="21" t="s">
        <v>195</v>
      </c>
      <c r="D142" s="22" t="s">
        <v>476</v>
      </c>
      <c r="E142" s="5"/>
      <c r="F142" s="5"/>
      <c r="G142" s="5"/>
      <c r="H142" s="5"/>
      <c r="I142" s="5"/>
      <c r="J142" s="5"/>
      <c r="K142" s="14"/>
    </row>
    <row r="143" spans="2:11">
      <c r="B143" s="42">
        <v>286</v>
      </c>
      <c r="C143" s="21" t="s">
        <v>205</v>
      </c>
      <c r="D143" s="22" t="s">
        <v>476</v>
      </c>
      <c r="E143" s="5"/>
      <c r="F143" s="5"/>
      <c r="G143" s="5"/>
      <c r="H143" s="5"/>
      <c r="I143" s="5"/>
      <c r="J143" s="5"/>
      <c r="K143" s="14"/>
    </row>
    <row r="144" spans="2:11">
      <c r="B144" s="42">
        <v>296</v>
      </c>
      <c r="C144" s="21" t="s">
        <v>215</v>
      </c>
      <c r="D144" s="22" t="s">
        <v>476</v>
      </c>
      <c r="E144" s="5"/>
      <c r="F144" s="5"/>
      <c r="G144" s="5"/>
      <c r="H144" s="5"/>
      <c r="I144" s="5"/>
      <c r="J144" s="5"/>
      <c r="K144" s="14"/>
    </row>
    <row r="145" spans="2:11">
      <c r="B145" s="42">
        <v>306</v>
      </c>
      <c r="C145" s="21" t="s">
        <v>225</v>
      </c>
      <c r="D145" s="22" t="s">
        <v>476</v>
      </c>
      <c r="E145" s="5"/>
      <c r="F145" s="5"/>
      <c r="G145" s="5"/>
      <c r="H145" s="5"/>
      <c r="I145" s="5"/>
      <c r="J145" s="5"/>
      <c r="K145" s="14"/>
    </row>
    <row r="146" spans="2:11">
      <c r="B146" s="42">
        <v>316</v>
      </c>
      <c r="C146" s="21" t="s">
        <v>235</v>
      </c>
      <c r="D146" s="22" t="s">
        <v>476</v>
      </c>
      <c r="E146" s="5"/>
      <c r="F146" s="5"/>
      <c r="G146" s="5"/>
      <c r="H146" s="5"/>
      <c r="I146" s="5"/>
      <c r="J146" s="5"/>
      <c r="K146" s="14"/>
    </row>
    <row r="147" spans="2:11">
      <c r="B147" s="42">
        <v>326</v>
      </c>
      <c r="C147" s="21" t="s">
        <v>245</v>
      </c>
      <c r="D147" s="22" t="s">
        <v>476</v>
      </c>
      <c r="E147" s="5"/>
      <c r="F147" s="5"/>
      <c r="G147" s="5"/>
      <c r="H147" s="5"/>
      <c r="I147" s="5"/>
      <c r="J147" s="5"/>
      <c r="K147" s="14"/>
    </row>
    <row r="148" spans="2:11">
      <c r="B148" s="42">
        <v>328</v>
      </c>
      <c r="C148" s="21" t="s">
        <v>247</v>
      </c>
      <c r="D148" s="22" t="s">
        <v>476</v>
      </c>
      <c r="E148" s="5"/>
      <c r="F148" s="5"/>
      <c r="G148" s="5"/>
      <c r="H148" s="5"/>
      <c r="I148" s="5"/>
      <c r="J148" s="5"/>
      <c r="K148" s="14"/>
    </row>
    <row r="149" spans="2:11">
      <c r="B149" s="42">
        <v>329</v>
      </c>
      <c r="C149" s="21" t="s">
        <v>248</v>
      </c>
      <c r="D149" s="22" t="s">
        <v>476</v>
      </c>
      <c r="E149" s="5"/>
      <c r="F149" s="5"/>
      <c r="G149" s="5"/>
      <c r="H149" s="5"/>
      <c r="I149" s="5"/>
      <c r="J149" s="5"/>
      <c r="K149" s="14"/>
    </row>
    <row r="150" spans="2:11">
      <c r="B150" s="42">
        <v>330</v>
      </c>
      <c r="C150" s="21" t="s">
        <v>249</v>
      </c>
      <c r="D150" s="22" t="s">
        <v>476</v>
      </c>
      <c r="E150" s="5"/>
      <c r="F150" s="5"/>
      <c r="G150" s="5"/>
      <c r="H150" s="5"/>
      <c r="I150" s="5"/>
      <c r="J150" s="5"/>
      <c r="K150" s="14"/>
    </row>
    <row r="151" spans="2:11">
      <c r="B151" s="42">
        <v>219</v>
      </c>
      <c r="C151" s="21" t="s">
        <v>138</v>
      </c>
      <c r="D151" s="22" t="s">
        <v>501</v>
      </c>
      <c r="E151" s="5"/>
      <c r="F151" s="5"/>
      <c r="G151" s="5"/>
      <c r="H151" s="5"/>
      <c r="I151" s="5"/>
      <c r="J151" s="5"/>
      <c r="K151" s="14"/>
    </row>
    <row r="152" spans="2:11">
      <c r="B152" s="42">
        <v>220</v>
      </c>
      <c r="C152" s="21" t="s">
        <v>139</v>
      </c>
      <c r="D152" s="327" t="s">
        <v>512</v>
      </c>
      <c r="E152" s="323" t="s">
        <v>872</v>
      </c>
      <c r="F152" s="5"/>
      <c r="G152" s="388" t="s">
        <v>187</v>
      </c>
      <c r="H152" s="5"/>
      <c r="I152" s="5"/>
      <c r="J152" s="5"/>
      <c r="K152" s="14"/>
    </row>
    <row r="153" spans="2:11">
      <c r="B153" s="42">
        <v>229</v>
      </c>
      <c r="C153" s="21" t="s">
        <v>148</v>
      </c>
      <c r="D153" s="327" t="s">
        <v>502</v>
      </c>
      <c r="E153" s="323" t="s">
        <v>872</v>
      </c>
      <c r="F153" s="324"/>
      <c r="G153" s="387" t="s">
        <v>970</v>
      </c>
      <c r="H153" s="5"/>
      <c r="I153" s="5"/>
      <c r="J153" s="5"/>
      <c r="K153" s="14"/>
    </row>
    <row r="154" spans="2:11">
      <c r="B154" s="42">
        <v>230</v>
      </c>
      <c r="C154" s="21" t="s">
        <v>149</v>
      </c>
      <c r="D154" s="327" t="s">
        <v>513</v>
      </c>
      <c r="E154" s="323" t="s">
        <v>872</v>
      </c>
      <c r="F154" s="324"/>
      <c r="G154" s="387" t="s">
        <v>971</v>
      </c>
      <c r="H154" s="5"/>
      <c r="I154" s="5"/>
      <c r="J154" s="5"/>
      <c r="K154" s="14"/>
    </row>
    <row r="155" spans="2:11">
      <c r="B155" s="42">
        <v>269</v>
      </c>
      <c r="C155" s="21" t="s">
        <v>188</v>
      </c>
      <c r="D155" s="327" t="s">
        <v>517</v>
      </c>
      <c r="E155" s="323" t="s">
        <v>872</v>
      </c>
      <c r="F155" s="5"/>
      <c r="G155" s="320" t="s">
        <v>317</v>
      </c>
      <c r="H155" s="5"/>
      <c r="I155" s="5"/>
      <c r="J155" s="5"/>
      <c r="K155" s="14"/>
    </row>
    <row r="156" spans="2:11">
      <c r="B156" s="42">
        <v>270</v>
      </c>
      <c r="C156" s="21" t="s">
        <v>189</v>
      </c>
      <c r="D156" s="327" t="s">
        <v>505</v>
      </c>
      <c r="E156" s="323" t="s">
        <v>872</v>
      </c>
      <c r="F156" s="5"/>
      <c r="G156" s="387" t="s">
        <v>297</v>
      </c>
      <c r="H156" s="5"/>
      <c r="I156" s="5"/>
      <c r="J156" s="5"/>
      <c r="K156" s="14"/>
    </row>
    <row r="157" spans="2:11">
      <c r="B157" s="197">
        <v>400</v>
      </c>
      <c r="C157" s="198" t="s">
        <v>319</v>
      </c>
      <c r="D157" s="292" t="s">
        <v>709</v>
      </c>
      <c r="E157" s="199"/>
      <c r="F157" s="199"/>
      <c r="G157" s="199"/>
      <c r="H157" s="199"/>
      <c r="I157" s="199"/>
      <c r="J157" s="199"/>
      <c r="K157" s="200"/>
    </row>
    <row r="158" spans="2:11">
      <c r="B158" s="197">
        <v>399</v>
      </c>
      <c r="C158" s="198" t="s">
        <v>318</v>
      </c>
      <c r="D158" s="292" t="s">
        <v>687</v>
      </c>
      <c r="E158" s="199"/>
      <c r="F158" s="199"/>
      <c r="G158" s="199"/>
      <c r="H158" s="199"/>
      <c r="I158" s="199"/>
      <c r="J158" s="199"/>
      <c r="K158" s="200"/>
    </row>
    <row r="159" spans="2:11">
      <c r="B159" s="197">
        <v>398</v>
      </c>
      <c r="C159" s="198" t="s">
        <v>317</v>
      </c>
      <c r="D159" s="292" t="s">
        <v>665</v>
      </c>
      <c r="E159" s="199"/>
      <c r="F159" s="199"/>
      <c r="G159" s="199"/>
      <c r="H159" s="199"/>
      <c r="I159" s="199"/>
      <c r="J159" s="199"/>
      <c r="K159" s="200"/>
    </row>
    <row r="160" spans="2:11">
      <c r="B160" s="197">
        <v>397</v>
      </c>
      <c r="C160" s="198" t="s">
        <v>316</v>
      </c>
      <c r="D160" s="292" t="s">
        <v>642</v>
      </c>
      <c r="E160" s="199"/>
      <c r="F160" s="199"/>
      <c r="G160" s="199"/>
      <c r="H160" s="199"/>
      <c r="I160" s="199"/>
      <c r="J160" s="199"/>
      <c r="K160" s="200"/>
    </row>
    <row r="161" spans="2:11">
      <c r="B161" s="197">
        <v>366</v>
      </c>
      <c r="C161" s="198" t="s">
        <v>285</v>
      </c>
      <c r="D161" s="292" t="s">
        <v>618</v>
      </c>
      <c r="E161" s="199"/>
      <c r="F161" s="199"/>
      <c r="G161" s="199"/>
      <c r="H161" s="199"/>
      <c r="I161" s="199"/>
      <c r="J161" s="199"/>
      <c r="K161" s="200"/>
    </row>
    <row r="162" spans="2:11">
      <c r="B162" s="197">
        <v>376</v>
      </c>
      <c r="C162" s="198" t="s">
        <v>295</v>
      </c>
      <c r="D162" s="292" t="s">
        <v>619</v>
      </c>
      <c r="E162" s="199"/>
      <c r="F162" s="199"/>
      <c r="G162" s="199"/>
      <c r="H162" s="199"/>
      <c r="I162" s="199"/>
      <c r="J162" s="199"/>
      <c r="K162" s="200"/>
    </row>
    <row r="163" spans="2:11">
      <c r="B163" s="197">
        <v>390</v>
      </c>
      <c r="C163" s="198" t="s">
        <v>309</v>
      </c>
      <c r="D163" s="292" t="s">
        <v>708</v>
      </c>
      <c r="E163" s="199"/>
      <c r="F163" s="199"/>
      <c r="G163" s="199"/>
      <c r="H163" s="199"/>
      <c r="I163" s="199"/>
      <c r="J163" s="199"/>
      <c r="K163" s="200"/>
    </row>
    <row r="164" spans="2:11">
      <c r="B164" s="197">
        <v>389</v>
      </c>
      <c r="C164" s="198" t="s">
        <v>308</v>
      </c>
      <c r="D164" s="292" t="s">
        <v>686</v>
      </c>
      <c r="E164" s="199"/>
      <c r="F164" s="199"/>
      <c r="G164" s="199"/>
      <c r="H164" s="199"/>
      <c r="I164" s="199"/>
      <c r="J164" s="199"/>
      <c r="K164" s="200"/>
    </row>
    <row r="165" spans="2:11">
      <c r="B165" s="197">
        <v>370</v>
      </c>
      <c r="C165" s="198" t="s">
        <v>289</v>
      </c>
      <c r="D165" s="292" t="s">
        <v>706</v>
      </c>
      <c r="E165" s="199"/>
      <c r="F165" s="199"/>
      <c r="G165" s="199"/>
      <c r="H165" s="199"/>
      <c r="I165" s="199"/>
      <c r="J165" s="199"/>
      <c r="K165" s="200"/>
    </row>
    <row r="166" spans="2:11">
      <c r="B166" s="197">
        <v>369</v>
      </c>
      <c r="C166" s="198" t="s">
        <v>288</v>
      </c>
      <c r="D166" s="292" t="s">
        <v>684</v>
      </c>
      <c r="E166" s="199"/>
      <c r="F166" s="199"/>
      <c r="G166" s="199"/>
      <c r="H166" s="199"/>
      <c r="I166" s="199"/>
      <c r="J166" s="199"/>
      <c r="K166" s="200"/>
    </row>
    <row r="167" spans="2:11">
      <c r="B167" s="197">
        <v>377</v>
      </c>
      <c r="C167" s="198" t="s">
        <v>296</v>
      </c>
      <c r="D167" s="292" t="s">
        <v>641</v>
      </c>
      <c r="E167" s="199"/>
      <c r="F167" s="199"/>
      <c r="G167" s="199"/>
      <c r="H167" s="199"/>
      <c r="I167" s="199"/>
      <c r="J167" s="199"/>
      <c r="K167" s="200"/>
    </row>
    <row r="168" spans="2:11">
      <c r="B168" s="197">
        <v>378</v>
      </c>
      <c r="C168" s="198" t="s">
        <v>297</v>
      </c>
      <c r="D168" s="292" t="s">
        <v>664</v>
      </c>
      <c r="E168" s="199"/>
      <c r="F168" s="199"/>
      <c r="G168" s="199"/>
      <c r="H168" s="199"/>
      <c r="I168" s="199"/>
      <c r="J168" s="199"/>
      <c r="K168" s="200"/>
    </row>
    <row r="169" spans="2:11">
      <c r="B169" s="197">
        <v>367</v>
      </c>
      <c r="C169" s="198" t="s">
        <v>286</v>
      </c>
      <c r="D169" s="292" t="s">
        <v>640</v>
      </c>
      <c r="E169" s="199"/>
      <c r="F169" s="199"/>
      <c r="G169" s="199"/>
      <c r="H169" s="199"/>
      <c r="I169" s="199"/>
      <c r="J169" s="199"/>
      <c r="K169" s="200"/>
    </row>
    <row r="170" spans="2:11">
      <c r="B170" s="197">
        <v>368</v>
      </c>
      <c r="C170" s="198" t="s">
        <v>287</v>
      </c>
      <c r="D170" s="292" t="s">
        <v>663</v>
      </c>
      <c r="E170" s="199"/>
      <c r="F170" s="199"/>
      <c r="G170" s="199"/>
      <c r="H170" s="199"/>
      <c r="I170" s="199"/>
      <c r="J170" s="199"/>
      <c r="K170" s="200"/>
    </row>
    <row r="171" spans="2:11">
      <c r="B171" s="197">
        <v>380</v>
      </c>
      <c r="C171" s="198" t="s">
        <v>299</v>
      </c>
      <c r="D171" s="292" t="s">
        <v>707</v>
      </c>
      <c r="E171" s="199"/>
      <c r="F171" s="199"/>
      <c r="G171" s="199"/>
      <c r="H171" s="199"/>
      <c r="I171" s="199"/>
      <c r="J171" s="199"/>
      <c r="K171" s="200"/>
    </row>
    <row r="172" spans="2:11">
      <c r="B172" s="197">
        <v>379</v>
      </c>
      <c r="C172" s="198" t="s">
        <v>298</v>
      </c>
      <c r="D172" s="292" t="s">
        <v>685</v>
      </c>
      <c r="E172" s="199"/>
      <c r="F172" s="199"/>
      <c r="G172" s="199"/>
      <c r="H172" s="199"/>
      <c r="I172" s="199"/>
      <c r="J172" s="199"/>
      <c r="K172" s="200"/>
    </row>
    <row r="173" spans="2:11">
      <c r="B173" s="197">
        <v>394</v>
      </c>
      <c r="C173" s="198" t="s">
        <v>313</v>
      </c>
      <c r="D173" s="292" t="s">
        <v>599</v>
      </c>
      <c r="E173" s="199"/>
      <c r="F173" s="199"/>
      <c r="G173" s="199"/>
      <c r="H173" s="199"/>
      <c r="I173" s="199"/>
      <c r="J173" s="199"/>
      <c r="K173" s="200"/>
    </row>
    <row r="174" spans="2:11">
      <c r="B174" s="197">
        <v>384</v>
      </c>
      <c r="C174" s="198" t="s">
        <v>303</v>
      </c>
      <c r="D174" s="292" t="s">
        <v>598</v>
      </c>
      <c r="E174" s="199"/>
      <c r="F174" s="199"/>
      <c r="G174" s="199"/>
      <c r="H174" s="199"/>
      <c r="I174" s="199"/>
      <c r="J174" s="199"/>
      <c r="K174" s="200"/>
    </row>
    <row r="175" spans="2:11">
      <c r="B175" s="197">
        <v>374</v>
      </c>
      <c r="C175" s="198" t="s">
        <v>293</v>
      </c>
      <c r="D175" s="292" t="s">
        <v>597</v>
      </c>
      <c r="E175" s="199"/>
      <c r="F175" s="199"/>
      <c r="G175" s="199"/>
      <c r="H175" s="199"/>
      <c r="I175" s="199"/>
      <c r="J175" s="199"/>
      <c r="K175" s="200"/>
    </row>
    <row r="176" spans="2:11">
      <c r="B176" s="197">
        <v>364</v>
      </c>
      <c r="C176" s="198" t="s">
        <v>283</v>
      </c>
      <c r="D176" s="292" t="s">
        <v>596</v>
      </c>
      <c r="E176" s="199"/>
      <c r="F176" s="199"/>
      <c r="G176" s="199"/>
      <c r="H176" s="199"/>
      <c r="I176" s="199"/>
      <c r="J176" s="199"/>
      <c r="K176" s="200"/>
    </row>
    <row r="177" spans="2:11">
      <c r="B177" s="197">
        <v>375</v>
      </c>
      <c r="C177" s="198" t="s">
        <v>294</v>
      </c>
      <c r="D177" s="292" t="s">
        <v>609</v>
      </c>
      <c r="E177" s="199"/>
      <c r="F177" s="199"/>
      <c r="G177" s="199"/>
      <c r="H177" s="199"/>
      <c r="I177" s="199"/>
      <c r="J177" s="199"/>
      <c r="K177" s="200"/>
    </row>
    <row r="178" spans="2:11">
      <c r="B178" s="197">
        <v>365</v>
      </c>
      <c r="C178" s="198" t="s">
        <v>284</v>
      </c>
      <c r="D178" s="292" t="s">
        <v>608</v>
      </c>
      <c r="E178" s="199"/>
      <c r="F178" s="199"/>
      <c r="G178" s="199"/>
      <c r="H178" s="199"/>
      <c r="I178" s="199"/>
      <c r="J178" s="199"/>
      <c r="K178" s="200"/>
    </row>
    <row r="179" spans="2:11">
      <c r="B179" s="197">
        <v>373</v>
      </c>
      <c r="C179" s="198" t="s">
        <v>292</v>
      </c>
      <c r="D179" s="292" t="s">
        <v>576</v>
      </c>
      <c r="E179" s="199"/>
      <c r="F179" s="199"/>
      <c r="G179" s="199"/>
      <c r="H179" s="199"/>
      <c r="I179" s="199"/>
      <c r="J179" s="199"/>
      <c r="K179" s="200"/>
    </row>
    <row r="180" spans="2:11">
      <c r="B180" s="197">
        <v>363</v>
      </c>
      <c r="C180" s="198" t="s">
        <v>282</v>
      </c>
      <c r="D180" s="292" t="s">
        <v>575</v>
      </c>
      <c r="E180" s="199"/>
      <c r="F180" s="199"/>
      <c r="G180" s="199"/>
      <c r="H180" s="199"/>
      <c r="I180" s="199"/>
      <c r="J180" s="199"/>
      <c r="K180" s="200"/>
    </row>
    <row r="181" spans="2:11">
      <c r="B181" s="197">
        <v>391</v>
      </c>
      <c r="C181" s="198" t="s">
        <v>310</v>
      </c>
      <c r="D181" s="292" t="s">
        <v>533</v>
      </c>
      <c r="E181" s="199"/>
      <c r="F181" s="199"/>
      <c r="G181" s="199"/>
      <c r="H181" s="199"/>
      <c r="I181" s="199"/>
      <c r="J181" s="199"/>
      <c r="K181" s="200"/>
    </row>
    <row r="182" spans="2:11">
      <c r="B182" s="197">
        <v>381</v>
      </c>
      <c r="C182" s="198" t="s">
        <v>300</v>
      </c>
      <c r="D182" s="292" t="s">
        <v>532</v>
      </c>
      <c r="E182" s="199"/>
      <c r="F182" s="199"/>
      <c r="G182" s="199"/>
      <c r="H182" s="199"/>
      <c r="I182" s="199"/>
      <c r="J182" s="199"/>
      <c r="K182" s="200"/>
    </row>
    <row r="183" spans="2:11">
      <c r="B183" s="197">
        <v>371</v>
      </c>
      <c r="C183" s="198" t="s">
        <v>290</v>
      </c>
      <c r="D183" s="292" t="s">
        <v>531</v>
      </c>
      <c r="E183" s="199"/>
      <c r="F183" s="199"/>
      <c r="G183" s="199"/>
      <c r="H183" s="199"/>
      <c r="I183" s="199"/>
      <c r="J183" s="199"/>
      <c r="K183" s="200"/>
    </row>
    <row r="184" spans="2:11">
      <c r="B184" s="197">
        <v>361</v>
      </c>
      <c r="C184" s="198" t="s">
        <v>280</v>
      </c>
      <c r="D184" s="292" t="s">
        <v>530</v>
      </c>
      <c r="E184" s="199"/>
      <c r="F184" s="199"/>
      <c r="G184" s="199"/>
      <c r="H184" s="199"/>
      <c r="I184" s="199"/>
      <c r="J184" s="199"/>
      <c r="K184" s="200"/>
    </row>
    <row r="185" spans="2:11">
      <c r="B185" s="197">
        <v>372</v>
      </c>
      <c r="C185" s="198" t="s">
        <v>291</v>
      </c>
      <c r="D185" s="292" t="s">
        <v>551</v>
      </c>
      <c r="E185" s="199"/>
      <c r="F185" s="199"/>
      <c r="G185" s="199"/>
      <c r="H185" s="199"/>
      <c r="I185" s="199"/>
      <c r="J185" s="199"/>
      <c r="K185" s="200"/>
    </row>
    <row r="186" spans="2:11">
      <c r="B186" s="197">
        <v>362</v>
      </c>
      <c r="C186" s="198" t="s">
        <v>281</v>
      </c>
      <c r="D186" s="292" t="s">
        <v>550</v>
      </c>
      <c r="E186" s="199"/>
      <c r="F186" s="199"/>
      <c r="G186" s="199"/>
      <c r="H186" s="199"/>
      <c r="I186" s="199"/>
      <c r="J186" s="199"/>
      <c r="K186" s="200"/>
    </row>
    <row r="187" spans="2:11">
      <c r="B187" s="197">
        <v>354</v>
      </c>
      <c r="C187" s="198" t="s">
        <v>273</v>
      </c>
      <c r="D187" s="292" t="s">
        <v>595</v>
      </c>
      <c r="E187" s="199"/>
      <c r="F187" s="199"/>
      <c r="G187" s="199"/>
      <c r="H187" s="199"/>
      <c r="I187" s="199"/>
      <c r="J187" s="199"/>
      <c r="K187" s="200"/>
    </row>
    <row r="188" spans="2:11">
      <c r="B188" s="213">
        <v>353</v>
      </c>
      <c r="C188" s="214" t="s">
        <v>272</v>
      </c>
      <c r="D188" s="215" t="s">
        <v>574</v>
      </c>
      <c r="E188" s="199"/>
      <c r="F188" s="216"/>
      <c r="G188" s="216"/>
      <c r="H188" s="199"/>
      <c r="I188" s="216"/>
      <c r="J188" s="216"/>
      <c r="K188" s="217"/>
    </row>
    <row r="189" spans="2:11">
      <c r="B189" s="42">
        <v>93</v>
      </c>
      <c r="C189" s="258" t="s">
        <v>5</v>
      </c>
      <c r="D189" s="257" t="s">
        <v>558</v>
      </c>
      <c r="E189" s="324" t="s">
        <v>875</v>
      </c>
      <c r="F189" s="13"/>
      <c r="G189" s="389" t="s">
        <v>1020</v>
      </c>
      <c r="H189" s="340" t="s">
        <v>925</v>
      </c>
      <c r="I189" s="13"/>
      <c r="J189" s="13"/>
      <c r="K189" s="20"/>
    </row>
    <row r="190" spans="2:11">
      <c r="B190" s="42">
        <v>94</v>
      </c>
      <c r="C190" s="258" t="s">
        <v>6</v>
      </c>
      <c r="D190" s="257" t="s">
        <v>583</v>
      </c>
      <c r="E190" s="324" t="s">
        <v>875</v>
      </c>
      <c r="F190" s="13"/>
      <c r="G190" s="389" t="s">
        <v>1021</v>
      </c>
      <c r="H190" s="312" t="s">
        <v>925</v>
      </c>
      <c r="I190" s="13"/>
      <c r="J190" s="13"/>
      <c r="K190" s="20"/>
    </row>
    <row r="191" spans="2:11">
      <c r="B191" s="42">
        <v>103</v>
      </c>
      <c r="C191" s="258" t="s">
        <v>22</v>
      </c>
      <c r="D191" s="257" t="s">
        <v>559</v>
      </c>
      <c r="E191" s="324" t="s">
        <v>875</v>
      </c>
      <c r="F191" s="13"/>
      <c r="G191" s="389" t="s">
        <v>1018</v>
      </c>
      <c r="H191" s="312" t="s">
        <v>925</v>
      </c>
      <c r="I191" s="13"/>
      <c r="J191" s="13"/>
      <c r="K191" s="20"/>
    </row>
    <row r="192" spans="2:11">
      <c r="B192" s="42">
        <v>104</v>
      </c>
      <c r="C192" s="258" t="s">
        <v>23</v>
      </c>
      <c r="D192" s="257" t="s">
        <v>584</v>
      </c>
      <c r="E192" s="324" t="s">
        <v>875</v>
      </c>
      <c r="F192" s="13"/>
      <c r="G192" s="389" t="s">
        <v>1019</v>
      </c>
      <c r="H192" s="312" t="s">
        <v>925</v>
      </c>
      <c r="I192" s="13"/>
      <c r="J192" s="13"/>
      <c r="K192" s="20"/>
    </row>
    <row r="193" spans="2:11">
      <c r="B193" s="42">
        <v>101</v>
      </c>
      <c r="C193" s="258" t="s">
        <v>20</v>
      </c>
      <c r="D193" s="257" t="s">
        <v>522</v>
      </c>
      <c r="E193" s="324" t="s">
        <v>875</v>
      </c>
      <c r="F193" s="13"/>
      <c r="G193" s="389" t="s">
        <v>1016</v>
      </c>
      <c r="H193" s="312" t="s">
        <v>925</v>
      </c>
      <c r="I193" s="13"/>
      <c r="J193" s="13"/>
      <c r="K193" s="20"/>
    </row>
    <row r="194" spans="2:11">
      <c r="B194" s="42">
        <v>102</v>
      </c>
      <c r="C194" s="258" t="s">
        <v>21</v>
      </c>
      <c r="D194" s="257" t="s">
        <v>538</v>
      </c>
      <c r="E194" s="324" t="s">
        <v>875</v>
      </c>
      <c r="F194" s="13"/>
      <c r="G194" s="389" t="s">
        <v>1017</v>
      </c>
      <c r="H194" s="312" t="s">
        <v>925</v>
      </c>
      <c r="I194" s="13"/>
      <c r="J194" s="13"/>
      <c r="K194" s="20"/>
    </row>
    <row r="195" spans="2:11">
      <c r="B195" s="213">
        <v>95</v>
      </c>
      <c r="C195" s="214" t="s">
        <v>7</v>
      </c>
      <c r="D195" s="215" t="s">
        <v>602</v>
      </c>
      <c r="E195" s="359"/>
      <c r="F195" s="216"/>
      <c r="G195" s="359"/>
      <c r="H195" s="312"/>
      <c r="I195" s="216"/>
      <c r="J195" s="216"/>
      <c r="K195" s="217"/>
    </row>
    <row r="196" spans="2:11">
      <c r="B196" s="213">
        <v>96</v>
      </c>
      <c r="C196" s="214" t="s">
        <v>8</v>
      </c>
      <c r="D196" s="215" t="s">
        <v>616</v>
      </c>
      <c r="E196" s="359"/>
      <c r="F196" s="216"/>
      <c r="G196" s="359"/>
      <c r="H196" s="312"/>
      <c r="I196" s="216"/>
      <c r="J196" s="216"/>
      <c r="K196" s="217"/>
    </row>
    <row r="197" spans="2:11">
      <c r="B197" s="42">
        <v>86</v>
      </c>
      <c r="C197" s="258" t="s">
        <v>422</v>
      </c>
      <c r="D197" s="257" t="s">
        <v>615</v>
      </c>
      <c r="E197" s="324" t="s">
        <v>875</v>
      </c>
      <c r="F197" s="13"/>
      <c r="G197" s="389" t="s">
        <v>983</v>
      </c>
      <c r="H197" s="312" t="s">
        <v>925</v>
      </c>
      <c r="I197" s="13"/>
      <c r="J197" s="13"/>
      <c r="K197" s="20"/>
    </row>
    <row r="198" spans="2:11">
      <c r="B198" s="42">
        <v>85</v>
      </c>
      <c r="C198" s="258" t="s">
        <v>421</v>
      </c>
      <c r="D198" s="257" t="s">
        <v>601</v>
      </c>
      <c r="E198" s="324" t="s">
        <v>875</v>
      </c>
      <c r="F198" s="13"/>
      <c r="G198" s="389" t="s">
        <v>984</v>
      </c>
      <c r="H198" s="312" t="s">
        <v>925</v>
      </c>
      <c r="I198" s="13"/>
      <c r="J198" s="13"/>
      <c r="K198" s="20"/>
    </row>
    <row r="199" spans="2:11">
      <c r="B199" s="42">
        <v>76</v>
      </c>
      <c r="C199" s="258" t="s">
        <v>412</v>
      </c>
      <c r="D199" s="271" t="s">
        <v>614</v>
      </c>
      <c r="E199" s="324" t="s">
        <v>875</v>
      </c>
      <c r="F199" s="13"/>
      <c r="G199" s="389" t="s">
        <v>981</v>
      </c>
      <c r="H199" s="312" t="s">
        <v>925</v>
      </c>
      <c r="I199" s="13"/>
      <c r="J199" s="13"/>
      <c r="K199" s="20"/>
    </row>
    <row r="200" spans="2:11">
      <c r="B200" s="42">
        <v>75</v>
      </c>
      <c r="C200" s="258" t="s">
        <v>411</v>
      </c>
      <c r="D200" s="271" t="s">
        <v>600</v>
      </c>
      <c r="E200" s="324" t="s">
        <v>875</v>
      </c>
      <c r="F200" s="13"/>
      <c r="G200" s="389" t="s">
        <v>982</v>
      </c>
      <c r="H200" s="312" t="s">
        <v>925</v>
      </c>
      <c r="I200" s="13"/>
      <c r="J200" s="13"/>
      <c r="K200" s="20"/>
    </row>
    <row r="201" spans="2:11">
      <c r="B201" s="42">
        <v>74</v>
      </c>
      <c r="C201" s="258" t="s">
        <v>410</v>
      </c>
      <c r="D201" s="271" t="s">
        <v>581</v>
      </c>
      <c r="E201" s="324" t="s">
        <v>875</v>
      </c>
      <c r="F201" s="13"/>
      <c r="G201" s="389" t="s">
        <v>980</v>
      </c>
      <c r="H201" s="312" t="s">
        <v>925</v>
      </c>
      <c r="I201" s="13"/>
      <c r="J201" s="13"/>
      <c r="K201" s="20"/>
    </row>
    <row r="202" spans="2:11">
      <c r="B202" s="42">
        <v>73</v>
      </c>
      <c r="C202" s="258" t="s">
        <v>409</v>
      </c>
      <c r="D202" s="271" t="s">
        <v>556</v>
      </c>
      <c r="E202" s="324" t="s">
        <v>875</v>
      </c>
      <c r="F202" s="13"/>
      <c r="G202" s="389" t="s">
        <v>4</v>
      </c>
      <c r="H202" s="312" t="s">
        <v>925</v>
      </c>
      <c r="I202" s="13"/>
      <c r="J202" s="13"/>
      <c r="K202" s="20"/>
    </row>
    <row r="203" spans="2:11">
      <c r="B203" s="213">
        <v>83</v>
      </c>
      <c r="C203" s="214" t="s">
        <v>419</v>
      </c>
      <c r="D203" s="215" t="s">
        <v>557</v>
      </c>
      <c r="E203" s="359"/>
      <c r="F203" s="216"/>
      <c r="G203" s="359"/>
      <c r="H203" s="312"/>
      <c r="I203" s="216"/>
      <c r="J203" s="216"/>
      <c r="K203" s="217"/>
    </row>
    <row r="204" spans="2:11">
      <c r="B204" s="213">
        <v>84</v>
      </c>
      <c r="C204" s="214" t="s">
        <v>420</v>
      </c>
      <c r="D204" s="215" t="s">
        <v>582</v>
      </c>
      <c r="E204" s="359"/>
      <c r="F204" s="216"/>
      <c r="G204" s="359"/>
      <c r="H204" s="312"/>
      <c r="I204" s="216"/>
      <c r="J204" s="216"/>
      <c r="K204" s="217"/>
    </row>
    <row r="205" spans="2:11">
      <c r="B205" s="42">
        <v>24</v>
      </c>
      <c r="C205" s="258" t="s">
        <v>360</v>
      </c>
      <c r="D205" s="257" t="s">
        <v>579</v>
      </c>
      <c r="E205" s="324" t="s">
        <v>875</v>
      </c>
      <c r="F205" s="13"/>
      <c r="G205" s="389" t="s">
        <v>987</v>
      </c>
      <c r="H205" s="312" t="s">
        <v>925</v>
      </c>
      <c r="I205" s="13"/>
      <c r="J205" s="13"/>
      <c r="K205" s="20"/>
    </row>
    <row r="206" spans="2:11">
      <c r="B206" s="42">
        <v>34</v>
      </c>
      <c r="C206" s="258" t="s">
        <v>370</v>
      </c>
      <c r="D206" s="257" t="s">
        <v>580</v>
      </c>
      <c r="E206" s="324" t="s">
        <v>875</v>
      </c>
      <c r="F206" s="13"/>
      <c r="G206" s="389" t="s">
        <v>988</v>
      </c>
      <c r="H206" s="312" t="s">
        <v>925</v>
      </c>
      <c r="I206" s="13"/>
      <c r="J206" s="13"/>
      <c r="K206" s="20"/>
    </row>
    <row r="207" spans="2:11">
      <c r="B207" s="42">
        <v>14</v>
      </c>
      <c r="C207" s="258" t="s">
        <v>350</v>
      </c>
      <c r="D207" s="257" t="s">
        <v>578</v>
      </c>
      <c r="E207" s="324" t="s">
        <v>875</v>
      </c>
      <c r="F207" s="13"/>
      <c r="G207" s="389" t="s">
        <v>1022</v>
      </c>
      <c r="H207" s="312" t="s">
        <v>925</v>
      </c>
      <c r="I207" s="13"/>
      <c r="J207" s="13"/>
      <c r="K207" s="20"/>
    </row>
    <row r="208" spans="2:11">
      <c r="B208" s="42">
        <v>4</v>
      </c>
      <c r="C208" s="258" t="s">
        <v>340</v>
      </c>
      <c r="D208" s="257" t="s">
        <v>577</v>
      </c>
      <c r="E208" s="324" t="s">
        <v>875</v>
      </c>
      <c r="F208" s="13"/>
      <c r="G208" s="389" t="s">
        <v>6</v>
      </c>
      <c r="H208" s="312" t="s">
        <v>925</v>
      </c>
      <c r="I208" s="13"/>
      <c r="J208" s="13"/>
      <c r="K208" s="20"/>
    </row>
    <row r="209" spans="2:11">
      <c r="B209" s="42">
        <v>13</v>
      </c>
      <c r="C209" s="258" t="s">
        <v>349</v>
      </c>
      <c r="D209" s="257" t="s">
        <v>553</v>
      </c>
      <c r="E209" s="324" t="s">
        <v>875</v>
      </c>
      <c r="F209" s="13"/>
      <c r="G209" s="389" t="s">
        <v>985</v>
      </c>
      <c r="H209" s="312" t="s">
        <v>925</v>
      </c>
      <c r="I209" s="13"/>
      <c r="J209" s="13"/>
      <c r="K209" s="20"/>
    </row>
    <row r="210" spans="2:11">
      <c r="B210" s="42">
        <v>3</v>
      </c>
      <c r="C210" s="258" t="s">
        <v>339</v>
      </c>
      <c r="D210" s="257" t="s">
        <v>552</v>
      </c>
      <c r="E210" s="324" t="s">
        <v>875</v>
      </c>
      <c r="F210" s="13"/>
      <c r="G210" s="389" t="s">
        <v>986</v>
      </c>
      <c r="H210" s="312" t="s">
        <v>925</v>
      </c>
      <c r="I210" s="13"/>
      <c r="J210" s="13"/>
      <c r="K210" s="20"/>
    </row>
    <row r="211" spans="2:11">
      <c r="B211" s="213">
        <v>33</v>
      </c>
      <c r="C211" s="214" t="s">
        <v>369</v>
      </c>
      <c r="D211" s="215" t="s">
        <v>555</v>
      </c>
      <c r="E211" s="359"/>
      <c r="F211" s="216"/>
      <c r="G211" s="359"/>
      <c r="H211" s="312"/>
      <c r="I211" s="216"/>
      <c r="J211" s="216"/>
      <c r="K211" s="217"/>
    </row>
    <row r="212" spans="2:11">
      <c r="B212" s="213">
        <v>23</v>
      </c>
      <c r="C212" s="214" t="s">
        <v>359</v>
      </c>
      <c r="D212" s="215" t="s">
        <v>554</v>
      </c>
      <c r="E212" s="359"/>
      <c r="F212" s="216"/>
      <c r="G212" s="359"/>
      <c r="H212" s="312"/>
      <c r="I212" s="216"/>
      <c r="J212" s="216"/>
      <c r="K212" s="217"/>
    </row>
    <row r="213" spans="2:11">
      <c r="B213" s="42">
        <v>31</v>
      </c>
      <c r="C213" s="258" t="s">
        <v>367</v>
      </c>
      <c r="D213" s="257" t="s">
        <v>521</v>
      </c>
      <c r="E213" s="324" t="s">
        <v>875</v>
      </c>
      <c r="F213" s="13"/>
      <c r="G213" s="389" t="s">
        <v>993</v>
      </c>
      <c r="H213" s="312" t="s">
        <v>925</v>
      </c>
      <c r="I213" s="13"/>
      <c r="J213" s="13"/>
      <c r="K213" s="20"/>
    </row>
    <row r="214" spans="2:11">
      <c r="B214" s="42">
        <v>32</v>
      </c>
      <c r="C214" s="258" t="s">
        <v>368</v>
      </c>
      <c r="D214" s="257" t="s">
        <v>537</v>
      </c>
      <c r="E214" s="324" t="s">
        <v>875</v>
      </c>
      <c r="F214" s="13"/>
      <c r="G214" s="389" t="s">
        <v>8</v>
      </c>
      <c r="H214" s="312" t="s">
        <v>925</v>
      </c>
      <c r="I214" s="13"/>
      <c r="J214" s="13"/>
      <c r="K214" s="20"/>
    </row>
    <row r="215" spans="2:11">
      <c r="B215" s="42">
        <v>21</v>
      </c>
      <c r="C215" s="258" t="s">
        <v>357</v>
      </c>
      <c r="D215" s="257" t="s">
        <v>520</v>
      </c>
      <c r="E215" s="324" t="s">
        <v>875</v>
      </c>
      <c r="F215" s="13"/>
      <c r="G215" s="389" t="s">
        <v>991</v>
      </c>
      <c r="H215" s="312" t="s">
        <v>925</v>
      </c>
      <c r="I215" s="13"/>
      <c r="J215" s="13"/>
      <c r="K215" s="20"/>
    </row>
    <row r="216" spans="2:11">
      <c r="B216" s="42">
        <v>22</v>
      </c>
      <c r="C216" s="258" t="s">
        <v>358</v>
      </c>
      <c r="D216" s="257" t="s">
        <v>536</v>
      </c>
      <c r="E216" s="324" t="s">
        <v>875</v>
      </c>
      <c r="F216" s="13"/>
      <c r="G216" s="389" t="s">
        <v>992</v>
      </c>
      <c r="H216" s="312" t="s">
        <v>925</v>
      </c>
      <c r="I216" s="13"/>
      <c r="J216" s="13"/>
      <c r="K216" s="20"/>
    </row>
    <row r="217" spans="2:11">
      <c r="B217" s="42">
        <v>11</v>
      </c>
      <c r="C217" s="258" t="s">
        <v>347</v>
      </c>
      <c r="D217" s="257" t="s">
        <v>519</v>
      </c>
      <c r="E217" s="324" t="s">
        <v>875</v>
      </c>
      <c r="F217" s="13"/>
      <c r="G217" s="389" t="s">
        <v>989</v>
      </c>
      <c r="H217" s="312" t="s">
        <v>925</v>
      </c>
      <c r="I217" s="13"/>
      <c r="J217" s="13"/>
      <c r="K217" s="20"/>
    </row>
    <row r="218" spans="2:11">
      <c r="B218" s="42">
        <v>12</v>
      </c>
      <c r="C218" s="258" t="s">
        <v>348</v>
      </c>
      <c r="D218" s="257" t="s">
        <v>535</v>
      </c>
      <c r="E218" s="324" t="s">
        <v>875</v>
      </c>
      <c r="F218" s="13"/>
      <c r="G218" s="389" t="s">
        <v>990</v>
      </c>
      <c r="H218" s="312" t="s">
        <v>925</v>
      </c>
      <c r="I218" s="13"/>
      <c r="J218" s="13"/>
      <c r="K218" s="20"/>
    </row>
    <row r="219" spans="2:11">
      <c r="B219" s="213">
        <v>1</v>
      </c>
      <c r="C219" s="214" t="s">
        <v>337</v>
      </c>
      <c r="D219" s="215" t="s">
        <v>518</v>
      </c>
      <c r="E219" s="199"/>
      <c r="F219" s="216"/>
      <c r="G219" s="216"/>
      <c r="H219" s="199"/>
      <c r="I219" s="216"/>
      <c r="J219" s="216"/>
      <c r="K219" s="217"/>
    </row>
    <row r="220" spans="2:11">
      <c r="B220" s="213">
        <v>2</v>
      </c>
      <c r="C220" s="214" t="s">
        <v>338</v>
      </c>
      <c r="D220" s="215" t="s">
        <v>534</v>
      </c>
      <c r="E220" s="199"/>
      <c r="F220" s="216"/>
      <c r="G220" s="216"/>
      <c r="H220" s="199"/>
      <c r="I220" s="216"/>
      <c r="J220" s="216"/>
      <c r="K220" s="217"/>
    </row>
    <row r="221" spans="2:11">
      <c r="B221" s="42">
        <v>43</v>
      </c>
      <c r="C221" s="258" t="s">
        <v>379</v>
      </c>
      <c r="D221" s="330" t="s">
        <v>447</v>
      </c>
      <c r="E221" s="324" t="s">
        <v>875</v>
      </c>
      <c r="F221" s="13"/>
      <c r="G221" s="387" t="s">
        <v>226</v>
      </c>
      <c r="H221" s="13"/>
      <c r="I221" s="13"/>
      <c r="J221" s="13"/>
      <c r="K221" s="20"/>
    </row>
    <row r="222" spans="2:11">
      <c r="B222" s="42">
        <v>44</v>
      </c>
      <c r="C222" s="258" t="s">
        <v>380</v>
      </c>
      <c r="D222" s="330" t="s">
        <v>455</v>
      </c>
      <c r="E222" s="324" t="s">
        <v>875</v>
      </c>
      <c r="F222" s="13"/>
      <c r="G222" s="387" t="s">
        <v>236</v>
      </c>
      <c r="H222" s="13"/>
      <c r="I222" s="13"/>
      <c r="J222" s="13"/>
      <c r="K222" s="20"/>
    </row>
    <row r="223" spans="2:11">
      <c r="B223" s="42">
        <v>62</v>
      </c>
      <c r="C223" s="258" t="s">
        <v>398</v>
      </c>
      <c r="D223" s="271" t="s">
        <v>428</v>
      </c>
      <c r="E223" s="13"/>
      <c r="F223" s="13"/>
      <c r="G223" s="13"/>
      <c r="H223" s="13"/>
      <c r="I223" s="13"/>
      <c r="J223" s="13"/>
      <c r="K223" s="20"/>
    </row>
    <row r="224" spans="2:11">
      <c r="B224" s="42">
        <v>61</v>
      </c>
      <c r="C224" s="258" t="s">
        <v>397</v>
      </c>
      <c r="D224" s="330" t="s">
        <v>322</v>
      </c>
      <c r="E224" s="324" t="s">
        <v>875</v>
      </c>
      <c r="F224" s="13"/>
      <c r="G224" s="387" t="s">
        <v>1034</v>
      </c>
      <c r="H224" s="13"/>
      <c r="I224" s="13"/>
      <c r="J224" s="13"/>
      <c r="K224" s="20"/>
    </row>
    <row r="225" spans="2:11">
      <c r="B225" s="42">
        <v>71</v>
      </c>
      <c r="C225" s="258" t="s">
        <v>407</v>
      </c>
      <c r="D225" s="271" t="s">
        <v>323</v>
      </c>
      <c r="E225" s="13"/>
      <c r="F225" s="13"/>
      <c r="G225" s="13"/>
      <c r="H225" s="13"/>
      <c r="I225" s="13"/>
      <c r="J225" s="13"/>
      <c r="K225" s="20"/>
    </row>
    <row r="226" spans="2:11">
      <c r="B226" s="42">
        <v>72</v>
      </c>
      <c r="C226" s="258" t="s">
        <v>408</v>
      </c>
      <c r="D226" s="330" t="s">
        <v>429</v>
      </c>
      <c r="E226" s="324" t="s">
        <v>875</v>
      </c>
      <c r="F226" s="13"/>
      <c r="G226" s="387" t="s">
        <v>1035</v>
      </c>
      <c r="H226" s="13"/>
      <c r="I226" s="13"/>
      <c r="J226" s="13"/>
      <c r="K226" s="20"/>
    </row>
    <row r="227" spans="2:11">
      <c r="B227" s="42">
        <v>51</v>
      </c>
      <c r="C227" s="258" t="s">
        <v>387</v>
      </c>
      <c r="D227" s="271" t="s">
        <v>464</v>
      </c>
      <c r="E227" s="13"/>
      <c r="F227" s="13"/>
      <c r="G227" s="13"/>
      <c r="H227" s="13"/>
      <c r="I227" s="13"/>
      <c r="J227" s="13"/>
      <c r="K227" s="20"/>
    </row>
    <row r="228" spans="2:11">
      <c r="B228" s="42">
        <v>52</v>
      </c>
      <c r="C228" s="258" t="s">
        <v>388</v>
      </c>
      <c r="D228" s="271" t="s">
        <v>464</v>
      </c>
      <c r="E228" s="13"/>
      <c r="F228" s="13"/>
      <c r="G228" s="13"/>
      <c r="H228" s="13"/>
      <c r="I228" s="13"/>
      <c r="J228" s="13"/>
      <c r="K228" s="20"/>
    </row>
    <row r="229" spans="2:11">
      <c r="B229" s="42">
        <v>53</v>
      </c>
      <c r="C229" s="258" t="s">
        <v>389</v>
      </c>
      <c r="D229" s="271" t="s">
        <v>464</v>
      </c>
      <c r="E229" s="13"/>
      <c r="F229" s="13"/>
      <c r="G229" s="13"/>
      <c r="H229" s="13"/>
      <c r="I229" s="13"/>
      <c r="J229" s="13"/>
      <c r="K229" s="20"/>
    </row>
    <row r="230" spans="2:11">
      <c r="B230" s="42">
        <v>63</v>
      </c>
      <c r="C230" s="258" t="s">
        <v>399</v>
      </c>
      <c r="D230" s="271" t="s">
        <v>464</v>
      </c>
      <c r="E230" s="13"/>
      <c r="F230" s="13"/>
      <c r="G230" s="13"/>
      <c r="H230" s="13"/>
      <c r="I230" s="13"/>
      <c r="J230" s="13"/>
      <c r="K230" s="20"/>
    </row>
    <row r="231" spans="2:11">
      <c r="B231" s="42">
        <v>54</v>
      </c>
      <c r="C231" s="258" t="s">
        <v>390</v>
      </c>
      <c r="D231" s="271" t="s">
        <v>464</v>
      </c>
      <c r="E231" s="13"/>
      <c r="F231" s="13"/>
      <c r="G231" s="13"/>
      <c r="H231" s="13"/>
      <c r="I231" s="13"/>
      <c r="J231" s="13"/>
      <c r="K231" s="20"/>
    </row>
    <row r="232" spans="2:11">
      <c r="B232" s="42">
        <v>64</v>
      </c>
      <c r="C232" s="258" t="s">
        <v>400</v>
      </c>
      <c r="D232" s="271" t="s">
        <v>464</v>
      </c>
      <c r="E232" s="13"/>
      <c r="F232" s="13"/>
      <c r="G232" s="13"/>
      <c r="H232" s="13"/>
      <c r="I232" s="13"/>
      <c r="J232" s="13"/>
      <c r="K232" s="20"/>
    </row>
    <row r="233" spans="2:11">
      <c r="B233" s="42">
        <v>105</v>
      </c>
      <c r="C233" s="258" t="s">
        <v>24</v>
      </c>
      <c r="D233" s="257" t="s">
        <v>464</v>
      </c>
      <c r="E233" s="13"/>
      <c r="F233" s="13"/>
      <c r="G233" s="13"/>
      <c r="H233" s="13"/>
      <c r="I233" s="13"/>
      <c r="J233" s="13"/>
      <c r="K233" s="20"/>
    </row>
    <row r="234" spans="2:11">
      <c r="B234" s="42">
        <v>46</v>
      </c>
      <c r="C234" s="258" t="s">
        <v>382</v>
      </c>
      <c r="D234" s="271" t="s">
        <v>471</v>
      </c>
      <c r="E234" s="13"/>
      <c r="F234" s="13"/>
      <c r="G234" s="13"/>
      <c r="H234" s="13"/>
      <c r="I234" s="13"/>
      <c r="J234" s="13"/>
      <c r="K234" s="20"/>
    </row>
    <row r="235" spans="2:11">
      <c r="B235" s="42">
        <v>66</v>
      </c>
      <c r="C235" s="258" t="s">
        <v>402</v>
      </c>
      <c r="D235" s="271" t="s">
        <v>473</v>
      </c>
      <c r="E235" s="13"/>
      <c r="F235" s="13"/>
      <c r="G235" s="13"/>
      <c r="H235" s="13"/>
      <c r="I235" s="13"/>
      <c r="J235" s="13"/>
      <c r="K235" s="20"/>
    </row>
    <row r="236" spans="2:11">
      <c r="B236" s="42">
        <v>56</v>
      </c>
      <c r="C236" s="258" t="s">
        <v>392</v>
      </c>
      <c r="D236" s="271" t="s">
        <v>472</v>
      </c>
      <c r="E236" s="13"/>
      <c r="F236" s="13"/>
      <c r="G236" s="13"/>
      <c r="H236" s="13"/>
      <c r="I236" s="13"/>
      <c r="J236" s="13"/>
      <c r="K236" s="20"/>
    </row>
    <row r="237" spans="2:11">
      <c r="B237" s="42">
        <v>5</v>
      </c>
      <c r="C237" s="258" t="s">
        <v>341</v>
      </c>
      <c r="D237" s="257" t="s">
        <v>321</v>
      </c>
      <c r="E237" s="13"/>
      <c r="F237" s="13"/>
      <c r="G237" s="13"/>
      <c r="H237" s="13"/>
      <c r="I237" s="13"/>
      <c r="J237" s="13"/>
      <c r="K237" s="20"/>
    </row>
    <row r="238" spans="2:11">
      <c r="B238" s="42">
        <v>15</v>
      </c>
      <c r="C238" s="258" t="s">
        <v>351</v>
      </c>
      <c r="D238" s="257" t="s">
        <v>321</v>
      </c>
      <c r="E238" s="13"/>
      <c r="F238" s="13"/>
      <c r="G238" s="13"/>
      <c r="H238" s="13"/>
      <c r="I238" s="13"/>
      <c r="J238" s="13"/>
      <c r="K238" s="20"/>
    </row>
    <row r="239" spans="2:11">
      <c r="B239" s="42">
        <v>25</v>
      </c>
      <c r="C239" s="258" t="s">
        <v>361</v>
      </c>
      <c r="D239" s="257" t="s">
        <v>321</v>
      </c>
      <c r="E239" s="13"/>
      <c r="F239" s="13"/>
      <c r="G239" s="13"/>
      <c r="H239" s="13"/>
      <c r="I239" s="13"/>
      <c r="J239" s="13"/>
      <c r="K239" s="20"/>
    </row>
    <row r="240" spans="2:11">
      <c r="B240" s="42">
        <v>35</v>
      </c>
      <c r="C240" s="258" t="s">
        <v>371</v>
      </c>
      <c r="D240" s="257" t="s">
        <v>321</v>
      </c>
      <c r="E240" s="13"/>
      <c r="F240" s="13"/>
      <c r="G240" s="13"/>
      <c r="H240" s="13"/>
      <c r="I240" s="13"/>
      <c r="J240" s="13"/>
      <c r="K240" s="20"/>
    </row>
    <row r="241" spans="2:11">
      <c r="B241" s="42">
        <v>45</v>
      </c>
      <c r="C241" s="258" t="s">
        <v>381</v>
      </c>
      <c r="D241" s="271" t="s">
        <v>321</v>
      </c>
      <c r="E241" s="13"/>
      <c r="F241" s="13"/>
      <c r="G241" s="13"/>
      <c r="H241" s="13"/>
      <c r="I241" s="13"/>
      <c r="J241" s="13"/>
      <c r="K241" s="20"/>
    </row>
    <row r="242" spans="2:11">
      <c r="B242" s="42">
        <v>55</v>
      </c>
      <c r="C242" s="258" t="s">
        <v>391</v>
      </c>
      <c r="D242" s="271" t="s">
        <v>321</v>
      </c>
      <c r="E242" s="13"/>
      <c r="F242" s="13"/>
      <c r="G242" s="13"/>
      <c r="H242" s="13"/>
      <c r="I242" s="13"/>
      <c r="J242" s="13"/>
      <c r="K242" s="20"/>
    </row>
    <row r="243" spans="2:11">
      <c r="B243" s="42">
        <v>65</v>
      </c>
      <c r="C243" s="258" t="s">
        <v>401</v>
      </c>
      <c r="D243" s="271" t="s">
        <v>321</v>
      </c>
      <c r="E243" s="13"/>
      <c r="F243" s="13"/>
      <c r="G243" s="13"/>
      <c r="H243" s="13"/>
      <c r="I243" s="13"/>
      <c r="J243" s="13"/>
      <c r="K243" s="20"/>
    </row>
    <row r="244" spans="2:11">
      <c r="B244" s="42">
        <v>92</v>
      </c>
      <c r="C244" s="258" t="s">
        <v>4</v>
      </c>
      <c r="D244" s="257" t="s">
        <v>431</v>
      </c>
      <c r="E244" s="13"/>
      <c r="F244" s="13"/>
      <c r="G244" s="13"/>
      <c r="H244" s="13"/>
      <c r="I244" s="13"/>
      <c r="J244" s="13"/>
      <c r="K244" s="20"/>
    </row>
    <row r="245" spans="2:11">
      <c r="B245" s="42">
        <v>91</v>
      </c>
      <c r="C245" s="258" t="s">
        <v>0</v>
      </c>
      <c r="D245" s="328" t="s">
        <v>325</v>
      </c>
      <c r="E245" s="324" t="s">
        <v>875</v>
      </c>
      <c r="F245" s="13"/>
      <c r="G245" s="387" t="s">
        <v>147</v>
      </c>
      <c r="H245" s="13"/>
      <c r="I245" s="13"/>
      <c r="J245" s="13"/>
      <c r="K245" s="20"/>
    </row>
    <row r="246" spans="2:11">
      <c r="B246" s="42">
        <v>81</v>
      </c>
      <c r="C246" s="258" t="s">
        <v>417</v>
      </c>
      <c r="D246" s="328" t="s">
        <v>324</v>
      </c>
      <c r="E246" s="324" t="s">
        <v>875</v>
      </c>
      <c r="F246" s="323"/>
      <c r="G246" s="323" t="s">
        <v>247</v>
      </c>
      <c r="H246" s="13"/>
      <c r="I246" s="13"/>
      <c r="J246" s="13"/>
      <c r="K246" s="20"/>
    </row>
    <row r="247" spans="2:11">
      <c r="B247" s="42">
        <v>82</v>
      </c>
      <c r="C247" s="258" t="s">
        <v>418</v>
      </c>
      <c r="D247" s="328" t="s">
        <v>430</v>
      </c>
      <c r="E247" s="324" t="s">
        <v>875</v>
      </c>
      <c r="F247" s="323"/>
      <c r="G247" s="323" t="s">
        <v>257</v>
      </c>
      <c r="H247" s="13"/>
      <c r="I247" s="13"/>
      <c r="J247" s="13"/>
      <c r="K247" s="20"/>
    </row>
    <row r="248" spans="2:11">
      <c r="B248" s="42">
        <v>41</v>
      </c>
      <c r="C248" s="258" t="s">
        <v>377</v>
      </c>
      <c r="D248" s="330" t="s">
        <v>427</v>
      </c>
      <c r="E248" s="324" t="s">
        <v>875</v>
      </c>
      <c r="F248" s="5"/>
      <c r="G248" s="320" t="s">
        <v>317</v>
      </c>
      <c r="H248" s="13"/>
      <c r="I248" s="13"/>
      <c r="J248" s="13"/>
      <c r="K248" s="20"/>
    </row>
    <row r="249" spans="2:11">
      <c r="B249" s="42">
        <v>42</v>
      </c>
      <c r="C249" s="258" t="s">
        <v>378</v>
      </c>
      <c r="D249" s="330" t="s">
        <v>320</v>
      </c>
      <c r="E249" s="324" t="s">
        <v>875</v>
      </c>
      <c r="F249" s="13"/>
      <c r="G249" s="387" t="s">
        <v>1033</v>
      </c>
      <c r="H249" s="13"/>
      <c r="I249" s="13"/>
      <c r="J249" s="13"/>
      <c r="K249" s="20"/>
    </row>
    <row r="250" spans="2:11">
      <c r="B250" s="197">
        <v>393</v>
      </c>
      <c r="C250" s="198" t="s">
        <v>312</v>
      </c>
      <c r="D250" s="292" t="s">
        <v>453</v>
      </c>
      <c r="E250" s="199"/>
      <c r="F250" s="199"/>
      <c r="G250" s="199"/>
      <c r="H250" s="199"/>
      <c r="I250" s="199"/>
      <c r="J250" s="199"/>
      <c r="K250" s="200"/>
    </row>
    <row r="251" spans="2:11">
      <c r="B251" s="197">
        <v>383</v>
      </c>
      <c r="C251" s="198" t="s">
        <v>302</v>
      </c>
      <c r="D251" s="292" t="s">
        <v>452</v>
      </c>
      <c r="E251" s="199"/>
      <c r="F251" s="199"/>
      <c r="G251" s="199"/>
      <c r="H251" s="199"/>
      <c r="I251" s="199"/>
      <c r="J251" s="199"/>
      <c r="K251" s="200"/>
    </row>
    <row r="252" spans="2:11">
      <c r="B252" s="197">
        <v>337</v>
      </c>
      <c r="C252" s="198" t="s">
        <v>256</v>
      </c>
      <c r="D252" s="292" t="s">
        <v>487</v>
      </c>
      <c r="E252" s="199"/>
      <c r="F252" s="199"/>
      <c r="G252" s="199"/>
      <c r="H252" s="199"/>
      <c r="I252" s="199"/>
      <c r="J252" s="199"/>
      <c r="K252" s="200"/>
    </row>
    <row r="253" spans="2:11">
      <c r="B253" s="197">
        <v>327</v>
      </c>
      <c r="C253" s="198" t="s">
        <v>246</v>
      </c>
      <c r="D253" s="292" t="s">
        <v>486</v>
      </c>
      <c r="E253" s="199"/>
      <c r="F253" s="199"/>
      <c r="G253" s="199"/>
      <c r="H253" s="199"/>
      <c r="I253" s="199"/>
      <c r="J253" s="199"/>
      <c r="K253" s="200"/>
    </row>
    <row r="254" spans="2:11">
      <c r="B254" s="197">
        <v>346</v>
      </c>
      <c r="C254" s="198" t="s">
        <v>265</v>
      </c>
      <c r="D254" s="292" t="s">
        <v>478</v>
      </c>
      <c r="E254" s="199"/>
      <c r="F254" s="199"/>
      <c r="G254" s="199"/>
      <c r="H254" s="199"/>
      <c r="I254" s="199"/>
      <c r="J254" s="199"/>
      <c r="K254" s="200"/>
    </row>
    <row r="255" spans="2:11">
      <c r="B255" s="197">
        <v>336</v>
      </c>
      <c r="C255" s="198" t="s">
        <v>255</v>
      </c>
      <c r="D255" s="292" t="s">
        <v>477</v>
      </c>
      <c r="E255" s="199"/>
      <c r="F255" s="199"/>
      <c r="G255" s="199"/>
      <c r="H255" s="199"/>
      <c r="I255" s="199"/>
      <c r="J255" s="199"/>
      <c r="K255" s="200"/>
    </row>
    <row r="256" spans="2:11">
      <c r="B256" s="197">
        <v>347</v>
      </c>
      <c r="C256" s="198" t="s">
        <v>266</v>
      </c>
      <c r="D256" s="292" t="s">
        <v>488</v>
      </c>
      <c r="E256" s="199"/>
      <c r="F256" s="199"/>
      <c r="G256" s="199"/>
      <c r="H256" s="199"/>
      <c r="I256" s="199"/>
      <c r="J256" s="199"/>
      <c r="K256" s="200"/>
    </row>
    <row r="257" spans="2:11">
      <c r="B257" s="197">
        <v>357</v>
      </c>
      <c r="C257" s="198" t="s">
        <v>276</v>
      </c>
      <c r="D257" s="292" t="s">
        <v>488</v>
      </c>
      <c r="E257" s="199"/>
      <c r="F257" s="199"/>
      <c r="G257" s="199"/>
      <c r="H257" s="199"/>
      <c r="I257" s="199"/>
      <c r="J257" s="199"/>
      <c r="K257" s="200"/>
    </row>
    <row r="258" spans="2:11">
      <c r="B258" s="197">
        <v>338</v>
      </c>
      <c r="C258" s="198" t="s">
        <v>257</v>
      </c>
      <c r="D258" s="292" t="s">
        <v>488</v>
      </c>
      <c r="E258" s="199"/>
      <c r="F258" s="199"/>
      <c r="G258" s="199"/>
      <c r="H258" s="199"/>
      <c r="I258" s="199"/>
      <c r="J258" s="199"/>
      <c r="K258" s="200"/>
    </row>
    <row r="259" spans="2:11">
      <c r="B259" s="197">
        <v>348</v>
      </c>
      <c r="C259" s="198" t="s">
        <v>267</v>
      </c>
      <c r="D259" s="292" t="s">
        <v>488</v>
      </c>
      <c r="E259" s="199"/>
      <c r="F259" s="199"/>
      <c r="G259" s="199"/>
      <c r="H259" s="199"/>
      <c r="I259" s="199"/>
      <c r="J259" s="199"/>
      <c r="K259" s="200"/>
    </row>
    <row r="260" spans="2:11">
      <c r="B260" s="197">
        <v>358</v>
      </c>
      <c r="C260" s="198" t="s">
        <v>277</v>
      </c>
      <c r="D260" s="292" t="s">
        <v>488</v>
      </c>
      <c r="E260" s="199"/>
      <c r="F260" s="199"/>
      <c r="G260" s="199"/>
      <c r="H260" s="199"/>
      <c r="I260" s="199"/>
      <c r="J260" s="199"/>
      <c r="K260" s="200"/>
    </row>
    <row r="261" spans="2:11">
      <c r="B261" s="197">
        <v>339</v>
      </c>
      <c r="C261" s="198" t="s">
        <v>258</v>
      </c>
      <c r="D261" s="292" t="s">
        <v>488</v>
      </c>
      <c r="E261" s="199"/>
      <c r="F261" s="199"/>
      <c r="G261" s="199"/>
      <c r="H261" s="199"/>
      <c r="I261" s="199"/>
      <c r="J261" s="199"/>
      <c r="K261" s="200"/>
    </row>
    <row r="262" spans="2:11">
      <c r="B262" s="197">
        <v>349</v>
      </c>
      <c r="C262" s="198" t="s">
        <v>268</v>
      </c>
      <c r="D262" s="292" t="s">
        <v>488</v>
      </c>
      <c r="E262" s="199"/>
      <c r="F262" s="199"/>
      <c r="G262" s="199"/>
      <c r="H262" s="199"/>
      <c r="I262" s="199"/>
      <c r="J262" s="199"/>
      <c r="K262" s="200"/>
    </row>
    <row r="263" spans="2:11">
      <c r="B263" s="197">
        <v>359</v>
      </c>
      <c r="C263" s="198" t="s">
        <v>278</v>
      </c>
      <c r="D263" s="292" t="s">
        <v>488</v>
      </c>
      <c r="E263" s="199"/>
      <c r="F263" s="199"/>
      <c r="G263" s="199"/>
      <c r="H263" s="199"/>
      <c r="I263" s="199"/>
      <c r="J263" s="199"/>
      <c r="K263" s="200"/>
    </row>
    <row r="264" spans="2:11">
      <c r="B264" s="197">
        <v>340</v>
      </c>
      <c r="C264" s="198" t="s">
        <v>259</v>
      </c>
      <c r="D264" s="292" t="s">
        <v>488</v>
      </c>
      <c r="E264" s="199"/>
      <c r="F264" s="199"/>
      <c r="G264" s="199"/>
      <c r="H264" s="199"/>
      <c r="I264" s="199"/>
      <c r="J264" s="199"/>
      <c r="K264" s="200"/>
    </row>
    <row r="265" spans="2:11">
      <c r="B265" s="197">
        <v>350</v>
      </c>
      <c r="C265" s="198" t="s">
        <v>269</v>
      </c>
      <c r="D265" s="292" t="s">
        <v>488</v>
      </c>
      <c r="E265" s="199"/>
      <c r="F265" s="199"/>
      <c r="G265" s="199"/>
      <c r="H265" s="199"/>
      <c r="I265" s="199"/>
      <c r="J265" s="199"/>
      <c r="K265" s="200"/>
    </row>
    <row r="266" spans="2:11">
      <c r="B266" s="197">
        <v>360</v>
      </c>
      <c r="C266" s="198" t="s">
        <v>279</v>
      </c>
      <c r="D266" s="292" t="s">
        <v>488</v>
      </c>
      <c r="E266" s="199"/>
      <c r="F266" s="199"/>
      <c r="G266" s="199"/>
      <c r="H266" s="199"/>
      <c r="I266" s="199"/>
      <c r="J266" s="199"/>
      <c r="K266" s="200"/>
    </row>
    <row r="267" spans="2:11">
      <c r="B267" s="197">
        <v>356</v>
      </c>
      <c r="C267" s="198" t="s">
        <v>275</v>
      </c>
      <c r="D267" s="292" t="s">
        <v>479</v>
      </c>
      <c r="E267" s="199"/>
      <c r="F267" s="199"/>
      <c r="G267" s="199"/>
      <c r="H267" s="199"/>
      <c r="I267" s="199"/>
      <c r="J267" s="199"/>
      <c r="K267" s="200"/>
    </row>
    <row r="268" spans="2:11">
      <c r="B268" s="197">
        <v>385</v>
      </c>
      <c r="C268" s="198" t="s">
        <v>304</v>
      </c>
      <c r="D268" s="292" t="s">
        <v>469</v>
      </c>
      <c r="E268" s="199"/>
      <c r="F268" s="199"/>
      <c r="G268" s="199"/>
      <c r="H268" s="199"/>
      <c r="I268" s="199"/>
      <c r="J268" s="199"/>
      <c r="K268" s="200"/>
    </row>
    <row r="269" spans="2:11">
      <c r="B269" s="197">
        <v>395</v>
      </c>
      <c r="C269" s="198" t="s">
        <v>314</v>
      </c>
      <c r="D269" s="292" t="s">
        <v>470</v>
      </c>
      <c r="E269" s="199"/>
      <c r="F269" s="199"/>
      <c r="G269" s="199"/>
      <c r="H269" s="199"/>
      <c r="I269" s="199"/>
      <c r="J269" s="199"/>
      <c r="K269" s="200"/>
    </row>
    <row r="270" spans="2:11">
      <c r="B270" s="197">
        <v>341</v>
      </c>
      <c r="C270" s="198" t="s">
        <v>260</v>
      </c>
      <c r="D270" s="292" t="s">
        <v>336</v>
      </c>
      <c r="E270" s="199"/>
      <c r="F270" s="199"/>
      <c r="G270" s="199"/>
      <c r="H270" s="199"/>
      <c r="I270" s="199"/>
      <c r="J270" s="199"/>
      <c r="K270" s="200"/>
    </row>
    <row r="271" spans="2:11">
      <c r="B271" s="197">
        <v>351</v>
      </c>
      <c r="C271" s="198" t="s">
        <v>270</v>
      </c>
      <c r="D271" s="292" t="s">
        <v>336</v>
      </c>
      <c r="E271" s="199"/>
      <c r="F271" s="199"/>
      <c r="G271" s="199"/>
      <c r="H271" s="199"/>
      <c r="I271" s="199"/>
      <c r="J271" s="199"/>
      <c r="K271" s="200"/>
    </row>
    <row r="272" spans="2:11">
      <c r="B272" s="197">
        <v>342</v>
      </c>
      <c r="C272" s="198" t="s">
        <v>261</v>
      </c>
      <c r="D272" s="292" t="s">
        <v>336</v>
      </c>
      <c r="E272" s="199"/>
      <c r="F272" s="199"/>
      <c r="G272" s="199"/>
      <c r="H272" s="199"/>
      <c r="I272" s="199"/>
      <c r="J272" s="199"/>
      <c r="K272" s="200"/>
    </row>
    <row r="273" spans="2:11">
      <c r="B273" s="197">
        <v>352</v>
      </c>
      <c r="C273" s="198" t="s">
        <v>271</v>
      </c>
      <c r="D273" s="292" t="s">
        <v>336</v>
      </c>
      <c r="E273" s="199"/>
      <c r="F273" s="199"/>
      <c r="G273" s="199"/>
      <c r="H273" s="199"/>
      <c r="I273" s="199"/>
      <c r="J273" s="199"/>
      <c r="K273" s="200"/>
    </row>
    <row r="274" spans="2:11">
      <c r="B274" s="197">
        <v>333</v>
      </c>
      <c r="C274" s="198" t="s">
        <v>252</v>
      </c>
      <c r="D274" s="292" t="s">
        <v>336</v>
      </c>
      <c r="E274" s="199"/>
      <c r="F274" s="199"/>
      <c r="G274" s="199"/>
      <c r="H274" s="199"/>
      <c r="I274" s="199"/>
      <c r="J274" s="199"/>
      <c r="K274" s="200"/>
    </row>
    <row r="275" spans="2:11">
      <c r="B275" s="197">
        <v>343</v>
      </c>
      <c r="C275" s="198" t="s">
        <v>262</v>
      </c>
      <c r="D275" s="292" t="s">
        <v>336</v>
      </c>
      <c r="E275" s="199"/>
      <c r="F275" s="199"/>
      <c r="G275" s="199"/>
      <c r="H275" s="199"/>
      <c r="I275" s="199"/>
      <c r="J275" s="199"/>
      <c r="K275" s="200"/>
    </row>
    <row r="276" spans="2:11">
      <c r="B276" s="197">
        <v>334</v>
      </c>
      <c r="C276" s="198" t="s">
        <v>253</v>
      </c>
      <c r="D276" s="292" t="s">
        <v>336</v>
      </c>
      <c r="E276" s="199"/>
      <c r="F276" s="199"/>
      <c r="G276" s="199"/>
      <c r="H276" s="199"/>
      <c r="I276" s="199"/>
      <c r="J276" s="199"/>
      <c r="K276" s="200"/>
    </row>
    <row r="277" spans="2:11">
      <c r="B277" s="197">
        <v>344</v>
      </c>
      <c r="C277" s="198" t="s">
        <v>263</v>
      </c>
      <c r="D277" s="292" t="s">
        <v>336</v>
      </c>
      <c r="E277" s="199"/>
      <c r="F277" s="199"/>
      <c r="G277" s="199"/>
      <c r="H277" s="199"/>
      <c r="I277" s="199"/>
      <c r="J277" s="199"/>
      <c r="K277" s="200"/>
    </row>
    <row r="278" spans="2:11">
      <c r="B278" s="197">
        <v>345</v>
      </c>
      <c r="C278" s="198" t="s">
        <v>264</v>
      </c>
      <c r="D278" s="292" t="s">
        <v>336</v>
      </c>
      <c r="E278" s="199"/>
      <c r="F278" s="199"/>
      <c r="G278" s="199"/>
      <c r="H278" s="199"/>
      <c r="I278" s="199"/>
      <c r="J278" s="199"/>
      <c r="K278" s="200"/>
    </row>
    <row r="279" spans="2:11">
      <c r="B279" s="197">
        <v>355</v>
      </c>
      <c r="C279" s="198" t="s">
        <v>274</v>
      </c>
      <c r="D279" s="292" t="s">
        <v>336</v>
      </c>
      <c r="E279" s="199"/>
      <c r="F279" s="199"/>
      <c r="G279" s="199"/>
      <c r="H279" s="199"/>
      <c r="I279" s="199"/>
      <c r="J279" s="199"/>
      <c r="K279" s="200"/>
    </row>
    <row r="280" spans="2:11">
      <c r="B280" s="197">
        <v>396</v>
      </c>
      <c r="C280" s="198" t="s">
        <v>315</v>
      </c>
      <c r="D280" s="292" t="s">
        <v>481</v>
      </c>
      <c r="E280" s="199"/>
      <c r="F280" s="199"/>
      <c r="G280" s="199"/>
      <c r="H280" s="199"/>
      <c r="I280" s="199"/>
      <c r="J280" s="199"/>
      <c r="K280" s="200"/>
    </row>
    <row r="281" spans="2:11">
      <c r="B281" s="197">
        <v>386</v>
      </c>
      <c r="C281" s="198" t="s">
        <v>305</v>
      </c>
      <c r="D281" s="292" t="s">
        <v>480</v>
      </c>
      <c r="E281" s="199"/>
      <c r="F281" s="199"/>
      <c r="G281" s="199"/>
      <c r="H281" s="199"/>
      <c r="I281" s="199"/>
      <c r="J281" s="199"/>
      <c r="K281" s="200"/>
    </row>
    <row r="282" spans="2:11">
      <c r="B282" s="197">
        <v>387</v>
      </c>
      <c r="C282" s="198" t="s">
        <v>306</v>
      </c>
      <c r="D282" s="292" t="s">
        <v>489</v>
      </c>
      <c r="E282" s="199"/>
      <c r="F282" s="199"/>
      <c r="G282" s="199"/>
      <c r="H282" s="199"/>
      <c r="I282" s="199"/>
      <c r="J282" s="199"/>
      <c r="K282" s="200"/>
    </row>
    <row r="283" spans="2:11">
      <c r="B283" s="197">
        <v>388</v>
      </c>
      <c r="C283" s="198" t="s">
        <v>307</v>
      </c>
      <c r="D283" s="292" t="s">
        <v>495</v>
      </c>
      <c r="E283" s="199"/>
      <c r="F283" s="199"/>
      <c r="G283" s="199"/>
      <c r="H283" s="199"/>
      <c r="I283" s="199"/>
      <c r="J283" s="199"/>
      <c r="K283" s="200"/>
    </row>
    <row r="284" spans="2:11">
      <c r="B284" s="197">
        <v>392</v>
      </c>
      <c r="C284" s="198" t="s">
        <v>311</v>
      </c>
      <c r="D284" s="292" t="s">
        <v>440</v>
      </c>
      <c r="E284" s="199"/>
      <c r="F284" s="199"/>
      <c r="G284" s="199"/>
      <c r="H284" s="199"/>
      <c r="I284" s="199"/>
      <c r="J284" s="199"/>
      <c r="K284" s="200"/>
    </row>
    <row r="285" spans="2:11">
      <c r="B285" s="197">
        <v>382</v>
      </c>
      <c r="C285" s="198" t="s">
        <v>301</v>
      </c>
      <c r="D285" s="292" t="s">
        <v>441</v>
      </c>
      <c r="E285" s="199"/>
      <c r="F285" s="199"/>
      <c r="G285" s="199"/>
      <c r="H285" s="199"/>
      <c r="I285" s="199"/>
      <c r="J285" s="199"/>
      <c r="K285" s="200"/>
    </row>
    <row r="286" spans="2:11">
      <c r="B286" s="42">
        <v>194</v>
      </c>
      <c r="C286" s="21" t="s">
        <v>113</v>
      </c>
      <c r="D286" s="22" t="s">
        <v>587</v>
      </c>
      <c r="E286" s="323" t="s">
        <v>875</v>
      </c>
      <c r="F286" s="323"/>
      <c r="G286" s="389" t="s">
        <v>1027</v>
      </c>
      <c r="H286" s="383" t="s">
        <v>916</v>
      </c>
      <c r="I286" s="5"/>
      <c r="J286" s="5"/>
      <c r="K286" s="14"/>
    </row>
    <row r="287" spans="2:11">
      <c r="B287" s="42">
        <v>193</v>
      </c>
      <c r="C287" s="21" t="s">
        <v>112</v>
      </c>
      <c r="D287" s="22" t="s">
        <v>564</v>
      </c>
      <c r="E287" s="323" t="s">
        <v>875</v>
      </c>
      <c r="F287" s="323"/>
      <c r="G287" s="389" t="s">
        <v>1028</v>
      </c>
      <c r="H287" s="312" t="s">
        <v>916</v>
      </c>
      <c r="I287" s="5"/>
      <c r="J287" s="5"/>
      <c r="K287" s="14"/>
    </row>
    <row r="288" spans="2:11">
      <c r="B288" s="42">
        <v>184</v>
      </c>
      <c r="C288" s="21" t="s">
        <v>103</v>
      </c>
      <c r="D288" s="22" t="s">
        <v>586</v>
      </c>
      <c r="E288" s="323" t="s">
        <v>875</v>
      </c>
      <c r="F288" s="323"/>
      <c r="G288" s="389" t="s">
        <v>1025</v>
      </c>
      <c r="H288" s="312" t="s">
        <v>916</v>
      </c>
      <c r="I288" s="5"/>
      <c r="J288" s="5"/>
      <c r="K288" s="14"/>
    </row>
    <row r="289" spans="2:11">
      <c r="B289" s="42">
        <v>183</v>
      </c>
      <c r="C289" s="21" t="s">
        <v>102</v>
      </c>
      <c r="D289" s="22" t="s">
        <v>563</v>
      </c>
      <c r="E289" s="323" t="s">
        <v>875</v>
      </c>
      <c r="F289" s="323"/>
      <c r="G289" s="389" t="s">
        <v>1026</v>
      </c>
      <c r="H289" s="312" t="s">
        <v>916</v>
      </c>
      <c r="I289" s="5"/>
      <c r="J289" s="5"/>
      <c r="K289" s="14"/>
    </row>
    <row r="290" spans="2:11">
      <c r="B290" s="42">
        <v>182</v>
      </c>
      <c r="C290" s="21" t="s">
        <v>101</v>
      </c>
      <c r="D290" s="22" t="s">
        <v>542</v>
      </c>
      <c r="E290" s="323" t="s">
        <v>875</v>
      </c>
      <c r="F290" s="323"/>
      <c r="G290" s="389" t="s">
        <v>1023</v>
      </c>
      <c r="H290" s="312" t="s">
        <v>916</v>
      </c>
      <c r="I290" s="5"/>
      <c r="J290" s="5"/>
      <c r="K290" s="14"/>
    </row>
    <row r="291" spans="2:11">
      <c r="B291" s="42">
        <v>192</v>
      </c>
      <c r="C291" s="21" t="s">
        <v>111</v>
      </c>
      <c r="D291" s="22" t="s">
        <v>543</v>
      </c>
      <c r="E291" s="323" t="s">
        <v>875</v>
      </c>
      <c r="F291" s="323"/>
      <c r="G291" s="389" t="s">
        <v>1024</v>
      </c>
      <c r="H291" s="312" t="s">
        <v>916</v>
      </c>
      <c r="I291" s="5"/>
      <c r="J291" s="5"/>
      <c r="K291" s="14"/>
    </row>
    <row r="292" spans="2:11">
      <c r="B292" s="42">
        <v>214</v>
      </c>
      <c r="C292" s="21" t="s">
        <v>133</v>
      </c>
      <c r="D292" s="22" t="s">
        <v>589</v>
      </c>
      <c r="E292" s="323" t="s">
        <v>875</v>
      </c>
      <c r="F292" s="323"/>
      <c r="G292" s="389" t="s">
        <v>998</v>
      </c>
      <c r="H292" s="312" t="s">
        <v>916</v>
      </c>
      <c r="I292" s="5"/>
      <c r="J292" s="5"/>
      <c r="K292" s="14"/>
    </row>
    <row r="293" spans="2:11">
      <c r="B293" s="42">
        <v>213</v>
      </c>
      <c r="C293" s="21" t="s">
        <v>132</v>
      </c>
      <c r="D293" s="22" t="s">
        <v>566</v>
      </c>
      <c r="E293" s="323" t="s">
        <v>875</v>
      </c>
      <c r="F293" s="323"/>
      <c r="G293" s="389" t="s">
        <v>999</v>
      </c>
      <c r="H293" s="312" t="s">
        <v>916</v>
      </c>
      <c r="I293" s="5"/>
      <c r="J293" s="5"/>
      <c r="K293" s="14"/>
    </row>
    <row r="294" spans="2:11">
      <c r="B294" s="42">
        <v>204</v>
      </c>
      <c r="C294" s="21" t="s">
        <v>123</v>
      </c>
      <c r="D294" s="22" t="s">
        <v>588</v>
      </c>
      <c r="E294" s="323" t="s">
        <v>875</v>
      </c>
      <c r="F294" s="323"/>
      <c r="G294" s="389" t="s">
        <v>996</v>
      </c>
      <c r="H294" s="312" t="s">
        <v>916</v>
      </c>
      <c r="I294" s="5"/>
      <c r="J294" s="5"/>
      <c r="K294" s="14"/>
    </row>
    <row r="295" spans="2:11">
      <c r="B295" s="42">
        <v>203</v>
      </c>
      <c r="C295" s="21" t="s">
        <v>122</v>
      </c>
      <c r="D295" s="22" t="s">
        <v>565</v>
      </c>
      <c r="E295" s="323" t="s">
        <v>875</v>
      </c>
      <c r="F295" s="323"/>
      <c r="G295" s="389" t="s">
        <v>997</v>
      </c>
      <c r="H295" s="312" t="s">
        <v>916</v>
      </c>
      <c r="I295" s="5"/>
      <c r="J295" s="5"/>
      <c r="K295" s="14"/>
    </row>
    <row r="296" spans="2:11">
      <c r="B296" s="42">
        <v>176</v>
      </c>
      <c r="C296" s="21" t="s">
        <v>95</v>
      </c>
      <c r="D296" s="22" t="s">
        <v>617</v>
      </c>
      <c r="E296" s="323" t="s">
        <v>875</v>
      </c>
      <c r="F296" s="323"/>
      <c r="G296" s="389" t="s">
        <v>994</v>
      </c>
      <c r="H296" s="312" t="s">
        <v>916</v>
      </c>
      <c r="I296" s="5"/>
      <c r="J296" s="5"/>
      <c r="K296" s="14"/>
    </row>
    <row r="297" spans="2:11">
      <c r="B297" s="42">
        <v>175</v>
      </c>
      <c r="C297" s="21" t="s">
        <v>94</v>
      </c>
      <c r="D297" s="22" t="s">
        <v>604</v>
      </c>
      <c r="E297" s="323" t="s">
        <v>875</v>
      </c>
      <c r="F297" s="323"/>
      <c r="G297" s="389" t="s">
        <v>995</v>
      </c>
      <c r="H297" s="312" t="s">
        <v>916</v>
      </c>
      <c r="I297" s="5"/>
      <c r="J297" s="5"/>
      <c r="K297" s="14"/>
    </row>
    <row r="298" spans="2:11">
      <c r="B298" s="42">
        <v>114</v>
      </c>
      <c r="C298" s="21" t="s">
        <v>33</v>
      </c>
      <c r="D298" s="22" t="s">
        <v>585</v>
      </c>
      <c r="E298" s="323" t="s">
        <v>875</v>
      </c>
      <c r="F298" s="323"/>
      <c r="G298" s="389" t="s">
        <v>1006</v>
      </c>
      <c r="H298" s="312" t="s">
        <v>916</v>
      </c>
      <c r="I298" s="5"/>
      <c r="J298" s="5"/>
      <c r="K298" s="14"/>
    </row>
    <row r="299" spans="2:11">
      <c r="B299" s="42">
        <v>115</v>
      </c>
      <c r="C299" s="21" t="s">
        <v>34</v>
      </c>
      <c r="D299" s="22" t="s">
        <v>603</v>
      </c>
      <c r="E299" s="323" t="s">
        <v>875</v>
      </c>
      <c r="F299" s="323"/>
      <c r="G299" s="389" t="s">
        <v>1007</v>
      </c>
      <c r="H299" s="312" t="s">
        <v>916</v>
      </c>
      <c r="I299" s="5"/>
      <c r="J299" s="5"/>
      <c r="K299" s="14"/>
    </row>
    <row r="300" spans="2:11">
      <c r="B300" s="42">
        <v>122</v>
      </c>
      <c r="C300" s="21" t="s">
        <v>41</v>
      </c>
      <c r="D300" s="22" t="s">
        <v>540</v>
      </c>
      <c r="E300" s="323" t="s">
        <v>875</v>
      </c>
      <c r="F300" s="323"/>
      <c r="G300" s="389" t="s">
        <v>1029</v>
      </c>
      <c r="H300" s="312" t="s">
        <v>916</v>
      </c>
      <c r="I300" s="5"/>
      <c r="J300" s="5"/>
      <c r="K300" s="14"/>
    </row>
    <row r="301" spans="2:11">
      <c r="B301" s="42">
        <v>123</v>
      </c>
      <c r="C301" s="21" t="s">
        <v>42</v>
      </c>
      <c r="D301" s="22" t="s">
        <v>561</v>
      </c>
      <c r="E301" s="323" t="s">
        <v>875</v>
      </c>
      <c r="F301" s="323"/>
      <c r="G301" s="389" t="s">
        <v>1030</v>
      </c>
      <c r="H301" s="312" t="s">
        <v>916</v>
      </c>
      <c r="I301" s="5"/>
      <c r="J301" s="5"/>
      <c r="K301" s="14"/>
    </row>
    <row r="302" spans="2:11">
      <c r="B302" s="42">
        <v>112</v>
      </c>
      <c r="C302" s="21" t="s">
        <v>31</v>
      </c>
      <c r="D302" s="22" t="s">
        <v>539</v>
      </c>
      <c r="E302" s="323" t="s">
        <v>875</v>
      </c>
      <c r="F302" s="323"/>
      <c r="G302" s="389" t="s">
        <v>1000</v>
      </c>
      <c r="H302" s="312" t="s">
        <v>916</v>
      </c>
      <c r="I302" s="5"/>
      <c r="J302" s="5"/>
      <c r="K302" s="14"/>
    </row>
    <row r="303" spans="2:11">
      <c r="B303" s="42">
        <v>113</v>
      </c>
      <c r="C303" s="21" t="s">
        <v>32</v>
      </c>
      <c r="D303" s="22" t="s">
        <v>560</v>
      </c>
      <c r="E303" s="323" t="s">
        <v>875</v>
      </c>
      <c r="F303" s="323"/>
      <c r="G303" s="389" t="s">
        <v>1001</v>
      </c>
      <c r="H303" s="312" t="s">
        <v>916</v>
      </c>
      <c r="I303" s="5"/>
      <c r="J303" s="5"/>
      <c r="K303" s="14"/>
    </row>
    <row r="304" spans="2:11">
      <c r="B304" s="42">
        <v>141</v>
      </c>
      <c r="C304" s="21" t="s">
        <v>60</v>
      </c>
      <c r="D304" s="22" t="s">
        <v>526</v>
      </c>
      <c r="E304" s="323" t="s">
        <v>875</v>
      </c>
      <c r="F304" s="323"/>
      <c r="G304" s="389" t="s">
        <v>1002</v>
      </c>
      <c r="H304" s="312" t="s">
        <v>916</v>
      </c>
      <c r="I304" s="5"/>
      <c r="J304" s="5"/>
      <c r="K304" s="14"/>
    </row>
    <row r="305" spans="2:11">
      <c r="B305" s="42">
        <v>131</v>
      </c>
      <c r="C305" s="21" t="s">
        <v>50</v>
      </c>
      <c r="D305" s="22" t="s">
        <v>525</v>
      </c>
      <c r="E305" s="323" t="s">
        <v>875</v>
      </c>
      <c r="F305" s="323"/>
      <c r="G305" s="389" t="s">
        <v>1003</v>
      </c>
      <c r="H305" s="312" t="s">
        <v>916</v>
      </c>
      <c r="I305" s="5"/>
      <c r="J305" s="5"/>
      <c r="K305" s="14"/>
    </row>
    <row r="306" spans="2:11">
      <c r="B306" s="42">
        <v>121</v>
      </c>
      <c r="C306" s="21" t="s">
        <v>40</v>
      </c>
      <c r="D306" s="22" t="s">
        <v>524</v>
      </c>
      <c r="E306" s="323" t="s">
        <v>875</v>
      </c>
      <c r="F306" s="323"/>
      <c r="G306" s="389" t="s">
        <v>1004</v>
      </c>
      <c r="H306" s="312" t="s">
        <v>916</v>
      </c>
      <c r="I306" s="5"/>
      <c r="J306" s="5"/>
      <c r="K306" s="14"/>
    </row>
    <row r="307" spans="2:11">
      <c r="B307" s="42">
        <v>111</v>
      </c>
      <c r="C307" s="21" t="s">
        <v>30</v>
      </c>
      <c r="D307" s="22" t="s">
        <v>523</v>
      </c>
      <c r="E307" s="323" t="s">
        <v>875</v>
      </c>
      <c r="F307" s="323"/>
      <c r="G307" s="389" t="s">
        <v>1005</v>
      </c>
      <c r="H307" s="312" t="s">
        <v>916</v>
      </c>
      <c r="I307" s="5"/>
      <c r="J307" s="5"/>
      <c r="K307" s="14"/>
    </row>
    <row r="308" spans="2:11">
      <c r="B308" s="42">
        <v>132</v>
      </c>
      <c r="C308" s="21" t="s">
        <v>51</v>
      </c>
      <c r="D308" s="22" t="s">
        <v>541</v>
      </c>
      <c r="E308" s="323" t="s">
        <v>875</v>
      </c>
      <c r="F308" s="323"/>
      <c r="G308" s="389" t="s">
        <v>1008</v>
      </c>
      <c r="H308" s="312" t="s">
        <v>916</v>
      </c>
      <c r="I308" s="5"/>
      <c r="J308" s="5"/>
      <c r="K308" s="14"/>
    </row>
    <row r="309" spans="2:11">
      <c r="B309" s="42">
        <v>133</v>
      </c>
      <c r="C309" s="21" t="s">
        <v>52</v>
      </c>
      <c r="D309" s="22" t="s">
        <v>562</v>
      </c>
      <c r="E309" s="323" t="s">
        <v>875</v>
      </c>
      <c r="F309" s="323"/>
      <c r="G309" s="389" t="s">
        <v>1009</v>
      </c>
      <c r="H309" s="312" t="s">
        <v>916</v>
      </c>
      <c r="I309" s="5"/>
      <c r="J309" s="5"/>
      <c r="K309" s="14"/>
    </row>
    <row r="310" spans="2:11">
      <c r="B310" s="42">
        <v>124</v>
      </c>
      <c r="C310" s="21" t="s">
        <v>43</v>
      </c>
      <c r="D310" s="327" t="s">
        <v>465</v>
      </c>
      <c r="E310" s="323" t="s">
        <v>875</v>
      </c>
      <c r="F310" s="5"/>
      <c r="G310" s="387" t="s">
        <v>186</v>
      </c>
      <c r="H310" s="5"/>
      <c r="I310" s="5"/>
      <c r="J310" s="5"/>
      <c r="K310" s="14"/>
    </row>
    <row r="311" spans="2:11">
      <c r="B311" s="42">
        <v>125</v>
      </c>
      <c r="C311" s="21" t="s">
        <v>44</v>
      </c>
      <c r="D311" s="327" t="s">
        <v>456</v>
      </c>
      <c r="E311" s="323" t="s">
        <v>875</v>
      </c>
      <c r="F311" s="5"/>
      <c r="G311" s="387" t="s">
        <v>196</v>
      </c>
      <c r="H311" s="5"/>
      <c r="I311" s="5"/>
      <c r="J311" s="5"/>
      <c r="K311" s="14"/>
    </row>
    <row r="312" spans="2:11">
      <c r="B312" s="42">
        <v>162</v>
      </c>
      <c r="C312" s="21" t="s">
        <v>81</v>
      </c>
      <c r="D312" s="22" t="s">
        <v>433</v>
      </c>
      <c r="E312" s="5"/>
      <c r="F312" s="5"/>
      <c r="G312" s="5"/>
      <c r="H312" s="5"/>
      <c r="I312" s="5"/>
      <c r="J312" s="5"/>
      <c r="K312" s="14"/>
    </row>
    <row r="313" spans="2:11">
      <c r="B313" s="42">
        <v>161</v>
      </c>
      <c r="C313" s="21" t="s">
        <v>80</v>
      </c>
      <c r="D313" s="327" t="s">
        <v>327</v>
      </c>
      <c r="E313" s="323" t="s">
        <v>875</v>
      </c>
      <c r="F313" s="323"/>
      <c r="G313" s="388" t="s">
        <v>167</v>
      </c>
      <c r="H313" s="5"/>
      <c r="I313" s="5"/>
      <c r="J313" s="5"/>
      <c r="K313" s="14"/>
    </row>
    <row r="314" spans="2:11">
      <c r="B314" s="42">
        <v>164</v>
      </c>
      <c r="C314" s="21" t="s">
        <v>83</v>
      </c>
      <c r="D314" s="22" t="s">
        <v>458</v>
      </c>
      <c r="E314" s="5"/>
      <c r="F314" s="5"/>
      <c r="G314" s="5"/>
      <c r="H314" s="5"/>
      <c r="I314" s="5"/>
      <c r="J314" s="5"/>
      <c r="K314" s="14"/>
    </row>
    <row r="315" spans="2:11">
      <c r="B315" s="42">
        <v>163</v>
      </c>
      <c r="C315" s="21" t="s">
        <v>82</v>
      </c>
      <c r="D315" s="327" t="s">
        <v>448</v>
      </c>
      <c r="E315" s="323" t="s">
        <v>875</v>
      </c>
      <c r="F315" s="323"/>
      <c r="G315" s="387" t="s">
        <v>177</v>
      </c>
      <c r="H315" s="5"/>
      <c r="I315" s="5"/>
      <c r="J315" s="5"/>
      <c r="K315" s="14"/>
    </row>
    <row r="316" spans="2:11">
      <c r="B316" s="42">
        <v>181</v>
      </c>
      <c r="C316" s="21" t="s">
        <v>100</v>
      </c>
      <c r="D316" s="22" t="s">
        <v>432</v>
      </c>
      <c r="E316" s="5"/>
      <c r="F316" s="5"/>
      <c r="G316" s="5"/>
      <c r="H316" s="5"/>
      <c r="I316" s="5"/>
      <c r="J316" s="5"/>
      <c r="K316" s="14"/>
    </row>
    <row r="317" spans="2:11">
      <c r="B317" s="42">
        <v>191</v>
      </c>
      <c r="C317" s="21" t="s">
        <v>110</v>
      </c>
      <c r="D317" s="22" t="s">
        <v>432</v>
      </c>
      <c r="E317" s="5"/>
      <c r="F317" s="5"/>
      <c r="G317" s="5"/>
      <c r="H317" s="5"/>
      <c r="I317" s="5"/>
      <c r="J317" s="5"/>
      <c r="K317" s="14"/>
    </row>
    <row r="318" spans="2:11">
      <c r="B318" s="42">
        <v>201</v>
      </c>
      <c r="C318" s="21" t="s">
        <v>120</v>
      </c>
      <c r="D318" s="22" t="s">
        <v>432</v>
      </c>
      <c r="E318" s="5"/>
      <c r="F318" s="5"/>
      <c r="G318" s="5"/>
      <c r="H318" s="5"/>
      <c r="I318" s="5"/>
      <c r="J318" s="5"/>
      <c r="K318" s="14"/>
    </row>
    <row r="319" spans="2:11">
      <c r="B319" s="42">
        <v>211</v>
      </c>
      <c r="C319" s="21" t="s">
        <v>130</v>
      </c>
      <c r="D319" s="22" t="s">
        <v>432</v>
      </c>
      <c r="E319" s="5"/>
      <c r="F319" s="5"/>
      <c r="G319" s="5"/>
      <c r="H319" s="5"/>
      <c r="I319" s="5"/>
      <c r="J319" s="5"/>
      <c r="K319" s="14"/>
    </row>
    <row r="320" spans="2:11">
      <c r="B320" s="42">
        <v>185</v>
      </c>
      <c r="C320" s="21" t="s">
        <v>104</v>
      </c>
      <c r="D320" s="22" t="s">
        <v>432</v>
      </c>
      <c r="E320" s="5"/>
      <c r="F320" s="5"/>
      <c r="G320" s="5"/>
      <c r="H320" s="5"/>
      <c r="I320" s="5"/>
      <c r="J320" s="5"/>
      <c r="K320" s="14"/>
    </row>
    <row r="321" spans="2:11">
      <c r="B321" s="42">
        <v>195</v>
      </c>
      <c r="C321" s="21" t="s">
        <v>114</v>
      </c>
      <c r="D321" s="22" t="s">
        <v>432</v>
      </c>
      <c r="E321" s="5"/>
      <c r="F321" s="5"/>
      <c r="G321" s="5"/>
      <c r="H321" s="5"/>
      <c r="I321" s="5"/>
      <c r="J321" s="5"/>
      <c r="K321" s="14"/>
    </row>
    <row r="322" spans="2:11">
      <c r="B322" s="42">
        <v>205</v>
      </c>
      <c r="C322" s="21" t="s">
        <v>124</v>
      </c>
      <c r="D322" s="22" t="s">
        <v>432</v>
      </c>
      <c r="E322" s="5"/>
      <c r="F322" s="5"/>
      <c r="G322" s="5"/>
      <c r="H322" s="5"/>
      <c r="I322" s="5"/>
      <c r="J322" s="5"/>
      <c r="K322" s="14"/>
    </row>
    <row r="323" spans="2:11">
      <c r="B323" s="42">
        <v>215</v>
      </c>
      <c r="C323" s="21" t="s">
        <v>134</v>
      </c>
      <c r="D323" s="22" t="s">
        <v>432</v>
      </c>
      <c r="E323" s="5"/>
      <c r="F323" s="5"/>
      <c r="G323" s="5"/>
      <c r="H323" s="5"/>
      <c r="I323" s="5"/>
      <c r="J323" s="5"/>
      <c r="K323" s="14"/>
    </row>
    <row r="324" spans="2:11">
      <c r="B324" s="42">
        <v>186</v>
      </c>
      <c r="C324" s="21" t="s">
        <v>105</v>
      </c>
      <c r="D324" s="22" t="s">
        <v>432</v>
      </c>
      <c r="E324" s="5"/>
      <c r="F324" s="5"/>
      <c r="G324" s="5"/>
      <c r="H324" s="5"/>
      <c r="I324" s="5"/>
      <c r="J324" s="5"/>
      <c r="K324" s="14"/>
    </row>
    <row r="325" spans="2:11">
      <c r="B325" s="42">
        <v>196</v>
      </c>
      <c r="C325" s="21" t="s">
        <v>115</v>
      </c>
      <c r="D325" s="22" t="s">
        <v>432</v>
      </c>
      <c r="E325" s="5"/>
      <c r="F325" s="5"/>
      <c r="G325" s="5"/>
      <c r="H325" s="5"/>
      <c r="I325" s="5"/>
      <c r="J325" s="5"/>
      <c r="K325" s="14"/>
    </row>
    <row r="326" spans="2:11">
      <c r="B326" s="42">
        <v>151</v>
      </c>
      <c r="C326" s="21" t="s">
        <v>70</v>
      </c>
      <c r="D326" s="22" t="s">
        <v>326</v>
      </c>
      <c r="E326" s="5"/>
      <c r="F326" s="5"/>
      <c r="G326" s="5"/>
      <c r="H326" s="5"/>
      <c r="I326" s="5"/>
      <c r="J326" s="5"/>
      <c r="K326" s="14"/>
    </row>
    <row r="327" spans="2:11">
      <c r="B327" s="42">
        <v>172</v>
      </c>
      <c r="C327" s="21" t="s">
        <v>91</v>
      </c>
      <c r="D327" s="22" t="s">
        <v>434</v>
      </c>
      <c r="E327" s="5"/>
      <c r="F327" s="5"/>
      <c r="G327" s="5"/>
      <c r="H327" s="5"/>
      <c r="I327" s="5"/>
      <c r="J327" s="5"/>
      <c r="K327" s="14"/>
    </row>
    <row r="328" spans="2:11">
      <c r="B328" s="42">
        <v>171</v>
      </c>
      <c r="C328" s="21" t="s">
        <v>90</v>
      </c>
      <c r="D328" s="22" t="s">
        <v>328</v>
      </c>
      <c r="E328" s="5"/>
      <c r="F328" s="5"/>
      <c r="G328" s="5"/>
      <c r="H328" s="5"/>
      <c r="I328" s="5"/>
      <c r="J328" s="5"/>
      <c r="K328" s="14"/>
    </row>
    <row r="329" spans="2:11">
      <c r="B329" s="42">
        <v>142</v>
      </c>
      <c r="C329" s="21" t="s">
        <v>61</v>
      </c>
      <c r="D329" s="22" t="s">
        <v>329</v>
      </c>
      <c r="E329" s="5"/>
      <c r="F329" s="5"/>
      <c r="G329" s="5"/>
      <c r="H329" s="5"/>
      <c r="I329" s="5"/>
      <c r="J329" s="5"/>
      <c r="K329" s="14"/>
    </row>
    <row r="330" spans="2:11">
      <c r="B330" s="42">
        <v>152</v>
      </c>
      <c r="C330" s="21" t="s">
        <v>71</v>
      </c>
      <c r="D330" s="22" t="s">
        <v>329</v>
      </c>
      <c r="E330" s="5"/>
      <c r="F330" s="5"/>
      <c r="G330" s="5"/>
      <c r="H330" s="5"/>
      <c r="I330" s="5"/>
      <c r="J330" s="5"/>
      <c r="K330" s="14"/>
    </row>
    <row r="331" spans="2:11">
      <c r="B331" s="42">
        <v>143</v>
      </c>
      <c r="C331" s="21" t="s">
        <v>62</v>
      </c>
      <c r="D331" s="22" t="s">
        <v>329</v>
      </c>
      <c r="E331" s="5"/>
      <c r="F331" s="5"/>
      <c r="G331" s="5"/>
      <c r="H331" s="5"/>
      <c r="I331" s="5"/>
      <c r="J331" s="5"/>
      <c r="K331" s="14"/>
    </row>
    <row r="332" spans="2:11">
      <c r="B332" s="42">
        <v>153</v>
      </c>
      <c r="C332" s="21" t="s">
        <v>72</v>
      </c>
      <c r="D332" s="22" t="s">
        <v>329</v>
      </c>
      <c r="E332" s="5"/>
      <c r="F332" s="5"/>
      <c r="G332" s="5"/>
      <c r="H332" s="5"/>
      <c r="I332" s="5"/>
      <c r="J332" s="5"/>
      <c r="K332" s="14"/>
    </row>
    <row r="333" spans="2:11">
      <c r="B333" s="42">
        <v>144</v>
      </c>
      <c r="C333" s="21" t="s">
        <v>63</v>
      </c>
      <c r="D333" s="22" t="s">
        <v>329</v>
      </c>
      <c r="E333" s="5"/>
      <c r="F333" s="5"/>
      <c r="G333" s="5"/>
      <c r="H333" s="5"/>
      <c r="I333" s="5"/>
      <c r="J333" s="5"/>
      <c r="K333" s="14"/>
    </row>
    <row r="334" spans="2:11">
      <c r="B334" s="42">
        <v>154</v>
      </c>
      <c r="C334" s="21" t="s">
        <v>73</v>
      </c>
      <c r="D334" s="22" t="s">
        <v>329</v>
      </c>
      <c r="E334" s="5"/>
      <c r="F334" s="5"/>
      <c r="G334" s="5"/>
      <c r="H334" s="5"/>
      <c r="I334" s="5"/>
      <c r="J334" s="5"/>
      <c r="K334" s="14"/>
    </row>
    <row r="335" spans="2:11">
      <c r="B335" s="42">
        <v>145</v>
      </c>
      <c r="C335" s="21" t="s">
        <v>64</v>
      </c>
      <c r="D335" s="22" t="s">
        <v>329</v>
      </c>
      <c r="E335" s="5"/>
      <c r="F335" s="5"/>
      <c r="G335" s="5"/>
      <c r="H335" s="5"/>
      <c r="I335" s="5"/>
      <c r="J335" s="5"/>
      <c r="K335" s="14"/>
    </row>
    <row r="336" spans="2:11">
      <c r="B336" s="42">
        <v>155</v>
      </c>
      <c r="C336" s="21" t="s">
        <v>74</v>
      </c>
      <c r="D336" s="22" t="s">
        <v>329</v>
      </c>
      <c r="E336" s="5"/>
      <c r="F336" s="5"/>
      <c r="G336" s="5"/>
      <c r="H336" s="5"/>
      <c r="I336" s="5"/>
      <c r="J336" s="5"/>
      <c r="K336" s="14"/>
    </row>
    <row r="337" spans="2:11">
      <c r="B337" s="42">
        <v>165</v>
      </c>
      <c r="C337" s="21" t="s">
        <v>84</v>
      </c>
      <c r="D337" s="22" t="s">
        <v>329</v>
      </c>
      <c r="E337" s="5"/>
      <c r="F337" s="5"/>
      <c r="G337" s="5"/>
      <c r="H337" s="5"/>
      <c r="I337" s="5"/>
      <c r="J337" s="5"/>
      <c r="K337" s="14"/>
    </row>
    <row r="338" spans="2:11">
      <c r="B338" s="42">
        <v>146</v>
      </c>
      <c r="C338" s="21" t="s">
        <v>65</v>
      </c>
      <c r="D338" s="22" t="s">
        <v>329</v>
      </c>
      <c r="E338" s="5"/>
      <c r="F338" s="5"/>
      <c r="G338" s="5"/>
      <c r="H338" s="5"/>
      <c r="I338" s="5"/>
      <c r="J338" s="5"/>
      <c r="K338" s="14"/>
    </row>
    <row r="339" spans="2:11">
      <c r="B339" s="42">
        <v>156</v>
      </c>
      <c r="C339" s="21" t="s">
        <v>75</v>
      </c>
      <c r="D339" s="22" t="s">
        <v>329</v>
      </c>
      <c r="E339" s="5"/>
      <c r="F339" s="5"/>
      <c r="G339" s="5"/>
      <c r="H339" s="5"/>
      <c r="I339" s="5"/>
      <c r="J339" s="5"/>
      <c r="K339" s="14"/>
    </row>
    <row r="340" spans="2:11">
      <c r="B340" s="42">
        <v>166</v>
      </c>
      <c r="C340" s="21" t="s">
        <v>85</v>
      </c>
      <c r="D340" s="22" t="s">
        <v>329</v>
      </c>
      <c r="E340" s="5"/>
      <c r="F340" s="5"/>
      <c r="G340" s="5"/>
      <c r="H340" s="5"/>
      <c r="I340" s="5"/>
      <c r="J340" s="5"/>
      <c r="K340" s="14"/>
    </row>
    <row r="341" spans="2:11">
      <c r="B341" s="42">
        <v>212</v>
      </c>
      <c r="C341" s="21" t="s">
        <v>131</v>
      </c>
      <c r="D341" s="22" t="s">
        <v>436</v>
      </c>
      <c r="E341" s="5"/>
      <c r="F341" s="5"/>
      <c r="G341" s="5"/>
      <c r="H341" s="5"/>
      <c r="I341" s="5"/>
      <c r="J341" s="5"/>
      <c r="K341" s="14"/>
    </row>
    <row r="342" spans="2:11">
      <c r="B342" s="42">
        <v>202</v>
      </c>
      <c r="C342" s="21" t="s">
        <v>121</v>
      </c>
      <c r="D342" s="327" t="s">
        <v>435</v>
      </c>
      <c r="E342" s="323" t="s">
        <v>875</v>
      </c>
      <c r="F342" s="5"/>
      <c r="G342" s="387" t="s">
        <v>107</v>
      </c>
      <c r="H342" s="5"/>
      <c r="I342" s="5"/>
      <c r="J342" s="5"/>
      <c r="K342" s="14"/>
    </row>
    <row r="343" spans="2:11">
      <c r="B343" s="42">
        <v>174</v>
      </c>
      <c r="C343" s="21" t="s">
        <v>93</v>
      </c>
      <c r="D343" s="327" t="s">
        <v>459</v>
      </c>
      <c r="E343" s="323" t="s">
        <v>875</v>
      </c>
      <c r="F343" s="323"/>
      <c r="G343" s="387" t="s">
        <v>207</v>
      </c>
      <c r="H343" s="5"/>
      <c r="I343" s="5"/>
      <c r="J343" s="5"/>
      <c r="K343" s="14"/>
    </row>
    <row r="344" spans="2:11">
      <c r="B344" s="42">
        <v>173</v>
      </c>
      <c r="C344" s="21" t="s">
        <v>92</v>
      </c>
      <c r="D344" s="327" t="s">
        <v>449</v>
      </c>
      <c r="E344" s="323" t="s">
        <v>875</v>
      </c>
      <c r="F344" s="323"/>
      <c r="G344" s="387" t="s">
        <v>217</v>
      </c>
      <c r="H344" s="5"/>
      <c r="I344" s="5"/>
      <c r="J344" s="5"/>
      <c r="K344" s="14"/>
    </row>
    <row r="345" spans="2:11">
      <c r="B345" s="42">
        <v>135</v>
      </c>
      <c r="C345" s="21" t="s">
        <v>54</v>
      </c>
      <c r="D345" s="327" t="s">
        <v>457</v>
      </c>
      <c r="E345" s="323" t="s">
        <v>875</v>
      </c>
      <c r="F345" s="5"/>
      <c r="G345" s="320" t="s">
        <v>317</v>
      </c>
      <c r="H345" s="5"/>
      <c r="I345" s="5"/>
      <c r="J345" s="5"/>
      <c r="K345" s="14"/>
    </row>
    <row r="346" spans="2:11">
      <c r="B346" s="42">
        <v>134</v>
      </c>
      <c r="C346" s="21" t="s">
        <v>53</v>
      </c>
      <c r="D346" s="327" t="s">
        <v>466</v>
      </c>
      <c r="E346" s="323" t="s">
        <v>875</v>
      </c>
      <c r="F346" s="5"/>
      <c r="G346" s="387" t="s">
        <v>1036</v>
      </c>
      <c r="H346" s="5"/>
      <c r="I346" s="5"/>
      <c r="J346" s="5"/>
      <c r="K346" s="14"/>
    </row>
    <row r="347" spans="2:11">
      <c r="B347" s="42">
        <v>332</v>
      </c>
      <c r="C347" s="21" t="s">
        <v>251</v>
      </c>
      <c r="D347" s="22" t="s">
        <v>549</v>
      </c>
      <c r="E347" s="323" t="s">
        <v>875</v>
      </c>
      <c r="F347" s="323"/>
      <c r="G347" s="389" t="s">
        <v>281</v>
      </c>
      <c r="H347" s="385" t="s">
        <v>894</v>
      </c>
      <c r="I347" s="5"/>
      <c r="J347" s="5"/>
      <c r="K347" s="14"/>
    </row>
    <row r="348" spans="2:11">
      <c r="B348" s="42">
        <v>331</v>
      </c>
      <c r="C348" s="21" t="s">
        <v>250</v>
      </c>
      <c r="D348" s="22" t="s">
        <v>529</v>
      </c>
      <c r="E348" s="323" t="s">
        <v>875</v>
      </c>
      <c r="F348" s="323"/>
      <c r="G348" s="389" t="s">
        <v>291</v>
      </c>
      <c r="H348" s="312" t="s">
        <v>894</v>
      </c>
      <c r="I348" s="5"/>
      <c r="J348" s="5"/>
      <c r="K348" s="14"/>
    </row>
    <row r="349" spans="2:11">
      <c r="B349" s="42">
        <v>322</v>
      </c>
      <c r="C349" s="21" t="s">
        <v>241</v>
      </c>
      <c r="D349" s="22" t="s">
        <v>548</v>
      </c>
      <c r="E349" s="323" t="s">
        <v>875</v>
      </c>
      <c r="F349" s="323"/>
      <c r="G349" s="389" t="s">
        <v>300</v>
      </c>
      <c r="H349" s="312" t="s">
        <v>894</v>
      </c>
      <c r="I349" s="5"/>
      <c r="J349" s="5"/>
      <c r="K349" s="14"/>
    </row>
    <row r="350" spans="2:11">
      <c r="B350" s="42">
        <v>321</v>
      </c>
      <c r="C350" s="21" t="s">
        <v>240</v>
      </c>
      <c r="D350" s="22" t="s">
        <v>528</v>
      </c>
      <c r="E350" s="323" t="s">
        <v>875</v>
      </c>
      <c r="F350" s="323"/>
      <c r="G350" s="389" t="s">
        <v>310</v>
      </c>
      <c r="H350" s="312" t="s">
        <v>894</v>
      </c>
      <c r="I350" s="5"/>
      <c r="J350" s="5"/>
      <c r="K350" s="14"/>
    </row>
    <row r="351" spans="2:11">
      <c r="B351" s="42">
        <v>312</v>
      </c>
      <c r="C351" s="21" t="s">
        <v>231</v>
      </c>
      <c r="D351" s="22" t="s">
        <v>547</v>
      </c>
      <c r="E351" s="323" t="s">
        <v>875</v>
      </c>
      <c r="F351" s="323"/>
      <c r="G351" s="389" t="s">
        <v>260</v>
      </c>
      <c r="H351" s="312" t="s">
        <v>894</v>
      </c>
      <c r="I351" s="5"/>
      <c r="J351" s="5"/>
      <c r="K351" s="14"/>
    </row>
    <row r="352" spans="2:11">
      <c r="B352" s="42">
        <v>311</v>
      </c>
      <c r="C352" s="21" t="s">
        <v>230</v>
      </c>
      <c r="D352" s="22" t="s">
        <v>527</v>
      </c>
      <c r="E352" s="323" t="s">
        <v>875</v>
      </c>
      <c r="F352" s="323"/>
      <c r="G352" s="389" t="s">
        <v>270</v>
      </c>
      <c r="H352" s="312" t="s">
        <v>894</v>
      </c>
      <c r="I352" s="5"/>
      <c r="J352" s="5"/>
      <c r="K352" s="14"/>
    </row>
    <row r="353" spans="2:11">
      <c r="B353" s="42">
        <v>313</v>
      </c>
      <c r="C353" s="21" t="s">
        <v>232</v>
      </c>
      <c r="D353" s="22" t="s">
        <v>572</v>
      </c>
      <c r="E353" s="323" t="s">
        <v>875</v>
      </c>
      <c r="F353" s="323"/>
      <c r="G353" s="389" t="s">
        <v>302</v>
      </c>
      <c r="H353" s="312" t="s">
        <v>894</v>
      </c>
      <c r="I353" s="5"/>
      <c r="J353" s="5"/>
      <c r="K353" s="14"/>
    </row>
    <row r="354" spans="2:11">
      <c r="B354" s="42">
        <v>323</v>
      </c>
      <c r="C354" s="21" t="s">
        <v>242</v>
      </c>
      <c r="D354" s="22" t="s">
        <v>573</v>
      </c>
      <c r="E354" s="323" t="s">
        <v>875</v>
      </c>
      <c r="F354" s="323"/>
      <c r="G354" s="389" t="s">
        <v>312</v>
      </c>
      <c r="H354" s="312" t="s">
        <v>894</v>
      </c>
      <c r="I354" s="5"/>
      <c r="J354" s="5"/>
      <c r="K354" s="14"/>
    </row>
    <row r="355" spans="2:11">
      <c r="B355" s="42">
        <v>303</v>
      </c>
      <c r="C355" s="21" t="s">
        <v>222</v>
      </c>
      <c r="D355" s="22" t="s">
        <v>571</v>
      </c>
      <c r="E355" s="323" t="s">
        <v>875</v>
      </c>
      <c r="F355" s="323"/>
      <c r="G355" s="389" t="s">
        <v>262</v>
      </c>
      <c r="H355" s="312" t="s">
        <v>894</v>
      </c>
      <c r="I355" s="5"/>
      <c r="J355" s="5"/>
      <c r="K355" s="14"/>
    </row>
    <row r="356" spans="2:11">
      <c r="B356" s="42">
        <v>293</v>
      </c>
      <c r="C356" s="21" t="s">
        <v>212</v>
      </c>
      <c r="D356" s="22" t="s">
        <v>570</v>
      </c>
      <c r="E356" s="323" t="s">
        <v>875</v>
      </c>
      <c r="F356" s="323"/>
      <c r="G356" s="389" t="s">
        <v>272</v>
      </c>
      <c r="H356" s="312" t="s">
        <v>894</v>
      </c>
      <c r="I356" s="5"/>
      <c r="J356" s="5"/>
      <c r="K356" s="14"/>
    </row>
    <row r="357" spans="2:11">
      <c r="B357" s="42">
        <v>324</v>
      </c>
      <c r="C357" s="21" t="s">
        <v>243</v>
      </c>
      <c r="D357" s="22" t="s">
        <v>594</v>
      </c>
      <c r="E357" s="323" t="s">
        <v>875</v>
      </c>
      <c r="F357" s="323"/>
      <c r="G357" s="389" t="s">
        <v>1010</v>
      </c>
      <c r="H357" s="312" t="s">
        <v>894</v>
      </c>
      <c r="I357" s="5"/>
      <c r="J357" s="5"/>
      <c r="K357" s="14"/>
    </row>
    <row r="358" spans="2:11">
      <c r="B358" s="42">
        <v>314</v>
      </c>
      <c r="C358" s="21" t="s">
        <v>233</v>
      </c>
      <c r="D358" s="22" t="s">
        <v>593</v>
      </c>
      <c r="E358" s="323" t="s">
        <v>875</v>
      </c>
      <c r="F358" s="323"/>
      <c r="G358" s="389" t="s">
        <v>1011</v>
      </c>
      <c r="H358" s="312" t="s">
        <v>894</v>
      </c>
      <c r="I358" s="5"/>
      <c r="J358" s="5"/>
      <c r="K358" s="14"/>
    </row>
    <row r="359" spans="2:11">
      <c r="B359" s="42">
        <v>244</v>
      </c>
      <c r="C359" s="21" t="s">
        <v>163</v>
      </c>
      <c r="D359" s="22" t="s">
        <v>592</v>
      </c>
      <c r="E359" s="323" t="s">
        <v>875</v>
      </c>
      <c r="F359" s="323"/>
      <c r="G359" s="389" t="s">
        <v>264</v>
      </c>
      <c r="H359" s="312" t="s">
        <v>894</v>
      </c>
      <c r="I359" s="5"/>
      <c r="J359" s="5"/>
      <c r="K359" s="14"/>
    </row>
    <row r="360" spans="2:11">
      <c r="B360" s="42">
        <v>245</v>
      </c>
      <c r="C360" s="21" t="s">
        <v>164</v>
      </c>
      <c r="D360" s="22" t="s">
        <v>607</v>
      </c>
      <c r="E360" s="323" t="s">
        <v>875</v>
      </c>
      <c r="F360" s="323"/>
      <c r="G360" s="389" t="s">
        <v>274</v>
      </c>
      <c r="H360" s="312" t="s">
        <v>894</v>
      </c>
      <c r="I360" s="5"/>
      <c r="J360" s="5"/>
      <c r="K360" s="14"/>
    </row>
    <row r="361" spans="2:11">
      <c r="B361" s="42">
        <v>234</v>
      </c>
      <c r="C361" s="21" t="s">
        <v>153</v>
      </c>
      <c r="D361" s="22" t="s">
        <v>591</v>
      </c>
      <c r="E361" s="323" t="s">
        <v>875</v>
      </c>
      <c r="F361" s="323"/>
      <c r="G361" s="389" t="s">
        <v>1012</v>
      </c>
      <c r="H361" s="312" t="s">
        <v>894</v>
      </c>
      <c r="I361" s="5"/>
      <c r="J361" s="5"/>
      <c r="K361" s="14"/>
    </row>
    <row r="362" spans="2:11">
      <c r="B362" s="42">
        <v>235</v>
      </c>
      <c r="C362" s="21" t="s">
        <v>154</v>
      </c>
      <c r="D362" s="22" t="s">
        <v>606</v>
      </c>
      <c r="E362" s="323" t="s">
        <v>875</v>
      </c>
      <c r="F362" s="323"/>
      <c r="G362" s="389" t="s">
        <v>1013</v>
      </c>
      <c r="H362" s="312" t="s">
        <v>894</v>
      </c>
      <c r="I362" s="5"/>
      <c r="J362" s="5"/>
      <c r="K362" s="14"/>
    </row>
    <row r="363" spans="2:11">
      <c r="B363" s="42">
        <v>224</v>
      </c>
      <c r="C363" s="21" t="s">
        <v>143</v>
      </c>
      <c r="D363" s="22" t="s">
        <v>590</v>
      </c>
      <c r="E363" s="323" t="s">
        <v>875</v>
      </c>
      <c r="F363" s="323"/>
      <c r="G363" s="389" t="s">
        <v>283</v>
      </c>
      <c r="H363" s="312" t="s">
        <v>894</v>
      </c>
      <c r="I363" s="5"/>
      <c r="J363" s="5"/>
      <c r="K363" s="14"/>
    </row>
    <row r="364" spans="2:11">
      <c r="B364" s="42">
        <v>225</v>
      </c>
      <c r="C364" s="21" t="s">
        <v>144</v>
      </c>
      <c r="D364" s="22" t="s">
        <v>605</v>
      </c>
      <c r="E364" s="323" t="s">
        <v>875</v>
      </c>
      <c r="F364" s="323"/>
      <c r="G364" s="389" t="s">
        <v>293</v>
      </c>
      <c r="H364" s="312" t="s">
        <v>894</v>
      </c>
      <c r="I364" s="5"/>
      <c r="J364" s="5"/>
      <c r="K364" s="14"/>
    </row>
    <row r="365" spans="2:11">
      <c r="B365" s="42">
        <v>252</v>
      </c>
      <c r="C365" s="21" t="s">
        <v>171</v>
      </c>
      <c r="D365" s="22" t="s">
        <v>546</v>
      </c>
      <c r="E365" s="323" t="s">
        <v>875</v>
      </c>
      <c r="F365" s="323"/>
      <c r="G365" s="389" t="s">
        <v>1014</v>
      </c>
      <c r="H365" s="312" t="s">
        <v>894</v>
      </c>
      <c r="I365" s="5"/>
      <c r="J365" s="5"/>
      <c r="K365" s="14"/>
    </row>
    <row r="366" spans="2:11">
      <c r="B366" s="42">
        <v>253</v>
      </c>
      <c r="C366" s="21" t="s">
        <v>172</v>
      </c>
      <c r="D366" s="22" t="s">
        <v>569</v>
      </c>
      <c r="E366" s="323" t="s">
        <v>875</v>
      </c>
      <c r="F366" s="323"/>
      <c r="G366" s="389" t="s">
        <v>1015</v>
      </c>
      <c r="H366" s="312" t="s">
        <v>894</v>
      </c>
      <c r="I366" s="5"/>
      <c r="J366" s="5"/>
      <c r="K366" s="14"/>
    </row>
    <row r="367" spans="2:11">
      <c r="B367" s="42">
        <v>242</v>
      </c>
      <c r="C367" s="21" t="s">
        <v>161</v>
      </c>
      <c r="D367" s="22" t="s">
        <v>545</v>
      </c>
      <c r="E367" s="323" t="s">
        <v>875</v>
      </c>
      <c r="F367" s="323"/>
      <c r="G367" s="389" t="s">
        <v>285</v>
      </c>
      <c r="H367" s="312" t="s">
        <v>894</v>
      </c>
      <c r="I367" s="5"/>
      <c r="J367" s="5"/>
      <c r="K367" s="14"/>
    </row>
    <row r="368" spans="2:11">
      <c r="B368" s="42">
        <v>243</v>
      </c>
      <c r="C368" s="21" t="s">
        <v>162</v>
      </c>
      <c r="D368" s="22" t="s">
        <v>568</v>
      </c>
      <c r="E368" s="323" t="s">
        <v>875</v>
      </c>
      <c r="F368" s="323"/>
      <c r="G368" s="389" t="s">
        <v>295</v>
      </c>
      <c r="H368" s="312" t="s">
        <v>894</v>
      </c>
      <c r="I368" s="5"/>
      <c r="J368" s="5"/>
      <c r="K368" s="14"/>
    </row>
    <row r="369" spans="2:11">
      <c r="B369" s="42">
        <v>222</v>
      </c>
      <c r="C369" s="21" t="s">
        <v>141</v>
      </c>
      <c r="D369" s="22" t="s">
        <v>544</v>
      </c>
      <c r="E369" s="323" t="s">
        <v>875</v>
      </c>
      <c r="F369" s="323"/>
      <c r="G369" s="389" t="s">
        <v>304</v>
      </c>
      <c r="H369" s="312" t="s">
        <v>894</v>
      </c>
      <c r="I369" s="5"/>
      <c r="J369" s="5"/>
      <c r="K369" s="14"/>
    </row>
    <row r="370" spans="2:11">
      <c r="B370" s="42">
        <v>223</v>
      </c>
      <c r="C370" s="21" t="s">
        <v>142</v>
      </c>
      <c r="D370" s="22" t="s">
        <v>567</v>
      </c>
      <c r="E370" s="323" t="s">
        <v>875</v>
      </c>
      <c r="F370" s="323"/>
      <c r="G370" s="389" t="s">
        <v>314</v>
      </c>
      <c r="H370" s="312" t="s">
        <v>894</v>
      </c>
      <c r="I370" s="5"/>
      <c r="J370" s="5"/>
      <c r="K370" s="14"/>
    </row>
    <row r="371" spans="2:11">
      <c r="B371" s="42">
        <v>254</v>
      </c>
      <c r="C371" s="21" t="s">
        <v>173</v>
      </c>
      <c r="D371" s="327" t="s">
        <v>460</v>
      </c>
      <c r="E371" s="323" t="s">
        <v>875</v>
      </c>
      <c r="F371" s="5"/>
      <c r="G371" s="387" t="s">
        <v>976</v>
      </c>
      <c r="H371" s="5"/>
      <c r="I371" s="5"/>
      <c r="J371" s="5"/>
      <c r="K371" s="14"/>
    </row>
    <row r="372" spans="2:11">
      <c r="B372" s="42">
        <v>255</v>
      </c>
      <c r="C372" s="21" t="s">
        <v>174</v>
      </c>
      <c r="D372" s="327" t="s">
        <v>467</v>
      </c>
      <c r="E372" s="323" t="s">
        <v>875</v>
      </c>
      <c r="F372" s="5"/>
      <c r="G372" s="387" t="s">
        <v>977</v>
      </c>
      <c r="H372" s="5"/>
      <c r="I372" s="5"/>
      <c r="J372" s="5"/>
      <c r="K372" s="14"/>
    </row>
    <row r="373" spans="2:11">
      <c r="B373" s="42">
        <v>275</v>
      </c>
      <c r="C373" s="21" t="s">
        <v>194</v>
      </c>
      <c r="D373" s="22" t="s">
        <v>468</v>
      </c>
      <c r="E373" s="5"/>
      <c r="F373" s="5"/>
      <c r="G373" s="5"/>
      <c r="H373" s="5"/>
      <c r="I373" s="5"/>
      <c r="J373" s="5"/>
      <c r="K373" s="14"/>
    </row>
    <row r="374" spans="2:11">
      <c r="B374" s="42">
        <v>274</v>
      </c>
      <c r="C374" s="21" t="s">
        <v>193</v>
      </c>
      <c r="D374" s="327" t="s">
        <v>461</v>
      </c>
      <c r="E374" s="323" t="s">
        <v>875</v>
      </c>
      <c r="F374" s="323"/>
      <c r="G374" s="388" t="s">
        <v>127</v>
      </c>
      <c r="H374" s="5"/>
      <c r="I374" s="5"/>
      <c r="J374" s="5"/>
      <c r="K374" s="14"/>
    </row>
    <row r="375" spans="2:11">
      <c r="B375" s="42">
        <v>272</v>
      </c>
      <c r="C375" s="21" t="s">
        <v>191</v>
      </c>
      <c r="D375" s="22" t="s">
        <v>438</v>
      </c>
      <c r="E375" s="5"/>
      <c r="F375" s="5"/>
      <c r="G375" s="5"/>
      <c r="H375" s="5"/>
      <c r="I375" s="5"/>
      <c r="J375" s="5"/>
      <c r="K375" s="14"/>
    </row>
    <row r="376" spans="2:11">
      <c r="B376" s="42">
        <v>273</v>
      </c>
      <c r="C376" s="21" t="s">
        <v>192</v>
      </c>
      <c r="D376" s="327" t="s">
        <v>451</v>
      </c>
      <c r="E376" s="323" t="s">
        <v>875</v>
      </c>
      <c r="F376" s="323"/>
      <c r="G376" s="388" t="s">
        <v>137</v>
      </c>
      <c r="H376" s="5"/>
      <c r="I376" s="5"/>
      <c r="J376" s="5"/>
      <c r="K376" s="14"/>
    </row>
    <row r="377" spans="2:11">
      <c r="B377" s="42">
        <v>291</v>
      </c>
      <c r="C377" s="21" t="s">
        <v>210</v>
      </c>
      <c r="D377" s="22" t="s">
        <v>330</v>
      </c>
      <c r="E377" s="5"/>
      <c r="F377" s="5"/>
      <c r="G377" s="5"/>
      <c r="H377" s="5"/>
      <c r="I377" s="5"/>
      <c r="J377" s="5"/>
      <c r="K377" s="14"/>
    </row>
    <row r="378" spans="2:11">
      <c r="B378" s="42">
        <v>292</v>
      </c>
      <c r="C378" s="21" t="s">
        <v>211</v>
      </c>
      <c r="D378" s="22" t="s">
        <v>330</v>
      </c>
      <c r="E378" s="5"/>
      <c r="F378" s="5"/>
      <c r="G378" s="5"/>
      <c r="H378" s="5"/>
      <c r="I378" s="5"/>
      <c r="J378" s="5"/>
      <c r="K378" s="14"/>
    </row>
    <row r="379" spans="2:11">
      <c r="B379" s="42">
        <v>295</v>
      </c>
      <c r="C379" s="21" t="s">
        <v>214</v>
      </c>
      <c r="D379" s="22" t="s">
        <v>330</v>
      </c>
      <c r="E379" s="5"/>
      <c r="F379" s="5"/>
      <c r="G379" s="5"/>
      <c r="H379" s="5"/>
      <c r="I379" s="5"/>
      <c r="J379" s="5"/>
      <c r="K379" s="14"/>
    </row>
    <row r="380" spans="2:11">
      <c r="B380" s="42">
        <v>305</v>
      </c>
      <c r="C380" s="21" t="s">
        <v>224</v>
      </c>
      <c r="D380" s="22" t="s">
        <v>330</v>
      </c>
      <c r="E380" s="5"/>
      <c r="F380" s="5"/>
      <c r="G380" s="5"/>
      <c r="H380" s="5"/>
      <c r="I380" s="5"/>
      <c r="J380" s="5"/>
      <c r="K380" s="14"/>
    </row>
    <row r="381" spans="2:11">
      <c r="B381" s="42">
        <v>315</v>
      </c>
      <c r="C381" s="21" t="s">
        <v>234</v>
      </c>
      <c r="D381" s="22" t="s">
        <v>330</v>
      </c>
      <c r="E381" s="5"/>
      <c r="F381" s="5"/>
      <c r="G381" s="5"/>
      <c r="H381" s="5"/>
      <c r="I381" s="5"/>
      <c r="J381" s="5"/>
      <c r="K381" s="14"/>
    </row>
    <row r="382" spans="2:11">
      <c r="B382" s="42">
        <v>325</v>
      </c>
      <c r="C382" s="21" t="s">
        <v>244</v>
      </c>
      <c r="D382" s="22" t="s">
        <v>330</v>
      </c>
      <c r="E382" s="5"/>
      <c r="F382" s="5"/>
      <c r="G382" s="5"/>
      <c r="H382" s="5"/>
      <c r="I382" s="5"/>
      <c r="J382" s="5"/>
      <c r="K382" s="14"/>
    </row>
    <row r="383" spans="2:11">
      <c r="B383" s="42">
        <v>261</v>
      </c>
      <c r="C383" s="21" t="s">
        <v>180</v>
      </c>
      <c r="D383" s="22" t="s">
        <v>331</v>
      </c>
      <c r="E383" s="5"/>
      <c r="F383" s="5"/>
      <c r="G383" s="5"/>
      <c r="H383" s="5"/>
      <c r="I383" s="5"/>
      <c r="J383" s="5"/>
      <c r="K383" s="14"/>
    </row>
    <row r="384" spans="2:11">
      <c r="B384" s="42">
        <v>281</v>
      </c>
      <c r="C384" s="21" t="s">
        <v>200</v>
      </c>
      <c r="D384" s="22" t="s">
        <v>333</v>
      </c>
      <c r="E384" s="5"/>
      <c r="F384" s="5"/>
      <c r="G384" s="5"/>
      <c r="H384" s="5"/>
      <c r="I384" s="5"/>
      <c r="J384" s="5"/>
      <c r="K384" s="14"/>
    </row>
    <row r="385" spans="2:11">
      <c r="B385" s="42">
        <v>271</v>
      </c>
      <c r="C385" s="21" t="s">
        <v>190</v>
      </c>
      <c r="D385" s="22" t="s">
        <v>332</v>
      </c>
      <c r="E385" s="5"/>
      <c r="F385" s="5"/>
      <c r="G385" s="5"/>
      <c r="H385" s="5"/>
      <c r="I385" s="5"/>
      <c r="J385" s="5"/>
      <c r="K385" s="14"/>
    </row>
    <row r="386" spans="2:11">
      <c r="B386" s="42">
        <v>221</v>
      </c>
      <c r="C386" s="21" t="s">
        <v>140</v>
      </c>
      <c r="D386" s="22" t="s">
        <v>334</v>
      </c>
      <c r="E386" s="5"/>
      <c r="F386" s="5"/>
      <c r="G386" s="5"/>
      <c r="H386" s="5"/>
      <c r="I386" s="5"/>
      <c r="J386" s="5"/>
      <c r="K386" s="14"/>
    </row>
    <row r="387" spans="2:11">
      <c r="B387" s="42">
        <v>231</v>
      </c>
      <c r="C387" s="21" t="s">
        <v>150</v>
      </c>
      <c r="D387" s="22" t="s">
        <v>334</v>
      </c>
      <c r="E387" s="5"/>
      <c r="F387" s="5"/>
      <c r="G387" s="5"/>
      <c r="H387" s="5"/>
      <c r="I387" s="5"/>
      <c r="J387" s="5"/>
      <c r="K387" s="14"/>
    </row>
    <row r="388" spans="2:11">
      <c r="B388" s="42">
        <v>241</v>
      </c>
      <c r="C388" s="21" t="s">
        <v>160</v>
      </c>
      <c r="D388" s="22" t="s">
        <v>334</v>
      </c>
      <c r="E388" s="5"/>
      <c r="F388" s="5"/>
      <c r="G388" s="5"/>
      <c r="H388" s="5"/>
      <c r="I388" s="5"/>
      <c r="J388" s="5"/>
      <c r="K388" s="14"/>
    </row>
    <row r="389" spans="2:11">
      <c r="B389" s="42">
        <v>251</v>
      </c>
      <c r="C389" s="21" t="s">
        <v>170</v>
      </c>
      <c r="D389" s="22" t="s">
        <v>334</v>
      </c>
      <c r="E389" s="5"/>
      <c r="F389" s="5"/>
      <c r="G389" s="5"/>
      <c r="H389" s="5"/>
      <c r="I389" s="5"/>
      <c r="J389" s="5"/>
      <c r="K389" s="14"/>
    </row>
    <row r="390" spans="2:11">
      <c r="B390" s="42">
        <v>262</v>
      </c>
      <c r="C390" s="21" t="s">
        <v>181</v>
      </c>
      <c r="D390" s="22" t="s">
        <v>334</v>
      </c>
      <c r="E390" s="5"/>
      <c r="F390" s="5"/>
      <c r="G390" s="5"/>
      <c r="H390" s="5"/>
      <c r="I390" s="5"/>
      <c r="J390" s="5"/>
      <c r="K390" s="14"/>
    </row>
    <row r="391" spans="2:11">
      <c r="B391" s="42">
        <v>263</v>
      </c>
      <c r="C391" s="21" t="s">
        <v>182</v>
      </c>
      <c r="D391" s="22" t="s">
        <v>334</v>
      </c>
      <c r="E391" s="5"/>
      <c r="F391" s="5"/>
      <c r="G391" s="5"/>
      <c r="H391" s="5"/>
      <c r="I391" s="5"/>
      <c r="J391" s="5"/>
      <c r="K391" s="14"/>
    </row>
    <row r="392" spans="2:11">
      <c r="B392" s="42">
        <v>264</v>
      </c>
      <c r="C392" s="21" t="s">
        <v>183</v>
      </c>
      <c r="D392" s="22" t="s">
        <v>334</v>
      </c>
      <c r="E392" s="5"/>
      <c r="F392" s="5"/>
      <c r="G392" s="5"/>
      <c r="H392" s="5"/>
      <c r="I392" s="5"/>
      <c r="J392" s="5"/>
      <c r="K392" s="14"/>
    </row>
    <row r="393" spans="2:11">
      <c r="B393" s="42">
        <v>265</v>
      </c>
      <c r="C393" s="21" t="s">
        <v>184</v>
      </c>
      <c r="D393" s="22" t="s">
        <v>334</v>
      </c>
      <c r="E393" s="5"/>
      <c r="F393" s="5"/>
      <c r="G393" s="5"/>
      <c r="H393" s="5"/>
      <c r="I393" s="5"/>
      <c r="J393" s="5"/>
      <c r="K393" s="14"/>
    </row>
    <row r="394" spans="2:11">
      <c r="B394" s="42">
        <v>302</v>
      </c>
      <c r="C394" s="21" t="s">
        <v>221</v>
      </c>
      <c r="D394" s="22" t="s">
        <v>439</v>
      </c>
      <c r="E394" s="5"/>
      <c r="F394" s="5"/>
      <c r="G394" s="5"/>
      <c r="H394" s="5"/>
      <c r="I394" s="5"/>
      <c r="J394" s="5"/>
      <c r="K394" s="14"/>
    </row>
    <row r="395" spans="2:11">
      <c r="B395" s="42">
        <v>301</v>
      </c>
      <c r="C395" s="21" t="s">
        <v>220</v>
      </c>
      <c r="D395" s="327" t="s">
        <v>335</v>
      </c>
      <c r="E395" s="323" t="s">
        <v>875</v>
      </c>
      <c r="F395" s="5"/>
      <c r="G395" s="387" t="s">
        <v>67</v>
      </c>
      <c r="H395" s="5"/>
      <c r="I395" s="5"/>
      <c r="J395" s="5"/>
      <c r="K395" s="14"/>
    </row>
    <row r="396" spans="2:11">
      <c r="B396" s="42">
        <v>304</v>
      </c>
      <c r="C396" s="21" t="s">
        <v>223</v>
      </c>
      <c r="D396" s="327" t="s">
        <v>463</v>
      </c>
      <c r="E396" s="323" t="s">
        <v>875</v>
      </c>
      <c r="F396" s="323"/>
      <c r="G396" s="388" t="s">
        <v>1031</v>
      </c>
      <c r="H396" s="5"/>
      <c r="I396" s="5"/>
      <c r="J396" s="5"/>
      <c r="K396" s="14"/>
    </row>
    <row r="397" spans="2:11">
      <c r="B397" s="42">
        <v>294</v>
      </c>
      <c r="C397" s="21" t="s">
        <v>213</v>
      </c>
      <c r="D397" s="327" t="s">
        <v>462</v>
      </c>
      <c r="E397" s="323" t="s">
        <v>875</v>
      </c>
      <c r="F397" s="323"/>
      <c r="G397" s="388" t="s">
        <v>1032</v>
      </c>
      <c r="H397" s="5"/>
      <c r="I397" s="5"/>
      <c r="J397" s="5"/>
      <c r="K397" s="14"/>
    </row>
    <row r="398" spans="2:11">
      <c r="B398" s="42">
        <v>232</v>
      </c>
      <c r="C398" s="21" t="s">
        <v>151</v>
      </c>
      <c r="D398" s="327" t="s">
        <v>450</v>
      </c>
      <c r="E398" s="323" t="s">
        <v>875</v>
      </c>
      <c r="F398" s="5"/>
      <c r="G398" s="320" t="s">
        <v>317</v>
      </c>
      <c r="H398" s="5"/>
      <c r="I398" s="5"/>
      <c r="J398" s="5"/>
      <c r="K398" s="14"/>
    </row>
    <row r="399" spans="2:11">
      <c r="B399" s="42">
        <v>233</v>
      </c>
      <c r="C399" s="21" t="s">
        <v>152</v>
      </c>
      <c r="D399" s="327" t="s">
        <v>437</v>
      </c>
      <c r="E399" s="323" t="s">
        <v>875</v>
      </c>
      <c r="F399" s="5"/>
      <c r="G399" s="387" t="s">
        <v>975</v>
      </c>
      <c r="H399" s="5"/>
      <c r="I399" s="5"/>
      <c r="J399" s="5"/>
      <c r="K399" s="14"/>
    </row>
    <row r="400" spans="2:11">
      <c r="B400" s="213">
        <v>282</v>
      </c>
      <c r="C400" s="214" t="s">
        <v>201</v>
      </c>
      <c r="D400" s="267" t="s">
        <v>454</v>
      </c>
      <c r="E400" s="199"/>
      <c r="F400" s="216"/>
      <c r="G400" s="216"/>
      <c r="H400" s="199"/>
      <c r="I400" s="216"/>
      <c r="J400" s="216"/>
      <c r="K400" s="217"/>
    </row>
    <row r="401" spans="2:11">
      <c r="B401" s="213">
        <v>283</v>
      </c>
      <c r="C401" s="214" t="s">
        <v>202</v>
      </c>
      <c r="D401" s="267" t="s">
        <v>454</v>
      </c>
      <c r="E401" s="199"/>
      <c r="F401" s="216"/>
      <c r="G401" s="216"/>
      <c r="H401" s="199"/>
      <c r="I401" s="216"/>
      <c r="J401" s="216"/>
      <c r="K401" s="217"/>
    </row>
    <row r="402" spans="2:11">
      <c r="B402" s="213">
        <v>284</v>
      </c>
      <c r="C402" s="214" t="s">
        <v>203</v>
      </c>
      <c r="D402" s="267" t="s">
        <v>454</v>
      </c>
      <c r="E402" s="199"/>
      <c r="F402" s="216"/>
      <c r="G402" s="216"/>
      <c r="H402" s="199"/>
      <c r="I402" s="216"/>
      <c r="J402" s="216"/>
      <c r="K402" s="217"/>
    </row>
    <row r="403" spans="2:11">
      <c r="B403" s="213">
        <v>285</v>
      </c>
      <c r="C403" s="214" t="s">
        <v>204</v>
      </c>
      <c r="D403" s="267" t="s">
        <v>454</v>
      </c>
      <c r="E403" s="199"/>
      <c r="F403" s="216"/>
      <c r="G403" s="216"/>
      <c r="H403" s="199"/>
      <c r="I403" s="216"/>
      <c r="J403" s="216"/>
      <c r="K403" s="217"/>
    </row>
    <row r="404" spans="2:11">
      <c r="B404" s="213">
        <v>335</v>
      </c>
      <c r="C404" s="214" t="s">
        <v>254</v>
      </c>
      <c r="D404" s="267" t="s">
        <v>454</v>
      </c>
      <c r="E404" s="199"/>
      <c r="F404" s="216"/>
      <c r="G404" s="216"/>
      <c r="H404" s="199"/>
      <c r="I404" s="216"/>
      <c r="J404" s="216"/>
      <c r="K404" s="217"/>
    </row>
    <row r="405" spans="2:11" ht="16.5" thickBot="1">
      <c r="B405" s="298">
        <v>99</v>
      </c>
      <c r="C405" s="315" t="s">
        <v>11</v>
      </c>
      <c r="D405" s="300" t="s">
        <v>454</v>
      </c>
      <c r="E405" s="290"/>
      <c r="F405" s="301"/>
      <c r="G405" s="301"/>
      <c r="H405" s="301"/>
      <c r="I405" s="301"/>
      <c r="J405" s="301"/>
      <c r="K405" s="302"/>
    </row>
  </sheetData>
  <sortState ref="B6:K405">
    <sortCondition ref="D6:D405"/>
  </sortState>
  <mergeCells count="11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</mergeCells>
  <conditionalFormatting sqref="B401:D405 F405:K405 F401:G404 I401:K404">
    <cfRule type="expression" dxfId="410" priority="248">
      <formula>MOD(ROW(),2)=0</formula>
    </cfRule>
  </conditionalFormatting>
  <conditionalFormatting sqref="F124 F126 F224 F226 F245 F395 F156 F249 B6:D400 F399 F346:F372 F286:F311 F221:F222 F121:F122 F246:G247 F342:F344 F152:F154 F213:F218 F205:F210 F197:F202 F189:F194 F44:G120 F400:G400 F316:G341 F250:G285 F227:G244 F157:G188 F376 F315 F377:G394 F374 F375:G375 F373:G373 F313 F314:G314 F312:G312 F225:G225 F127:G151 F125:G125 F223:G223 F219:G220 F123:G123 F34:G35 F211:G212 F203:G204 F195:G196 F14:G15 I6:K400 F6:F13 F24:G25 F16:F23 F26:F33 F36:F43">
    <cfRule type="expression" dxfId="409" priority="246">
      <formula>MOD(ROW(),2)=0</formula>
    </cfRule>
  </conditionalFormatting>
  <conditionalFormatting sqref="F396:F397">
    <cfRule type="expression" dxfId="408" priority="236">
      <formula>MOD(ROW(),2)=0</formula>
    </cfRule>
  </conditionalFormatting>
  <conditionalFormatting sqref="G121:G122">
    <cfRule type="expression" dxfId="407" priority="235">
      <formula>MOD(ROW(),2)=0</formula>
    </cfRule>
  </conditionalFormatting>
  <conditionalFormatting sqref="G221:G222">
    <cfRule type="expression" dxfId="406" priority="234">
      <formula>MOD(ROW(),2)=0</formula>
    </cfRule>
  </conditionalFormatting>
  <conditionalFormatting sqref="G124">
    <cfRule type="expression" dxfId="405" priority="229">
      <formula>MOD(ROW(),2)=0</formula>
    </cfRule>
  </conditionalFormatting>
  <conditionalFormatting sqref="F155">
    <cfRule type="expression" dxfId="404" priority="211">
      <formula>MOD(ROW(),2)=0</formula>
    </cfRule>
  </conditionalFormatting>
  <conditionalFormatting sqref="G155">
    <cfRule type="expression" dxfId="403" priority="210">
      <formula>MOD(ROW(),2)=0</formula>
    </cfRule>
  </conditionalFormatting>
  <conditionalFormatting sqref="F248">
    <cfRule type="expression" dxfId="402" priority="209">
      <formula>MOD(ROW(),2)=0</formula>
    </cfRule>
  </conditionalFormatting>
  <conditionalFormatting sqref="G248">
    <cfRule type="expression" dxfId="401" priority="208">
      <formula>MOD(ROW(),2)=0</formula>
    </cfRule>
  </conditionalFormatting>
  <conditionalFormatting sqref="F345">
    <cfRule type="expression" dxfId="400" priority="207">
      <formula>MOD(ROW(),2)=0</formula>
    </cfRule>
  </conditionalFormatting>
  <conditionalFormatting sqref="G345">
    <cfRule type="expression" dxfId="399" priority="206">
      <formula>MOD(ROW(),2)=0</formula>
    </cfRule>
  </conditionalFormatting>
  <conditionalFormatting sqref="F398">
    <cfRule type="expression" dxfId="398" priority="205">
      <formula>MOD(ROW(),2)=0</formula>
    </cfRule>
  </conditionalFormatting>
  <conditionalFormatting sqref="G398">
    <cfRule type="expression" dxfId="397" priority="204">
      <formula>MOD(ROW(),2)=0</formula>
    </cfRule>
  </conditionalFormatting>
  <conditionalFormatting sqref="E125 E127:E151 E225 E227:E244 E400 E153:E154 E6:E123 E157:E223 E246:E247 E250:E341 E343:E344 E347:E394">
    <cfRule type="expression" dxfId="396" priority="120">
      <formula>MOD(ROW(),2)=0</formula>
    </cfRule>
  </conditionalFormatting>
  <conditionalFormatting sqref="E401:E405">
    <cfRule type="expression" dxfId="395" priority="121">
      <formula>MOD(ROW(),2)=0</formula>
    </cfRule>
  </conditionalFormatting>
  <conditionalFormatting sqref="H401:H404">
    <cfRule type="expression" dxfId="394" priority="102">
      <formula>MOD(ROW(),2)=0</formula>
    </cfRule>
  </conditionalFormatting>
  <conditionalFormatting sqref="H24:H25 H44:H188 H219:H285 H310:H346 H371:H400">
    <cfRule type="expression" dxfId="393" priority="101">
      <formula>MOD(ROW(),2)=0</formula>
    </cfRule>
  </conditionalFormatting>
  <conditionalFormatting sqref="H6:H23">
    <cfRule type="expression" dxfId="392" priority="100">
      <formula>MOD(ROW(),2)=0</formula>
    </cfRule>
  </conditionalFormatting>
  <conditionalFormatting sqref="H189:H218">
    <cfRule type="expression" dxfId="391" priority="98">
      <formula>MOD(ROW(),2)=0</formula>
    </cfRule>
  </conditionalFormatting>
  <conditionalFormatting sqref="H286:H309">
    <cfRule type="expression" dxfId="390" priority="94">
      <formula>MOD(ROW(),2)=0</formula>
    </cfRule>
  </conditionalFormatting>
  <conditionalFormatting sqref="H347:H370">
    <cfRule type="expression" dxfId="389" priority="93">
      <formula>MOD(ROW(),2)=0</formula>
    </cfRule>
  </conditionalFormatting>
  <conditionalFormatting sqref="H26:H43">
    <cfRule type="expression" dxfId="388" priority="92">
      <formula>MOD(ROW(),2)=0</formula>
    </cfRule>
  </conditionalFormatting>
  <conditionalFormatting sqref="G12:G13">
    <cfRule type="expression" dxfId="387" priority="91">
      <formula>MOD(ROW(),2)=0</formula>
    </cfRule>
  </conditionalFormatting>
  <conditionalFormatting sqref="G10:G11">
    <cfRule type="expression" dxfId="386" priority="90">
      <formula>MOD(ROW(),2)=0</formula>
    </cfRule>
  </conditionalFormatting>
  <conditionalFormatting sqref="G8:G9">
    <cfRule type="expression" dxfId="385" priority="89">
      <formula>MOD(ROW(),2)=0</formula>
    </cfRule>
  </conditionalFormatting>
  <conditionalFormatting sqref="G6:G7">
    <cfRule type="expression" dxfId="384" priority="88">
      <formula>MOD(ROW(),2)=0</formula>
    </cfRule>
  </conditionalFormatting>
  <conditionalFormatting sqref="G22:G23">
    <cfRule type="expression" dxfId="383" priority="87">
      <formula>MOD(ROW(),2)=0</formula>
    </cfRule>
  </conditionalFormatting>
  <conditionalFormatting sqref="G20:G21">
    <cfRule type="expression" dxfId="382" priority="86">
      <formula>MOD(ROW(),2)=0</formula>
    </cfRule>
  </conditionalFormatting>
  <conditionalFormatting sqref="G18:G19">
    <cfRule type="expression" dxfId="381" priority="85">
      <formula>MOD(ROW(),2)=0</formula>
    </cfRule>
  </conditionalFormatting>
  <conditionalFormatting sqref="G16:G17">
    <cfRule type="expression" dxfId="380" priority="84">
      <formula>MOD(ROW(),2)=0</formula>
    </cfRule>
  </conditionalFormatting>
  <conditionalFormatting sqref="G32:G33">
    <cfRule type="expression" dxfId="379" priority="83">
      <formula>MOD(ROW(),2)=0</formula>
    </cfRule>
  </conditionalFormatting>
  <conditionalFormatting sqref="G30:G31">
    <cfRule type="expression" dxfId="378" priority="82">
      <formula>MOD(ROW(),2)=0</formula>
    </cfRule>
  </conditionalFormatting>
  <conditionalFormatting sqref="G28:G29">
    <cfRule type="expression" dxfId="377" priority="81">
      <formula>MOD(ROW(),2)=0</formula>
    </cfRule>
  </conditionalFormatting>
  <conditionalFormatting sqref="G26:G27">
    <cfRule type="expression" dxfId="376" priority="80">
      <formula>MOD(ROW(),2)=0</formula>
    </cfRule>
  </conditionalFormatting>
  <conditionalFormatting sqref="G42:G43">
    <cfRule type="expression" dxfId="375" priority="79">
      <formula>MOD(ROW(),2)=0</formula>
    </cfRule>
  </conditionalFormatting>
  <conditionalFormatting sqref="G40:G41">
    <cfRule type="expression" dxfId="374" priority="78">
      <formula>MOD(ROW(),2)=0</formula>
    </cfRule>
  </conditionalFormatting>
  <conditionalFormatting sqref="G38:G39">
    <cfRule type="expression" dxfId="373" priority="77">
      <formula>MOD(ROW(),2)=0</formula>
    </cfRule>
  </conditionalFormatting>
  <conditionalFormatting sqref="G36:G37">
    <cfRule type="expression" dxfId="372" priority="76">
      <formula>MOD(ROW(),2)=0</formula>
    </cfRule>
  </conditionalFormatting>
  <conditionalFormatting sqref="G193:G194">
    <cfRule type="expression" dxfId="371" priority="75">
      <formula>MOD(ROW(),2)=0</formula>
    </cfRule>
  </conditionalFormatting>
  <conditionalFormatting sqref="G191:G192">
    <cfRule type="expression" dxfId="370" priority="74">
      <formula>MOD(ROW(),2)=0</formula>
    </cfRule>
  </conditionalFormatting>
  <conditionalFormatting sqref="G189:G190">
    <cfRule type="expression" dxfId="369" priority="73">
      <formula>MOD(ROW(),2)=0</formula>
    </cfRule>
  </conditionalFormatting>
  <conditionalFormatting sqref="G201:G202">
    <cfRule type="expression" dxfId="368" priority="72">
      <formula>MOD(ROW(),2)=0</formula>
    </cfRule>
  </conditionalFormatting>
  <conditionalFormatting sqref="G199:G200">
    <cfRule type="expression" dxfId="367" priority="71">
      <formula>MOD(ROW(),2)=0</formula>
    </cfRule>
  </conditionalFormatting>
  <conditionalFormatting sqref="G197:G198">
    <cfRule type="expression" dxfId="366" priority="70">
      <formula>MOD(ROW(),2)=0</formula>
    </cfRule>
  </conditionalFormatting>
  <conditionalFormatting sqref="G209:G210">
    <cfRule type="expression" dxfId="365" priority="69">
      <formula>MOD(ROW(),2)=0</formula>
    </cfRule>
  </conditionalFormatting>
  <conditionalFormatting sqref="G207:G208">
    <cfRule type="expression" dxfId="364" priority="68">
      <formula>MOD(ROW(),2)=0</formula>
    </cfRule>
  </conditionalFormatting>
  <conditionalFormatting sqref="G205:G206">
    <cfRule type="expression" dxfId="363" priority="67">
      <formula>MOD(ROW(),2)=0</formula>
    </cfRule>
  </conditionalFormatting>
  <conditionalFormatting sqref="G217:G218">
    <cfRule type="expression" dxfId="362" priority="66">
      <formula>MOD(ROW(),2)=0</formula>
    </cfRule>
  </conditionalFormatting>
  <conditionalFormatting sqref="G215:G216">
    <cfRule type="expression" dxfId="361" priority="65">
      <formula>MOD(ROW(),2)=0</formula>
    </cfRule>
  </conditionalFormatting>
  <conditionalFormatting sqref="G213:G214">
    <cfRule type="expression" dxfId="360" priority="64">
      <formula>MOD(ROW(),2)=0</formula>
    </cfRule>
  </conditionalFormatting>
  <conditionalFormatting sqref="G290:G291">
    <cfRule type="expression" dxfId="359" priority="63">
      <formula>MOD(ROW(),2)=0</formula>
    </cfRule>
  </conditionalFormatting>
  <conditionalFormatting sqref="G288:G289">
    <cfRule type="expression" dxfId="358" priority="62">
      <formula>MOD(ROW(),2)=0</formula>
    </cfRule>
  </conditionalFormatting>
  <conditionalFormatting sqref="G286:G287">
    <cfRule type="expression" dxfId="357" priority="61">
      <formula>MOD(ROW(),2)=0</formula>
    </cfRule>
  </conditionalFormatting>
  <conditionalFormatting sqref="G296:G297">
    <cfRule type="expression" dxfId="356" priority="60">
      <formula>MOD(ROW(),2)=0</formula>
    </cfRule>
  </conditionalFormatting>
  <conditionalFormatting sqref="G294:G295">
    <cfRule type="expression" dxfId="355" priority="59">
      <formula>MOD(ROW(),2)=0</formula>
    </cfRule>
  </conditionalFormatting>
  <conditionalFormatting sqref="G292:G293">
    <cfRule type="expression" dxfId="354" priority="58">
      <formula>MOD(ROW(),2)=0</formula>
    </cfRule>
  </conditionalFormatting>
  <conditionalFormatting sqref="G302:G303">
    <cfRule type="expression" dxfId="353" priority="57">
      <formula>MOD(ROW(),2)=0</formula>
    </cfRule>
  </conditionalFormatting>
  <conditionalFormatting sqref="G300:G301">
    <cfRule type="expression" dxfId="352" priority="56">
      <formula>MOD(ROW(),2)=0</formula>
    </cfRule>
  </conditionalFormatting>
  <conditionalFormatting sqref="G298:G299">
    <cfRule type="expression" dxfId="351" priority="55">
      <formula>MOD(ROW(),2)=0</formula>
    </cfRule>
  </conditionalFormatting>
  <conditionalFormatting sqref="G308:G309">
    <cfRule type="expression" dxfId="350" priority="54">
      <formula>MOD(ROW(),2)=0</formula>
    </cfRule>
  </conditionalFormatting>
  <conditionalFormatting sqref="G306:G307">
    <cfRule type="expression" dxfId="349" priority="53">
      <formula>MOD(ROW(),2)=0</formula>
    </cfRule>
  </conditionalFormatting>
  <conditionalFormatting sqref="G304:G305">
    <cfRule type="expression" dxfId="348" priority="52">
      <formula>MOD(ROW(),2)=0</formula>
    </cfRule>
  </conditionalFormatting>
  <conditionalFormatting sqref="G351:G352">
    <cfRule type="expression" dxfId="347" priority="51">
      <formula>MOD(ROW(),2)=0</formula>
    </cfRule>
  </conditionalFormatting>
  <conditionalFormatting sqref="G349:G350">
    <cfRule type="expression" dxfId="346" priority="50">
      <formula>MOD(ROW(),2)=0</formula>
    </cfRule>
  </conditionalFormatting>
  <conditionalFormatting sqref="G347:G348">
    <cfRule type="expression" dxfId="345" priority="49">
      <formula>MOD(ROW(),2)=0</formula>
    </cfRule>
  </conditionalFormatting>
  <conditionalFormatting sqref="G357:G358">
    <cfRule type="expression" dxfId="344" priority="48">
      <formula>MOD(ROW(),2)=0</formula>
    </cfRule>
  </conditionalFormatting>
  <conditionalFormatting sqref="G355:G356">
    <cfRule type="expression" dxfId="343" priority="47">
      <formula>MOD(ROW(),2)=0</formula>
    </cfRule>
  </conditionalFormatting>
  <conditionalFormatting sqref="G353:G354">
    <cfRule type="expression" dxfId="342" priority="46">
      <formula>MOD(ROW(),2)=0</formula>
    </cfRule>
  </conditionalFormatting>
  <conditionalFormatting sqref="G363:G364">
    <cfRule type="expression" dxfId="341" priority="45">
      <formula>MOD(ROW(),2)=0</formula>
    </cfRule>
  </conditionalFormatting>
  <conditionalFormatting sqref="G361:G362">
    <cfRule type="expression" dxfId="340" priority="44">
      <formula>MOD(ROW(),2)=0</formula>
    </cfRule>
  </conditionalFormatting>
  <conditionalFormatting sqref="G359:G360">
    <cfRule type="expression" dxfId="339" priority="43">
      <formula>MOD(ROW(),2)=0</formula>
    </cfRule>
  </conditionalFormatting>
  <conditionalFormatting sqref="G369:G370">
    <cfRule type="expression" dxfId="338" priority="42">
      <formula>MOD(ROW(),2)=0</formula>
    </cfRule>
  </conditionalFormatting>
  <conditionalFormatting sqref="G367:G368">
    <cfRule type="expression" dxfId="337" priority="41">
      <formula>MOD(ROW(),2)=0</formula>
    </cfRule>
  </conditionalFormatting>
  <conditionalFormatting sqref="G365:G366">
    <cfRule type="expression" dxfId="336" priority="40">
      <formula>MOD(ROW(),2)=0</formula>
    </cfRule>
  </conditionalFormatting>
  <conditionalFormatting sqref="E155">
    <cfRule type="expression" dxfId="335" priority="39">
      <formula>MOD(ROW(),2)=0</formula>
    </cfRule>
  </conditionalFormatting>
  <conditionalFormatting sqref="E156">
    <cfRule type="expression" dxfId="334" priority="38">
      <formula>MOD(ROW(),2)=0</formula>
    </cfRule>
  </conditionalFormatting>
  <conditionalFormatting sqref="E152">
    <cfRule type="expression" dxfId="333" priority="37">
      <formula>MOD(ROW(),2)=0</formula>
    </cfRule>
  </conditionalFormatting>
  <conditionalFormatting sqref="E126">
    <cfRule type="expression" dxfId="332" priority="36">
      <formula>MOD(ROW(),2)=0</formula>
    </cfRule>
  </conditionalFormatting>
  <conditionalFormatting sqref="E124">
    <cfRule type="expression" dxfId="331" priority="35">
      <formula>MOD(ROW(),2)=0</formula>
    </cfRule>
  </conditionalFormatting>
  <conditionalFormatting sqref="G153:G154">
    <cfRule type="expression" dxfId="330" priority="34">
      <formula>MOD(ROW(),2)=0</formula>
    </cfRule>
  </conditionalFormatting>
  <conditionalFormatting sqref="G156">
    <cfRule type="expression" dxfId="329" priority="33">
      <formula>MOD(ROW(),2)=0</formula>
    </cfRule>
  </conditionalFormatting>
  <conditionalFormatting sqref="G152">
    <cfRule type="expression" dxfId="328" priority="32">
      <formula>MOD(ROW(),2)=0</formula>
    </cfRule>
  </conditionalFormatting>
  <conditionalFormatting sqref="G126">
    <cfRule type="expression" dxfId="327" priority="31">
      <formula>MOD(ROW(),2)=0</formula>
    </cfRule>
  </conditionalFormatting>
  <conditionalFormatting sqref="E224">
    <cfRule type="expression" dxfId="326" priority="30">
      <formula>MOD(ROW(),2)=0</formula>
    </cfRule>
  </conditionalFormatting>
  <conditionalFormatting sqref="E226">
    <cfRule type="expression" dxfId="325" priority="29">
      <formula>MOD(ROW(),2)=0</formula>
    </cfRule>
  </conditionalFormatting>
  <conditionalFormatting sqref="E249">
    <cfRule type="expression" dxfId="324" priority="28">
      <formula>MOD(ROW(),2)=0</formula>
    </cfRule>
  </conditionalFormatting>
  <conditionalFormatting sqref="E248">
    <cfRule type="expression" dxfId="323" priority="27">
      <formula>MOD(ROW(),2)=0</formula>
    </cfRule>
  </conditionalFormatting>
  <conditionalFormatting sqref="E245">
    <cfRule type="expression" dxfId="322" priority="26">
      <formula>MOD(ROW(),2)=0</formula>
    </cfRule>
  </conditionalFormatting>
  <conditionalFormatting sqref="G249">
    <cfRule type="expression" dxfId="321" priority="25">
      <formula>MOD(ROW(),2)=0</formula>
    </cfRule>
  </conditionalFormatting>
  <conditionalFormatting sqref="G245">
    <cfRule type="expression" dxfId="320" priority="24">
      <formula>MOD(ROW(),2)=0</formula>
    </cfRule>
  </conditionalFormatting>
  <conditionalFormatting sqref="G224">
    <cfRule type="expression" dxfId="319" priority="23">
      <formula>MOD(ROW(),2)=0</formula>
    </cfRule>
  </conditionalFormatting>
  <conditionalFormatting sqref="G226">
    <cfRule type="expression" dxfId="318" priority="22">
      <formula>MOD(ROW(),2)=0</formula>
    </cfRule>
  </conditionalFormatting>
  <conditionalFormatting sqref="E342">
    <cfRule type="expression" dxfId="317" priority="21">
      <formula>MOD(ROW(),2)=0</formula>
    </cfRule>
  </conditionalFormatting>
  <conditionalFormatting sqref="E345">
    <cfRule type="expression" dxfId="316" priority="20">
      <formula>MOD(ROW(),2)=0</formula>
    </cfRule>
  </conditionalFormatting>
  <conditionalFormatting sqref="E346">
    <cfRule type="expression" dxfId="315" priority="19">
      <formula>MOD(ROW(),2)=0</formula>
    </cfRule>
  </conditionalFormatting>
  <conditionalFormatting sqref="G343:G344">
    <cfRule type="expression" dxfId="314" priority="18">
      <formula>MOD(ROW(),2)=0</formula>
    </cfRule>
  </conditionalFormatting>
  <conditionalFormatting sqref="G346">
    <cfRule type="expression" dxfId="313" priority="17">
      <formula>MOD(ROW(),2)=0</formula>
    </cfRule>
  </conditionalFormatting>
  <conditionalFormatting sqref="G342">
    <cfRule type="expression" dxfId="312" priority="16">
      <formula>MOD(ROW(),2)=0</formula>
    </cfRule>
  </conditionalFormatting>
  <conditionalFormatting sqref="G313">
    <cfRule type="expression" dxfId="311" priority="15">
      <formula>MOD(ROW(),2)=0</formula>
    </cfRule>
  </conditionalFormatting>
  <conditionalFormatting sqref="G315">
    <cfRule type="expression" dxfId="310" priority="14">
      <formula>MOD(ROW(),2)=0</formula>
    </cfRule>
  </conditionalFormatting>
  <conditionalFormatting sqref="G310:G311">
    <cfRule type="expression" dxfId="309" priority="13">
      <formula>MOD(ROW(),2)=0</formula>
    </cfRule>
  </conditionalFormatting>
  <conditionalFormatting sqref="E395">
    <cfRule type="expression" dxfId="308" priority="12">
      <formula>MOD(ROW(),2)=0</formula>
    </cfRule>
  </conditionalFormatting>
  <conditionalFormatting sqref="E396">
    <cfRule type="expression" dxfId="307" priority="11">
      <formula>MOD(ROW(),2)=0</formula>
    </cfRule>
  </conditionalFormatting>
  <conditionalFormatting sqref="E397">
    <cfRule type="expression" dxfId="306" priority="10">
      <formula>MOD(ROW(),2)=0</formula>
    </cfRule>
  </conditionalFormatting>
  <conditionalFormatting sqref="E398">
    <cfRule type="expression" dxfId="305" priority="9">
      <formula>MOD(ROW(),2)=0</formula>
    </cfRule>
  </conditionalFormatting>
  <conditionalFormatting sqref="E399">
    <cfRule type="expression" dxfId="304" priority="8">
      <formula>MOD(ROW(),2)=0</formula>
    </cfRule>
  </conditionalFormatting>
  <conditionalFormatting sqref="G397">
    <cfRule type="expression" dxfId="303" priority="7">
      <formula>MOD(ROW(),2)=0</formula>
    </cfRule>
  </conditionalFormatting>
  <conditionalFormatting sqref="G396">
    <cfRule type="expression" dxfId="302" priority="6">
      <formula>MOD(ROW(),2)=0</formula>
    </cfRule>
  </conditionalFormatting>
  <conditionalFormatting sqref="G399">
    <cfRule type="expression" dxfId="301" priority="5">
      <formula>MOD(ROW(),2)=0</formula>
    </cfRule>
  </conditionalFormatting>
  <conditionalFormatting sqref="G374">
    <cfRule type="expression" dxfId="300" priority="4">
      <formula>MOD(ROW(),2)=0</formula>
    </cfRule>
  </conditionalFormatting>
  <conditionalFormatting sqref="G376">
    <cfRule type="expression" dxfId="299" priority="3">
      <formula>MOD(ROW(),2)=0</formula>
    </cfRule>
  </conditionalFormatting>
  <conditionalFormatting sqref="G371:G372">
    <cfRule type="expression" dxfId="298" priority="2">
      <formula>MOD(ROW(),2)=0</formula>
    </cfRule>
  </conditionalFormatting>
  <conditionalFormatting sqref="G395">
    <cfRule type="expression" dxfId="297" priority="1">
      <formula>MOD(ROW(),2)=0</formula>
    </cfRule>
  </conditionalFormatting>
  <hyperlinks>
    <hyperlink ref="AL17" location="'0'!A1" tooltip="X stave 0, Front" display="'0'!A1"/>
    <hyperlink ref="AJ17" location="'1'!A1" tooltip="X stave 1, Back" display="'1'!A1"/>
    <hyperlink ref="AH17" location="'2'!A1" tooltip="Stereo stave 0, Back" display="'2'!A1"/>
    <hyperlink ref="AF17" location="'3'!A1" tooltip="Stereo stave 0, Front" display="'3'!A1"/>
    <hyperlink ref="AD17" location="'4'!A1" tooltip="X stave 1, Front" display="'4'!A1"/>
    <hyperlink ref="AB17" location="'5'!A1" tooltip="X stave 1, Back" display="'5'!A1"/>
    <hyperlink ref="Z17" location="'6'!A1" tooltip="Stereo stave 1, Back" display="'6'!A1"/>
    <hyperlink ref="X17" location="'7'!A1" tooltip="Stereo stave 1, Front" display="'7'!A1"/>
    <hyperlink ref="V17" location="'8'!A1" tooltip="X stave 2, Front" display="'8'!A1"/>
    <hyperlink ref="T17" location="'9'!A1" tooltip="X stave 2, Back" display="'9'!A1"/>
    <hyperlink ref="R17" location="'10'!A1" tooltip="Stereo stave 2, Back" display="'10'!A1"/>
    <hyperlink ref="P17" location="'11'!A1" tooltip="Stereo stave 2, Front" display="'11'!A1"/>
    <hyperlink ref="AL18" location="'0'!A1" tooltip="X stave 0, Front" display="'0'!A1"/>
    <hyperlink ref="AJ18" location="'1'!A1" tooltip="X stave 1, Back" display="'1'!A1"/>
    <hyperlink ref="AH18" location="'2'!A1" tooltip="Stereo stave 0, Back" display="'2'!A1"/>
    <hyperlink ref="AF18" location="'3'!A1" tooltip="Stereo stave 0, Front" display="'3'!A1"/>
    <hyperlink ref="AD18" location="'4'!A1" tooltip="X stave 1, Front" display="'4'!A1"/>
    <hyperlink ref="AB18" location="'5'!A1" tooltip="X stave 1, Back" display="'5'!A1"/>
    <hyperlink ref="Z18" location="'6'!A1" tooltip="Stereo stave 1, Back" display="'6'!A1"/>
    <hyperlink ref="X18" location="'7'!A1" tooltip="Stereo stave 1, Front" display="'7'!A1"/>
    <hyperlink ref="V18" location="'8'!A1" tooltip="X stave 2, Front" display="'8'!A1"/>
    <hyperlink ref="T18" location="'9'!A1" tooltip="X stave 2, Back" display="'9'!A1"/>
    <hyperlink ref="R18" location="'10'!A1" tooltip="Stereo stave 2, Back" display="'10'!A1"/>
    <hyperlink ref="P18" location="'11'!A1" tooltip="Stereo stave 2, Front" display="'11'!A1"/>
  </hyperlinks>
  <pageMargins left="0.75" right="0.75" top="1" bottom="1" header="0.5" footer="0.5"/>
  <pageSetup orientation="portrait" horizontalDpi="4294967292" verticalDpi="429496729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1:AR405"/>
  <sheetViews>
    <sheetView zoomScale="85" zoomScaleNormal="85" workbookViewId="0">
      <selection activeCell="V18" sqref="V18"/>
    </sheetView>
  </sheetViews>
  <sheetFormatPr defaultColWidth="11" defaultRowHeight="15.75"/>
  <cols>
    <col min="1" max="1" width="2.875" style="3" customWidth="1"/>
    <col min="2" max="2" width="6.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75" style="1" customWidth="1"/>
    <col min="7" max="7" width="7.875" style="1" bestFit="1" customWidth="1"/>
    <col min="8" max="10" width="7.875" style="1" customWidth="1"/>
    <col min="11" max="11" width="7.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5" thickBot="1"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/>
    </row>
    <row r="2" spans="2:44" s="4" customFormat="1" ht="16.5" customHeight="1">
      <c r="D2" s="43" t="s">
        <v>858</v>
      </c>
      <c r="E2" s="551" t="s">
        <v>957</v>
      </c>
      <c r="F2" s="551"/>
      <c r="G2" s="552" t="s">
        <v>835</v>
      </c>
      <c r="H2" s="552"/>
      <c r="I2" s="552"/>
      <c r="J2" s="40"/>
      <c r="L2" s="177"/>
      <c r="M2" s="178"/>
      <c r="N2" s="180"/>
      <c r="O2" s="179"/>
      <c r="P2" s="180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80"/>
      <c r="AM2" s="180"/>
      <c r="AN2" s="180"/>
      <c r="AO2" s="181"/>
      <c r="AP2" s="177"/>
      <c r="AQ2" s="182"/>
      <c r="AR2"/>
    </row>
    <row r="3" spans="2:44" s="1" customFormat="1">
      <c r="D3"/>
      <c r="E3" s="40"/>
      <c r="F3" s="40"/>
      <c r="G3" s="40"/>
      <c r="H3" s="40"/>
      <c r="I3" s="40"/>
      <c r="J3" s="40"/>
      <c r="L3" s="177"/>
      <c r="M3" s="183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5"/>
      <c r="AP3" s="177"/>
      <c r="AQ3" s="186"/>
      <c r="AR3"/>
    </row>
    <row r="4" spans="2:44" s="6" customFormat="1" ht="16.5" thickBot="1">
      <c r="B4" s="553" t="s">
        <v>722</v>
      </c>
      <c r="C4" s="554"/>
      <c r="D4" s="554"/>
      <c r="E4" s="554"/>
      <c r="F4" s="554"/>
      <c r="G4" s="554"/>
      <c r="H4" s="554"/>
      <c r="I4" s="554"/>
      <c r="J4" s="554"/>
      <c r="K4" s="555"/>
      <c r="L4" s="177"/>
      <c r="M4" s="187"/>
      <c r="N4" s="184"/>
      <c r="O4" s="184"/>
      <c r="P4" s="184"/>
      <c r="Q4" s="184"/>
      <c r="R4" s="16" t="s">
        <v>13</v>
      </c>
      <c r="S4" s="16"/>
      <c r="T4" s="16" t="s">
        <v>14</v>
      </c>
      <c r="U4" s="16"/>
      <c r="V4" s="16" t="s">
        <v>13</v>
      </c>
      <c r="W4" s="16"/>
      <c r="X4" s="16" t="s">
        <v>14</v>
      </c>
      <c r="Y4" s="16"/>
      <c r="Z4" s="16" t="s">
        <v>13</v>
      </c>
      <c r="AA4" s="16"/>
      <c r="AB4" s="16" t="s">
        <v>14</v>
      </c>
      <c r="AC4" s="16"/>
      <c r="AD4" s="16" t="s">
        <v>13</v>
      </c>
      <c r="AE4" s="16"/>
      <c r="AF4" s="16" t="s">
        <v>14</v>
      </c>
      <c r="AG4" s="16"/>
      <c r="AH4" s="16" t="s">
        <v>13</v>
      </c>
      <c r="AI4" s="16"/>
      <c r="AJ4" s="16" t="s">
        <v>14</v>
      </c>
      <c r="AK4" s="16"/>
      <c r="AL4" s="16" t="s">
        <v>13</v>
      </c>
      <c r="AM4" s="16"/>
      <c r="AN4" s="16" t="s">
        <v>14</v>
      </c>
      <c r="AO4" s="185"/>
      <c r="AP4" s="177"/>
      <c r="AQ4" s="182" t="s">
        <v>710</v>
      </c>
      <c r="AR4"/>
    </row>
    <row r="5" spans="2:44" s="12" customFormat="1" ht="32.25" thickBot="1">
      <c r="B5" s="41" t="s">
        <v>19</v>
      </c>
      <c r="C5" s="7" t="s">
        <v>442</v>
      </c>
      <c r="D5" s="8" t="s">
        <v>2</v>
      </c>
      <c r="E5" s="8" t="s">
        <v>1</v>
      </c>
      <c r="F5" s="9"/>
      <c r="G5" s="9" t="s">
        <v>953</v>
      </c>
      <c r="H5" s="10" t="s">
        <v>3</v>
      </c>
      <c r="I5" s="10"/>
      <c r="J5" s="10"/>
      <c r="K5" s="11"/>
      <c r="L5" s="177"/>
      <c r="M5" s="187"/>
      <c r="N5" s="184"/>
      <c r="O5" s="184"/>
      <c r="P5" s="184"/>
      <c r="Q5" s="188"/>
      <c r="R5" s="175">
        <v>5</v>
      </c>
      <c r="S5" s="175"/>
      <c r="T5" s="175">
        <v>5</v>
      </c>
      <c r="U5" s="175"/>
      <c r="V5" s="175">
        <v>4</v>
      </c>
      <c r="W5" s="175"/>
      <c r="X5" s="175">
        <v>4</v>
      </c>
      <c r="Y5" s="175"/>
      <c r="Z5" s="175">
        <v>3</v>
      </c>
      <c r="AA5" s="175"/>
      <c r="AB5" s="175">
        <v>3</v>
      </c>
      <c r="AC5" s="175"/>
      <c r="AD5" s="175">
        <v>2</v>
      </c>
      <c r="AE5" s="175"/>
      <c r="AF5" s="175">
        <v>2</v>
      </c>
      <c r="AG5" s="175"/>
      <c r="AH5" s="175">
        <v>1</v>
      </c>
      <c r="AI5" s="175"/>
      <c r="AJ5" s="175">
        <v>1</v>
      </c>
      <c r="AK5" s="175"/>
      <c r="AL5" s="175">
        <v>0</v>
      </c>
      <c r="AM5" s="175"/>
      <c r="AN5" s="175">
        <v>0</v>
      </c>
      <c r="AO5" s="185"/>
      <c r="AP5" s="177"/>
      <c r="AQ5" s="254" t="s">
        <v>711</v>
      </c>
      <c r="AR5"/>
    </row>
    <row r="6" spans="2:44">
      <c r="B6" s="42">
        <v>199</v>
      </c>
      <c r="C6" s="293" t="s">
        <v>118</v>
      </c>
      <c r="D6" s="294" t="s">
        <v>677</v>
      </c>
      <c r="E6" s="322" t="s">
        <v>875</v>
      </c>
      <c r="F6" s="322"/>
      <c r="G6" s="389" t="s">
        <v>201</v>
      </c>
      <c r="H6" s="340" t="s">
        <v>897</v>
      </c>
      <c r="I6" s="296"/>
      <c r="J6" s="296"/>
      <c r="K6" s="297"/>
      <c r="L6" s="177"/>
      <c r="M6" s="187"/>
      <c r="N6" s="184"/>
      <c r="O6" s="184"/>
      <c r="P6" s="184"/>
      <c r="Q6" s="184"/>
      <c r="R6" s="189"/>
      <c r="S6" s="184"/>
      <c r="T6" s="265"/>
      <c r="U6" s="184"/>
      <c r="V6" s="189"/>
      <c r="W6" s="184"/>
      <c r="X6" s="189"/>
      <c r="Y6" s="184"/>
      <c r="Z6" s="189"/>
      <c r="AA6" s="184"/>
      <c r="AB6" s="189"/>
      <c r="AC6" s="184"/>
      <c r="AD6" s="189"/>
      <c r="AE6" s="184"/>
      <c r="AF6" s="189"/>
      <c r="AG6" s="184"/>
      <c r="AH6" s="189"/>
      <c r="AI6" s="184"/>
      <c r="AJ6" s="189"/>
      <c r="AK6" s="184"/>
      <c r="AL6" s="189"/>
      <c r="AM6" s="184"/>
      <c r="AN6" s="189"/>
      <c r="AO6" s="185"/>
      <c r="AP6" s="177"/>
      <c r="AQ6" s="186"/>
      <c r="AR6"/>
    </row>
    <row r="7" spans="2:44" ht="16.5" thickBot="1">
      <c r="B7" s="42">
        <v>200</v>
      </c>
      <c r="C7" s="21" t="s">
        <v>119</v>
      </c>
      <c r="D7" s="22" t="s">
        <v>699</v>
      </c>
      <c r="E7" s="323" t="s">
        <v>875</v>
      </c>
      <c r="F7" s="323"/>
      <c r="G7" s="389" t="s">
        <v>211</v>
      </c>
      <c r="H7" s="312" t="s">
        <v>897</v>
      </c>
      <c r="I7" s="5"/>
      <c r="J7" s="5"/>
      <c r="K7" s="14"/>
      <c r="L7" s="177"/>
      <c r="M7" s="187"/>
      <c r="N7" s="184"/>
      <c r="O7" s="184"/>
      <c r="P7" s="184"/>
      <c r="Q7" s="184"/>
      <c r="R7" s="191"/>
      <c r="S7" s="184"/>
      <c r="T7" s="266"/>
      <c r="U7" s="184"/>
      <c r="V7" s="191"/>
      <c r="W7" s="184"/>
      <c r="X7" s="191"/>
      <c r="Y7" s="184"/>
      <c r="Z7" s="191"/>
      <c r="AA7" s="184"/>
      <c r="AB7" s="191"/>
      <c r="AC7" s="184"/>
      <c r="AD7" s="191"/>
      <c r="AE7" s="184"/>
      <c r="AF7" s="191"/>
      <c r="AG7" s="184"/>
      <c r="AH7" s="191"/>
      <c r="AI7" s="184"/>
      <c r="AJ7" s="191"/>
      <c r="AK7" s="184"/>
      <c r="AL7" s="191"/>
      <c r="AM7" s="184"/>
      <c r="AN7" s="191"/>
      <c r="AO7" s="185"/>
      <c r="AP7" s="177"/>
      <c r="AQ7" s="186"/>
      <c r="AR7"/>
    </row>
    <row r="8" spans="2:44" ht="16.5" thickBot="1">
      <c r="B8" s="42">
        <v>207</v>
      </c>
      <c r="C8" s="21" t="s">
        <v>126</v>
      </c>
      <c r="D8" s="22" t="s">
        <v>632</v>
      </c>
      <c r="E8" s="323" t="s">
        <v>875</v>
      </c>
      <c r="F8" s="323"/>
      <c r="G8" s="389" t="s">
        <v>220</v>
      </c>
      <c r="H8" s="312" t="s">
        <v>897</v>
      </c>
      <c r="I8" s="5"/>
      <c r="J8" s="5"/>
      <c r="K8" s="14"/>
      <c r="L8" s="177"/>
      <c r="M8" s="187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5"/>
      <c r="AP8" s="177"/>
      <c r="AQ8" s="186"/>
      <c r="AR8"/>
    </row>
    <row r="9" spans="2:44">
      <c r="B9" s="42">
        <v>208</v>
      </c>
      <c r="C9" s="21" t="s">
        <v>127</v>
      </c>
      <c r="D9" s="22" t="s">
        <v>655</v>
      </c>
      <c r="E9" s="323" t="s">
        <v>875</v>
      </c>
      <c r="F9" s="323"/>
      <c r="G9" s="389" t="s">
        <v>230</v>
      </c>
      <c r="H9" s="312" t="s">
        <v>897</v>
      </c>
      <c r="I9" s="5"/>
      <c r="J9" s="5"/>
      <c r="K9" s="14"/>
      <c r="L9" s="177"/>
      <c r="M9" s="187"/>
      <c r="N9" s="184"/>
      <c r="O9" s="184"/>
      <c r="P9" s="184"/>
      <c r="Q9" s="184"/>
      <c r="R9" s="189"/>
      <c r="S9" s="184"/>
      <c r="T9" s="265"/>
      <c r="U9" s="184"/>
      <c r="V9" s="189"/>
      <c r="W9" s="184"/>
      <c r="X9" s="189"/>
      <c r="Y9" s="184"/>
      <c r="Z9" s="189"/>
      <c r="AA9" s="184"/>
      <c r="AB9" s="189"/>
      <c r="AC9" s="184"/>
      <c r="AD9" s="189"/>
      <c r="AE9" s="184"/>
      <c r="AF9" s="189"/>
      <c r="AG9" s="184"/>
      <c r="AH9" s="189"/>
      <c r="AI9" s="184"/>
      <c r="AJ9" s="189"/>
      <c r="AK9" s="184"/>
      <c r="AL9" s="189"/>
      <c r="AM9" s="184"/>
      <c r="AN9" s="189"/>
      <c r="AO9" s="185"/>
      <c r="AP9" s="177"/>
      <c r="AQ9" s="186"/>
      <c r="AR9"/>
    </row>
    <row r="10" spans="2:44" ht="16.5" thickBot="1">
      <c r="B10" s="42">
        <v>228</v>
      </c>
      <c r="C10" s="21" t="s">
        <v>147</v>
      </c>
      <c r="D10" s="22" t="s">
        <v>657</v>
      </c>
      <c r="E10" s="323" t="s">
        <v>875</v>
      </c>
      <c r="F10" s="323"/>
      <c r="G10" s="389" t="s">
        <v>180</v>
      </c>
      <c r="H10" s="312" t="s">
        <v>897</v>
      </c>
      <c r="I10" s="5"/>
      <c r="J10" s="5"/>
      <c r="K10" s="14"/>
      <c r="L10" s="177"/>
      <c r="M10" s="187"/>
      <c r="N10" s="184"/>
      <c r="O10" s="184"/>
      <c r="P10" s="184"/>
      <c r="Q10" s="184"/>
      <c r="R10" s="191"/>
      <c r="S10" s="184"/>
      <c r="T10" s="266"/>
      <c r="U10" s="184"/>
      <c r="V10" s="191"/>
      <c r="W10" s="184"/>
      <c r="X10" s="191"/>
      <c r="Y10" s="184"/>
      <c r="Z10" s="191"/>
      <c r="AA10" s="184"/>
      <c r="AB10" s="191"/>
      <c r="AC10" s="184"/>
      <c r="AD10" s="191"/>
      <c r="AE10" s="184"/>
      <c r="AF10" s="191"/>
      <c r="AG10" s="184"/>
      <c r="AH10" s="191"/>
      <c r="AI10" s="184"/>
      <c r="AJ10" s="191"/>
      <c r="AK10" s="184"/>
      <c r="AL10" s="190"/>
      <c r="AM10" s="184"/>
      <c r="AN10" s="191"/>
      <c r="AO10" s="192"/>
      <c r="AP10" s="177"/>
      <c r="AQ10" s="186"/>
      <c r="AR10"/>
    </row>
    <row r="11" spans="2:44">
      <c r="B11" s="42">
        <v>227</v>
      </c>
      <c r="C11" s="21" t="s">
        <v>146</v>
      </c>
      <c r="D11" s="22" t="s">
        <v>634</v>
      </c>
      <c r="E11" s="323" t="s">
        <v>875</v>
      </c>
      <c r="F11" s="323"/>
      <c r="G11" s="389" t="s">
        <v>190</v>
      </c>
      <c r="H11" s="312" t="s">
        <v>897</v>
      </c>
      <c r="I11" s="5"/>
      <c r="J11" s="5"/>
      <c r="K11" s="14"/>
      <c r="L11" s="177"/>
      <c r="M11" s="187"/>
      <c r="N11" s="184"/>
      <c r="O11" s="184"/>
      <c r="P11" s="184"/>
      <c r="Q11" s="184"/>
      <c r="R11" s="556">
        <v>11</v>
      </c>
      <c r="S11" s="556"/>
      <c r="T11" s="556">
        <v>10</v>
      </c>
      <c r="U11" s="556"/>
      <c r="V11" s="184">
        <v>9</v>
      </c>
      <c r="W11" s="184"/>
      <c r="X11" s="184">
        <v>8</v>
      </c>
      <c r="Y11" s="184"/>
      <c r="Z11" s="184">
        <v>7</v>
      </c>
      <c r="AA11" s="184"/>
      <c r="AB11" s="184">
        <v>6</v>
      </c>
      <c r="AC11" s="184"/>
      <c r="AD11" s="184">
        <v>5</v>
      </c>
      <c r="AE11" s="184"/>
      <c r="AF11" s="184">
        <v>4</v>
      </c>
      <c r="AG11" s="184"/>
      <c r="AH11" s="249">
        <v>3</v>
      </c>
      <c r="AI11" s="249"/>
      <c r="AJ11" s="249">
        <v>2</v>
      </c>
      <c r="AK11" s="250"/>
      <c r="AL11" s="251">
        <v>1</v>
      </c>
      <c r="AM11" s="249"/>
      <c r="AN11" s="249">
        <v>0</v>
      </c>
      <c r="AO11" s="192"/>
      <c r="AP11" s="177"/>
      <c r="AQ11" s="186"/>
      <c r="AR11"/>
    </row>
    <row r="12" spans="2:44">
      <c r="B12" s="213">
        <v>189</v>
      </c>
      <c r="C12" s="214" t="s">
        <v>108</v>
      </c>
      <c r="D12" s="215" t="s">
        <v>676</v>
      </c>
      <c r="E12" s="359"/>
      <c r="F12" s="359"/>
      <c r="G12" s="359"/>
      <c r="H12" s="312"/>
      <c r="I12" s="216"/>
      <c r="J12" s="216"/>
      <c r="K12" s="217"/>
      <c r="L12" s="177"/>
      <c r="M12" s="187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92"/>
      <c r="AP12" s="193"/>
      <c r="AQ12" s="186"/>
      <c r="AR12"/>
    </row>
    <row r="13" spans="2:44">
      <c r="B13" s="213">
        <v>190</v>
      </c>
      <c r="C13" s="214" t="s">
        <v>109</v>
      </c>
      <c r="D13" s="215" t="s">
        <v>698</v>
      </c>
      <c r="E13" s="359"/>
      <c r="F13" s="359"/>
      <c r="G13" s="359"/>
      <c r="H13" s="312"/>
      <c r="I13" s="216"/>
      <c r="J13" s="216"/>
      <c r="K13" s="217"/>
      <c r="L13" s="177"/>
      <c r="M13" s="187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92"/>
      <c r="AP13" s="193"/>
      <c r="AQ13" s="186"/>
      <c r="AR13"/>
    </row>
    <row r="14" spans="2:44">
      <c r="B14" s="213">
        <v>179</v>
      </c>
      <c r="C14" s="214" t="s">
        <v>98</v>
      </c>
      <c r="D14" s="215" t="s">
        <v>675</v>
      </c>
      <c r="E14" s="359"/>
      <c r="F14" s="359"/>
      <c r="G14" s="359"/>
      <c r="H14" s="312"/>
      <c r="I14" s="216"/>
      <c r="J14" s="216"/>
      <c r="K14" s="217"/>
      <c r="L14" s="177"/>
      <c r="M14" s="187"/>
      <c r="N14" s="184"/>
      <c r="O14" s="184"/>
      <c r="P14" s="16" t="s">
        <v>13</v>
      </c>
      <c r="Q14" s="16"/>
      <c r="R14" s="16" t="s">
        <v>13</v>
      </c>
      <c r="S14" s="16"/>
      <c r="T14" s="16" t="s">
        <v>14</v>
      </c>
      <c r="U14" s="16"/>
      <c r="V14" s="16" t="s">
        <v>14</v>
      </c>
      <c r="W14" s="16"/>
      <c r="X14" s="16" t="s">
        <v>13</v>
      </c>
      <c r="Y14" s="16"/>
      <c r="Z14" s="16" t="s">
        <v>13</v>
      </c>
      <c r="AA14" s="16"/>
      <c r="AB14" s="16" t="s">
        <v>14</v>
      </c>
      <c r="AC14" s="16"/>
      <c r="AD14" s="16" t="s">
        <v>14</v>
      </c>
      <c r="AE14" s="16"/>
      <c r="AF14" s="16" t="s">
        <v>13</v>
      </c>
      <c r="AG14" s="16"/>
      <c r="AH14" s="16" t="s">
        <v>13</v>
      </c>
      <c r="AI14" s="16"/>
      <c r="AJ14" s="16" t="s">
        <v>14</v>
      </c>
      <c r="AK14" s="16"/>
      <c r="AL14" s="16" t="s">
        <v>14</v>
      </c>
      <c r="AM14" s="184"/>
      <c r="AN14" s="184"/>
      <c r="AO14" s="192"/>
      <c r="AP14" s="193"/>
      <c r="AQ14" s="182" t="s">
        <v>710</v>
      </c>
      <c r="AR14"/>
    </row>
    <row r="15" spans="2:44">
      <c r="B15" s="213">
        <v>180</v>
      </c>
      <c r="C15" s="214" t="s">
        <v>99</v>
      </c>
      <c r="D15" s="215" t="s">
        <v>697</v>
      </c>
      <c r="E15" s="359"/>
      <c r="F15" s="359"/>
      <c r="G15" s="359"/>
      <c r="H15" s="312"/>
      <c r="I15" s="216"/>
      <c r="J15" s="216"/>
      <c r="K15" s="217"/>
      <c r="L15" s="177"/>
      <c r="M15" s="187"/>
      <c r="N15" s="184"/>
      <c r="O15" s="184"/>
      <c r="P15" s="16">
        <v>2</v>
      </c>
      <c r="Q15" s="16"/>
      <c r="R15" s="16">
        <v>2</v>
      </c>
      <c r="S15" s="16"/>
      <c r="T15" s="16">
        <v>2</v>
      </c>
      <c r="U15" s="16"/>
      <c r="V15" s="16">
        <v>2</v>
      </c>
      <c r="W15" s="16"/>
      <c r="X15" s="16">
        <v>1</v>
      </c>
      <c r="Y15" s="16"/>
      <c r="Z15" s="16">
        <v>1</v>
      </c>
      <c r="AA15" s="16"/>
      <c r="AB15" s="16">
        <v>1</v>
      </c>
      <c r="AC15" s="16"/>
      <c r="AD15" s="16">
        <v>1</v>
      </c>
      <c r="AE15" s="16"/>
      <c r="AF15" s="16">
        <v>0</v>
      </c>
      <c r="AG15" s="16"/>
      <c r="AH15" s="16">
        <v>0</v>
      </c>
      <c r="AI15" s="16"/>
      <c r="AJ15" s="16">
        <v>0</v>
      </c>
      <c r="AK15" s="16"/>
      <c r="AL15" s="16">
        <v>0</v>
      </c>
      <c r="AM15" s="184"/>
      <c r="AN15" s="184"/>
      <c r="AO15" s="192"/>
      <c r="AP15" s="193"/>
      <c r="AQ15" s="182" t="s">
        <v>713</v>
      </c>
      <c r="AR15"/>
    </row>
    <row r="16" spans="2:44" ht="16.5" thickBot="1">
      <c r="B16" s="42">
        <v>197</v>
      </c>
      <c r="C16" s="21" t="s">
        <v>116</v>
      </c>
      <c r="D16" s="22" t="s">
        <v>631</v>
      </c>
      <c r="E16" s="323" t="s">
        <v>875</v>
      </c>
      <c r="F16" s="323"/>
      <c r="G16" s="389" t="s">
        <v>222</v>
      </c>
      <c r="H16" s="312" t="s">
        <v>897</v>
      </c>
      <c r="I16" s="5"/>
      <c r="J16" s="5"/>
      <c r="K16" s="14"/>
      <c r="L16" s="177"/>
      <c r="M16" s="187"/>
      <c r="N16" s="184"/>
      <c r="O16" s="184"/>
      <c r="P16" s="16" t="s">
        <v>17</v>
      </c>
      <c r="Q16" s="16"/>
      <c r="R16" s="16" t="s">
        <v>13</v>
      </c>
      <c r="S16" s="16"/>
      <c r="T16" s="16" t="s">
        <v>13</v>
      </c>
      <c r="U16" s="16"/>
      <c r="V16" s="16" t="s">
        <v>17</v>
      </c>
      <c r="W16" s="16"/>
      <c r="X16" s="16" t="s">
        <v>17</v>
      </c>
      <c r="Y16" s="16"/>
      <c r="Z16" s="16" t="s">
        <v>13</v>
      </c>
      <c r="AA16" s="16"/>
      <c r="AB16" s="16" t="s">
        <v>13</v>
      </c>
      <c r="AC16" s="16"/>
      <c r="AD16" s="16" t="s">
        <v>17</v>
      </c>
      <c r="AE16" s="16"/>
      <c r="AF16" s="16" t="s">
        <v>17</v>
      </c>
      <c r="AG16" s="16"/>
      <c r="AH16" s="16" t="s">
        <v>13</v>
      </c>
      <c r="AI16" s="16"/>
      <c r="AJ16" s="16" t="s">
        <v>13</v>
      </c>
      <c r="AK16" s="16"/>
      <c r="AL16" s="16" t="s">
        <v>17</v>
      </c>
      <c r="AM16" s="184"/>
      <c r="AN16" s="184"/>
      <c r="AO16" s="192"/>
      <c r="AP16" s="193"/>
      <c r="AQ16" s="182" t="s">
        <v>954</v>
      </c>
      <c r="AR16"/>
    </row>
    <row r="17" spans="2:44">
      <c r="B17" s="42">
        <v>198</v>
      </c>
      <c r="C17" s="21" t="s">
        <v>117</v>
      </c>
      <c r="D17" s="22" t="s">
        <v>654</v>
      </c>
      <c r="E17" s="323" t="s">
        <v>875</v>
      </c>
      <c r="F17" s="323"/>
      <c r="G17" s="389" t="s">
        <v>232</v>
      </c>
      <c r="H17" s="312" t="s">
        <v>897</v>
      </c>
      <c r="I17" s="5"/>
      <c r="J17" s="5"/>
      <c r="K17" s="14"/>
      <c r="L17" s="177"/>
      <c r="M17" s="187"/>
      <c r="N17" s="184"/>
      <c r="O17" s="16"/>
      <c r="P17" s="244">
        <v>11</v>
      </c>
      <c r="Q17" s="35"/>
      <c r="R17" s="244">
        <v>10</v>
      </c>
      <c r="S17" s="35"/>
      <c r="T17" s="255">
        <v>9</v>
      </c>
      <c r="U17" s="35"/>
      <c r="V17" s="244">
        <v>8</v>
      </c>
      <c r="W17" s="35"/>
      <c r="X17" s="244">
        <v>7</v>
      </c>
      <c r="Y17" s="35"/>
      <c r="Z17" s="244">
        <v>6</v>
      </c>
      <c r="AA17" s="35"/>
      <c r="AB17" s="244">
        <v>5</v>
      </c>
      <c r="AC17" s="35"/>
      <c r="AD17" s="244">
        <v>4</v>
      </c>
      <c r="AE17" s="35"/>
      <c r="AF17" s="244">
        <v>3</v>
      </c>
      <c r="AG17" s="35"/>
      <c r="AH17" s="244">
        <v>2</v>
      </c>
      <c r="AI17" s="35"/>
      <c r="AJ17" s="244">
        <v>1</v>
      </c>
      <c r="AK17" s="35"/>
      <c r="AL17" s="244">
        <v>0</v>
      </c>
      <c r="AM17" s="184"/>
      <c r="AN17" s="184"/>
      <c r="AO17" s="192"/>
      <c r="AP17" s="193"/>
      <c r="AQ17" s="182" t="s">
        <v>964</v>
      </c>
      <c r="AR17"/>
    </row>
    <row r="18" spans="2:44" s="1" customFormat="1" ht="16.5" thickBot="1">
      <c r="B18" s="42">
        <v>210</v>
      </c>
      <c r="C18" s="21" t="s">
        <v>129</v>
      </c>
      <c r="D18" s="22" t="s">
        <v>700</v>
      </c>
      <c r="E18" s="323" t="s">
        <v>875</v>
      </c>
      <c r="F18" s="323"/>
      <c r="G18" s="389" t="s">
        <v>182</v>
      </c>
      <c r="H18" s="312" t="s">
        <v>897</v>
      </c>
      <c r="I18" s="5"/>
      <c r="J18" s="5"/>
      <c r="K18" s="14"/>
      <c r="L18" s="177"/>
      <c r="M18" s="187"/>
      <c r="N18" s="184"/>
      <c r="O18" s="16"/>
      <c r="P18" s="246">
        <v>11</v>
      </c>
      <c r="Q18" s="35"/>
      <c r="R18" s="246">
        <v>10</v>
      </c>
      <c r="S18" s="35"/>
      <c r="T18" s="256">
        <v>9</v>
      </c>
      <c r="U18" s="35"/>
      <c r="V18" s="246">
        <v>8</v>
      </c>
      <c r="W18" s="35"/>
      <c r="X18" s="246">
        <v>7</v>
      </c>
      <c r="Y18" s="35"/>
      <c r="Z18" s="246">
        <v>6</v>
      </c>
      <c r="AA18" s="35"/>
      <c r="AB18" s="246">
        <v>5</v>
      </c>
      <c r="AC18" s="35"/>
      <c r="AD18" s="246">
        <v>4</v>
      </c>
      <c r="AE18" s="35"/>
      <c r="AF18" s="246">
        <v>3</v>
      </c>
      <c r="AG18" s="35"/>
      <c r="AH18" s="246">
        <v>2</v>
      </c>
      <c r="AI18" s="35"/>
      <c r="AJ18" s="246">
        <v>1</v>
      </c>
      <c r="AK18" s="35"/>
      <c r="AL18" s="246">
        <v>0</v>
      </c>
      <c r="AM18" s="184"/>
      <c r="AN18" s="184"/>
      <c r="AO18" s="192"/>
      <c r="AP18" s="193"/>
      <c r="AQ18" s="186"/>
      <c r="AR18"/>
    </row>
    <row r="19" spans="2:44" s="1" customFormat="1" ht="16.5" thickBot="1">
      <c r="B19" s="42">
        <v>209</v>
      </c>
      <c r="C19" s="21" t="s">
        <v>128</v>
      </c>
      <c r="D19" s="22" t="s">
        <v>678</v>
      </c>
      <c r="E19" s="323" t="s">
        <v>875</v>
      </c>
      <c r="F19" s="323"/>
      <c r="G19" s="389" t="s">
        <v>192</v>
      </c>
      <c r="H19" s="312" t="s">
        <v>897</v>
      </c>
      <c r="I19" s="5"/>
      <c r="J19" s="5"/>
      <c r="K19" s="14"/>
      <c r="L19" s="177"/>
      <c r="M19" s="194"/>
      <c r="N19" s="195"/>
      <c r="O19" s="195"/>
      <c r="P19" s="563">
        <v>11</v>
      </c>
      <c r="Q19" s="563"/>
      <c r="R19" s="563">
        <v>10</v>
      </c>
      <c r="S19" s="563"/>
      <c r="T19" s="195">
        <v>9</v>
      </c>
      <c r="U19" s="195"/>
      <c r="V19" s="195">
        <v>8</v>
      </c>
      <c r="W19" s="195"/>
      <c r="X19" s="195">
        <v>7</v>
      </c>
      <c r="Y19" s="195"/>
      <c r="Z19" s="195">
        <v>6</v>
      </c>
      <c r="AA19" s="195"/>
      <c r="AB19" s="195">
        <v>5</v>
      </c>
      <c r="AC19" s="195"/>
      <c r="AD19" s="195">
        <v>4</v>
      </c>
      <c r="AE19" s="195"/>
      <c r="AF19" s="195">
        <v>3</v>
      </c>
      <c r="AG19" s="195"/>
      <c r="AH19" s="195">
        <v>2</v>
      </c>
      <c r="AI19" s="195"/>
      <c r="AJ19" s="253">
        <v>1</v>
      </c>
      <c r="AK19" s="253"/>
      <c r="AL19" s="253">
        <v>0</v>
      </c>
      <c r="AM19" s="253"/>
      <c r="AN19" s="195"/>
      <c r="AO19" s="196"/>
      <c r="AP19" s="193"/>
      <c r="AQ19" s="186"/>
      <c r="AR19"/>
    </row>
    <row r="20" spans="2:44" s="1" customFormat="1">
      <c r="B20" s="42">
        <v>217</v>
      </c>
      <c r="C20" s="21" t="s">
        <v>136</v>
      </c>
      <c r="D20" s="22" t="s">
        <v>633</v>
      </c>
      <c r="E20" s="323" t="s">
        <v>875</v>
      </c>
      <c r="F20" s="323"/>
      <c r="G20" s="389" t="s">
        <v>241</v>
      </c>
      <c r="H20" s="312" t="s">
        <v>897</v>
      </c>
      <c r="I20" s="5"/>
      <c r="J20" s="5"/>
      <c r="K20" s="14"/>
      <c r="L20" s="558" t="s">
        <v>864</v>
      </c>
      <c r="M20" s="559"/>
      <c r="N20" s="559"/>
      <c r="O20" s="559"/>
      <c r="P20" s="559"/>
      <c r="Q20" s="559"/>
      <c r="R20" s="559"/>
      <c r="S20" s="559"/>
      <c r="T20" s="559"/>
      <c r="U20" s="559"/>
      <c r="V20" s="559"/>
      <c r="W20" s="559"/>
      <c r="X20" s="559"/>
      <c r="Y20" s="559"/>
      <c r="Z20" s="559"/>
      <c r="AA20" s="559"/>
      <c r="AB20" s="559"/>
      <c r="AC20" s="559"/>
      <c r="AD20" s="559"/>
      <c r="AE20" s="559"/>
      <c r="AF20" s="559"/>
      <c r="AG20" s="559"/>
      <c r="AH20" s="559"/>
      <c r="AI20" s="559"/>
      <c r="AJ20" s="559"/>
      <c r="AK20" s="559"/>
      <c r="AL20" s="559"/>
      <c r="AM20" s="559"/>
      <c r="AN20" s="559"/>
      <c r="AO20" s="559"/>
      <c r="AP20" s="559"/>
      <c r="AQ20" s="186"/>
      <c r="AR20"/>
    </row>
    <row r="21" spans="2:44" s="1" customFormat="1">
      <c r="B21" s="42">
        <v>218</v>
      </c>
      <c r="C21" s="21" t="s">
        <v>137</v>
      </c>
      <c r="D21" s="22" t="s">
        <v>656</v>
      </c>
      <c r="E21" s="323" t="s">
        <v>875</v>
      </c>
      <c r="F21" s="323"/>
      <c r="G21" s="389" t="s">
        <v>251</v>
      </c>
      <c r="H21" s="312" t="s">
        <v>897</v>
      </c>
      <c r="I21" s="5"/>
      <c r="J21" s="5"/>
      <c r="K21" s="14"/>
      <c r="L21" s="560" t="s">
        <v>721</v>
      </c>
      <c r="M21" s="561"/>
      <c r="N21" s="561"/>
      <c r="O21" s="561"/>
      <c r="P21" s="561"/>
      <c r="Q21" s="561"/>
      <c r="R21" s="561"/>
      <c r="S21" s="561"/>
      <c r="T21" s="561"/>
      <c r="U21" s="561"/>
      <c r="V21" s="561"/>
      <c r="W21" s="561"/>
      <c r="X21" s="561"/>
      <c r="Y21" s="561"/>
      <c r="Z21" s="561"/>
      <c r="AA21" s="561"/>
      <c r="AB21" s="561"/>
      <c r="AC21" s="561"/>
      <c r="AD21" s="561"/>
      <c r="AE21" s="561"/>
      <c r="AF21" s="561"/>
      <c r="AG21" s="561"/>
      <c r="AH21" s="561"/>
      <c r="AI21" s="561"/>
      <c r="AJ21" s="561"/>
      <c r="AK21" s="561"/>
      <c r="AL21" s="561"/>
      <c r="AM21" s="561"/>
      <c r="AN21" s="561"/>
      <c r="AO21" s="561"/>
      <c r="AP21" s="561"/>
      <c r="AQ21" s="193"/>
      <c r="AR21"/>
    </row>
    <row r="22" spans="2:44" s="1" customFormat="1">
      <c r="B22" s="213">
        <v>177</v>
      </c>
      <c r="C22" s="214" t="s">
        <v>96</v>
      </c>
      <c r="D22" s="215" t="s">
        <v>629</v>
      </c>
      <c r="E22" s="359"/>
      <c r="F22" s="359"/>
      <c r="G22" s="359"/>
      <c r="H22" s="312"/>
      <c r="I22" s="216"/>
      <c r="J22" s="216"/>
      <c r="K22" s="217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13">
        <v>187</v>
      </c>
      <c r="C23" s="214" t="s">
        <v>106</v>
      </c>
      <c r="D23" s="215" t="s">
        <v>630</v>
      </c>
      <c r="E23" s="359"/>
      <c r="F23" s="359"/>
      <c r="G23" s="359"/>
      <c r="H23" s="312"/>
      <c r="I23" s="216"/>
      <c r="J23" s="216"/>
      <c r="K23" s="217"/>
      <c r="L23"/>
      <c r="M23" s="562" t="s">
        <v>836</v>
      </c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2"/>
      <c r="AP23"/>
      <c r="AQ23"/>
      <c r="AR23"/>
    </row>
    <row r="24" spans="2:44" s="1" customFormat="1">
      <c r="B24" s="213">
        <v>178</v>
      </c>
      <c r="C24" s="214" t="s">
        <v>97</v>
      </c>
      <c r="D24" s="215" t="s">
        <v>652</v>
      </c>
      <c r="E24" s="359"/>
      <c r="F24" s="359"/>
      <c r="G24" s="359"/>
      <c r="H24" s="312"/>
      <c r="I24" s="216"/>
      <c r="J24" s="216"/>
      <c r="K24" s="217"/>
      <c r="L24"/>
      <c r="M24" s="557" t="s">
        <v>883</v>
      </c>
      <c r="N24" s="557"/>
      <c r="O24" s="557"/>
      <c r="P24" s="557"/>
      <c r="Q24" s="557"/>
      <c r="R24" s="557"/>
      <c r="S24" s="557"/>
      <c r="T24" s="557"/>
      <c r="U24" s="557"/>
      <c r="V24" s="557"/>
      <c r="W24" s="557"/>
      <c r="X24" s="557"/>
      <c r="Y24" s="557"/>
      <c r="Z24" s="557"/>
      <c r="AA24" s="557"/>
      <c r="AB24" s="557"/>
      <c r="AC24" s="557"/>
      <c r="AD24" s="557"/>
      <c r="AE24" s="557"/>
      <c r="AF24" s="557"/>
      <c r="AG24" s="557"/>
      <c r="AH24" s="557"/>
      <c r="AI24" s="557"/>
      <c r="AJ24" s="557"/>
      <c r="AK24" s="557"/>
      <c r="AL24" s="557"/>
      <c r="AM24" s="557"/>
      <c r="AN24" s="557"/>
      <c r="AO24" s="557"/>
      <c r="AP24"/>
      <c r="AQ24"/>
      <c r="AR24"/>
    </row>
    <row r="25" spans="2:44" s="1" customFormat="1">
      <c r="B25" s="213">
        <v>188</v>
      </c>
      <c r="C25" s="214" t="s">
        <v>107</v>
      </c>
      <c r="D25" s="215" t="s">
        <v>653</v>
      </c>
      <c r="E25" s="359"/>
      <c r="F25" s="359"/>
      <c r="G25" s="359"/>
      <c r="H25" s="312"/>
      <c r="I25" s="216"/>
      <c r="J25" s="216"/>
      <c r="K25" s="217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42">
        <v>277</v>
      </c>
      <c r="C26" s="21" t="s">
        <v>196</v>
      </c>
      <c r="D26" s="22" t="s">
        <v>635</v>
      </c>
      <c r="E26" s="323" t="s">
        <v>875</v>
      </c>
      <c r="F26" s="323"/>
      <c r="G26" s="389" t="s">
        <v>184</v>
      </c>
      <c r="H26" s="312" t="s">
        <v>897</v>
      </c>
      <c r="I26" s="5"/>
      <c r="J26" s="5"/>
      <c r="K26" s="14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42">
        <v>278</v>
      </c>
      <c r="C27" s="21" t="s">
        <v>197</v>
      </c>
      <c r="D27" s="22" t="s">
        <v>658</v>
      </c>
      <c r="E27" s="323" t="s">
        <v>875</v>
      </c>
      <c r="F27" s="323"/>
      <c r="G27" s="389" t="s">
        <v>194</v>
      </c>
      <c r="H27" s="312" t="s">
        <v>897</v>
      </c>
      <c r="I27" s="5"/>
      <c r="J27" s="5"/>
      <c r="K27" s="14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42">
        <v>287</v>
      </c>
      <c r="C28" s="21" t="s">
        <v>206</v>
      </c>
      <c r="D28" s="22" t="s">
        <v>636</v>
      </c>
      <c r="E28" s="323" t="s">
        <v>875</v>
      </c>
      <c r="F28" s="323"/>
      <c r="G28" s="389" t="s">
        <v>243</v>
      </c>
      <c r="H28" s="312" t="s">
        <v>897</v>
      </c>
      <c r="I28" s="5"/>
      <c r="J28" s="5"/>
      <c r="K28" s="14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42">
        <v>288</v>
      </c>
      <c r="C29" s="21" t="s">
        <v>207</v>
      </c>
      <c r="D29" s="22" t="s">
        <v>659</v>
      </c>
      <c r="E29" s="323" t="s">
        <v>875</v>
      </c>
      <c r="F29" s="323"/>
      <c r="G29" s="389" t="s">
        <v>253</v>
      </c>
      <c r="H29" s="312" t="s">
        <v>897</v>
      </c>
      <c r="I29" s="5"/>
      <c r="J29" s="5"/>
      <c r="K29" s="14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42">
        <v>297</v>
      </c>
      <c r="C30" s="21" t="s">
        <v>216</v>
      </c>
      <c r="D30" s="22" t="s">
        <v>637</v>
      </c>
      <c r="E30" s="323" t="s">
        <v>875</v>
      </c>
      <c r="F30" s="323"/>
      <c r="G30" s="389" t="s">
        <v>203</v>
      </c>
      <c r="H30" s="312" t="s">
        <v>897</v>
      </c>
      <c r="I30" s="5"/>
      <c r="J30" s="5"/>
      <c r="K30" s="14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42">
        <v>298</v>
      </c>
      <c r="C31" s="21" t="s">
        <v>217</v>
      </c>
      <c r="D31" s="22" t="s">
        <v>660</v>
      </c>
      <c r="E31" s="323" t="s">
        <v>875</v>
      </c>
      <c r="F31" s="323"/>
      <c r="G31" s="389" t="s">
        <v>213</v>
      </c>
      <c r="H31" s="312" t="s">
        <v>897</v>
      </c>
      <c r="I31" s="5"/>
      <c r="J31" s="5"/>
      <c r="K31" s="14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13">
        <v>307</v>
      </c>
      <c r="C32" s="214" t="s">
        <v>226</v>
      </c>
      <c r="D32" s="215" t="s">
        <v>638</v>
      </c>
      <c r="E32" s="359"/>
      <c r="F32" s="359"/>
      <c r="G32" s="359"/>
      <c r="H32" s="312"/>
      <c r="I32" s="216"/>
      <c r="J32" s="216"/>
      <c r="K32" s="217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13">
        <v>308</v>
      </c>
      <c r="C33" s="214" t="s">
        <v>227</v>
      </c>
      <c r="D33" s="215" t="s">
        <v>661</v>
      </c>
      <c r="E33" s="359"/>
      <c r="F33" s="359"/>
      <c r="G33" s="359"/>
      <c r="H33" s="312"/>
      <c r="I33" s="216"/>
      <c r="J33" s="216"/>
      <c r="K33" s="217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13">
        <v>317</v>
      </c>
      <c r="C34" s="214" t="s">
        <v>236</v>
      </c>
      <c r="D34" s="215" t="s">
        <v>639</v>
      </c>
      <c r="E34" s="359"/>
      <c r="F34" s="359"/>
      <c r="G34" s="359"/>
      <c r="H34" s="312"/>
      <c r="I34" s="216"/>
      <c r="J34" s="216"/>
      <c r="K34" s="217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13">
        <v>318</v>
      </c>
      <c r="C35" s="214" t="s">
        <v>237</v>
      </c>
      <c r="D35" s="215" t="s">
        <v>662</v>
      </c>
      <c r="E35" s="359"/>
      <c r="F35" s="359"/>
      <c r="G35" s="359"/>
      <c r="H35" s="312"/>
      <c r="I35" s="216"/>
      <c r="J35" s="216"/>
      <c r="K35" s="217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42">
        <v>279</v>
      </c>
      <c r="C36" s="21" t="s">
        <v>198</v>
      </c>
      <c r="D36" s="22" t="s">
        <v>679</v>
      </c>
      <c r="E36" s="323" t="s">
        <v>875</v>
      </c>
      <c r="F36" s="323"/>
      <c r="G36" s="389" t="s">
        <v>245</v>
      </c>
      <c r="H36" s="312" t="s">
        <v>897</v>
      </c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42">
        <v>280</v>
      </c>
      <c r="C37" s="21" t="s">
        <v>199</v>
      </c>
      <c r="D37" s="22" t="s">
        <v>701</v>
      </c>
      <c r="E37" s="323" t="s">
        <v>875</v>
      </c>
      <c r="F37" s="323"/>
      <c r="G37" s="389" t="s">
        <v>255</v>
      </c>
      <c r="H37" s="312" t="s">
        <v>897</v>
      </c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42">
        <v>289</v>
      </c>
      <c r="C38" s="21" t="s">
        <v>208</v>
      </c>
      <c r="D38" s="22" t="s">
        <v>680</v>
      </c>
      <c r="E38" s="323" t="s">
        <v>875</v>
      </c>
      <c r="F38" s="323"/>
      <c r="G38" s="389" t="s">
        <v>205</v>
      </c>
      <c r="H38" s="312" t="s">
        <v>897</v>
      </c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42">
        <v>290</v>
      </c>
      <c r="C39" s="21" t="s">
        <v>209</v>
      </c>
      <c r="D39" s="22" t="s">
        <v>702</v>
      </c>
      <c r="E39" s="323" t="s">
        <v>875</v>
      </c>
      <c r="F39" s="323"/>
      <c r="G39" s="389" t="s">
        <v>215</v>
      </c>
      <c r="H39" s="312" t="s">
        <v>897</v>
      </c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42">
        <v>299</v>
      </c>
      <c r="C40" s="21" t="s">
        <v>218</v>
      </c>
      <c r="D40" s="22" t="s">
        <v>681</v>
      </c>
      <c r="E40" s="323" t="s">
        <v>875</v>
      </c>
      <c r="F40" s="323"/>
      <c r="G40" s="389" t="s">
        <v>224</v>
      </c>
      <c r="H40" s="312" t="s">
        <v>897</v>
      </c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42">
        <v>300</v>
      </c>
      <c r="C41" s="21" t="s">
        <v>219</v>
      </c>
      <c r="D41" s="22" t="s">
        <v>703</v>
      </c>
      <c r="E41" s="323" t="s">
        <v>875</v>
      </c>
      <c r="F41" s="323"/>
      <c r="G41" s="389" t="s">
        <v>234</v>
      </c>
      <c r="H41" s="312" t="s">
        <v>897</v>
      </c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13">
        <v>309</v>
      </c>
      <c r="C42" s="214" t="s">
        <v>228</v>
      </c>
      <c r="D42" s="215" t="s">
        <v>682</v>
      </c>
      <c r="E42" s="199"/>
      <c r="F42" s="216"/>
      <c r="G42" s="216"/>
      <c r="H42" s="199"/>
      <c r="I42" s="216"/>
      <c r="J42" s="216"/>
      <c r="K42" s="217"/>
      <c r="L42" s="3"/>
    </row>
    <row r="43" spans="2:44" s="1" customFormat="1">
      <c r="B43" s="213">
        <v>310</v>
      </c>
      <c r="C43" s="214" t="s">
        <v>229</v>
      </c>
      <c r="D43" s="215" t="s">
        <v>704</v>
      </c>
      <c r="E43" s="199"/>
      <c r="F43" s="216"/>
      <c r="G43" s="216"/>
      <c r="H43" s="199"/>
      <c r="I43" s="216"/>
      <c r="J43" s="216"/>
      <c r="K43" s="217"/>
      <c r="L43" s="3"/>
    </row>
    <row r="44" spans="2:44" s="1" customFormat="1">
      <c r="B44" s="213">
        <v>319</v>
      </c>
      <c r="C44" s="214" t="s">
        <v>238</v>
      </c>
      <c r="D44" s="215" t="s">
        <v>683</v>
      </c>
      <c r="E44" s="199"/>
      <c r="F44" s="216"/>
      <c r="G44" s="216"/>
      <c r="H44" s="199"/>
      <c r="I44" s="216"/>
      <c r="J44" s="216"/>
      <c r="K44" s="217"/>
      <c r="L44" s="3"/>
    </row>
    <row r="45" spans="2:44" s="1" customFormat="1">
      <c r="B45" s="213">
        <v>320</v>
      </c>
      <c r="C45" s="214" t="s">
        <v>239</v>
      </c>
      <c r="D45" s="215" t="s">
        <v>705</v>
      </c>
      <c r="E45" s="199"/>
      <c r="F45" s="216"/>
      <c r="G45" s="216"/>
      <c r="H45" s="199"/>
      <c r="I45" s="216"/>
      <c r="J45" s="216"/>
      <c r="K45" s="217"/>
      <c r="L45" s="3"/>
    </row>
    <row r="46" spans="2:44" s="1" customFormat="1">
      <c r="B46" s="213">
        <v>37</v>
      </c>
      <c r="C46" s="214" t="s">
        <v>373</v>
      </c>
      <c r="D46" s="215" t="s">
        <v>622</v>
      </c>
      <c r="E46" s="199"/>
      <c r="F46" s="216"/>
      <c r="G46" s="216"/>
      <c r="H46" s="199"/>
      <c r="I46" s="216"/>
      <c r="J46" s="216"/>
      <c r="K46" s="217"/>
      <c r="L46" s="3"/>
    </row>
    <row r="47" spans="2:44" s="1" customFormat="1">
      <c r="B47" s="213">
        <v>27</v>
      </c>
      <c r="C47" s="214" t="s">
        <v>363</v>
      </c>
      <c r="D47" s="215" t="s">
        <v>623</v>
      </c>
      <c r="E47" s="199"/>
      <c r="F47" s="216"/>
      <c r="G47" s="216"/>
      <c r="H47" s="199"/>
      <c r="I47" s="216"/>
      <c r="J47" s="216"/>
      <c r="K47" s="217"/>
      <c r="L47" s="3"/>
    </row>
    <row r="48" spans="2:44">
      <c r="B48" s="213">
        <v>18</v>
      </c>
      <c r="C48" s="214" t="s">
        <v>354</v>
      </c>
      <c r="D48" s="215" t="s">
        <v>643</v>
      </c>
      <c r="E48" s="199"/>
      <c r="F48" s="216"/>
      <c r="G48" s="216"/>
      <c r="H48" s="199"/>
      <c r="I48" s="216"/>
      <c r="J48" s="216"/>
      <c r="K48" s="217"/>
    </row>
    <row r="49" spans="2:11">
      <c r="B49" s="213">
        <v>8</v>
      </c>
      <c r="C49" s="214" t="s">
        <v>344</v>
      </c>
      <c r="D49" s="215" t="s">
        <v>644</v>
      </c>
      <c r="E49" s="199"/>
      <c r="F49" s="216"/>
      <c r="G49" s="216"/>
      <c r="H49" s="199"/>
      <c r="I49" s="216"/>
      <c r="J49" s="216"/>
      <c r="K49" s="217"/>
    </row>
    <row r="50" spans="2:11">
      <c r="B50" s="213">
        <v>10</v>
      </c>
      <c r="C50" s="214" t="s">
        <v>346</v>
      </c>
      <c r="D50" s="215" t="s">
        <v>666</v>
      </c>
      <c r="E50" s="199"/>
      <c r="F50" s="216"/>
      <c r="G50" s="216"/>
      <c r="H50" s="199"/>
      <c r="I50" s="216"/>
      <c r="J50" s="216"/>
      <c r="K50" s="217"/>
    </row>
    <row r="51" spans="2:11">
      <c r="B51" s="213">
        <v>9</v>
      </c>
      <c r="C51" s="214" t="s">
        <v>345</v>
      </c>
      <c r="D51" s="215" t="s">
        <v>688</v>
      </c>
      <c r="E51" s="199"/>
      <c r="F51" s="216"/>
      <c r="G51" s="216"/>
      <c r="H51" s="199"/>
      <c r="I51" s="216"/>
      <c r="J51" s="216"/>
      <c r="K51" s="217"/>
    </row>
    <row r="52" spans="2:11">
      <c r="B52" s="213">
        <v>7</v>
      </c>
      <c r="C52" s="214" t="s">
        <v>343</v>
      </c>
      <c r="D52" s="215" t="s">
        <v>621</v>
      </c>
      <c r="E52" s="199"/>
      <c r="F52" s="216"/>
      <c r="G52" s="216"/>
      <c r="H52" s="199"/>
      <c r="I52" s="216"/>
      <c r="J52" s="216"/>
      <c r="K52" s="217"/>
    </row>
    <row r="53" spans="2:11">
      <c r="B53" s="213">
        <v>17</v>
      </c>
      <c r="C53" s="214" t="s">
        <v>353</v>
      </c>
      <c r="D53" s="215" t="s">
        <v>620</v>
      </c>
      <c r="E53" s="199"/>
      <c r="F53" s="216"/>
      <c r="G53" s="216"/>
      <c r="H53" s="199"/>
      <c r="I53" s="216"/>
      <c r="J53" s="216"/>
      <c r="K53" s="217"/>
    </row>
    <row r="54" spans="2:11">
      <c r="B54" s="213">
        <v>6</v>
      </c>
      <c r="C54" s="214" t="s">
        <v>342</v>
      </c>
      <c r="D54" s="215" t="s">
        <v>611</v>
      </c>
      <c r="E54" s="199"/>
      <c r="F54" s="216"/>
      <c r="G54" s="216"/>
      <c r="H54" s="199"/>
      <c r="I54" s="216"/>
      <c r="J54" s="216"/>
      <c r="K54" s="217"/>
    </row>
    <row r="55" spans="2:11">
      <c r="B55" s="213">
        <v>16</v>
      </c>
      <c r="C55" s="214" t="s">
        <v>352</v>
      </c>
      <c r="D55" s="215" t="s">
        <v>610</v>
      </c>
      <c r="E55" s="199"/>
      <c r="F55" s="216"/>
      <c r="G55" s="216"/>
      <c r="H55" s="199"/>
      <c r="I55" s="216"/>
      <c r="J55" s="216"/>
      <c r="K55" s="217"/>
    </row>
    <row r="56" spans="2:11">
      <c r="B56" s="213">
        <v>60</v>
      </c>
      <c r="C56" s="214" t="s">
        <v>396</v>
      </c>
      <c r="D56" s="259" t="s">
        <v>669</v>
      </c>
      <c r="E56" s="199"/>
      <c r="F56" s="216"/>
      <c r="G56" s="216"/>
      <c r="H56" s="199"/>
      <c r="I56" s="216"/>
      <c r="J56" s="216"/>
      <c r="K56" s="217"/>
    </row>
    <row r="57" spans="2:11">
      <c r="B57" s="213">
        <v>59</v>
      </c>
      <c r="C57" s="214" t="s">
        <v>395</v>
      </c>
      <c r="D57" s="259" t="s">
        <v>691</v>
      </c>
      <c r="E57" s="199"/>
      <c r="F57" s="216"/>
      <c r="G57" s="216"/>
      <c r="H57" s="199"/>
      <c r="I57" s="216"/>
      <c r="J57" s="216"/>
      <c r="K57" s="217"/>
    </row>
    <row r="58" spans="2:11">
      <c r="B58" s="213">
        <v>28</v>
      </c>
      <c r="C58" s="214" t="s">
        <v>364</v>
      </c>
      <c r="D58" s="215" t="s">
        <v>646</v>
      </c>
      <c r="E58" s="199"/>
      <c r="F58" s="216"/>
      <c r="G58" s="216"/>
      <c r="H58" s="199"/>
      <c r="I58" s="216"/>
      <c r="J58" s="216"/>
      <c r="K58" s="217"/>
    </row>
    <row r="59" spans="2:11">
      <c r="B59" s="213">
        <v>38</v>
      </c>
      <c r="C59" s="214" t="s">
        <v>374</v>
      </c>
      <c r="D59" s="215" t="s">
        <v>645</v>
      </c>
      <c r="E59" s="199"/>
      <c r="F59" s="216"/>
      <c r="G59" s="216"/>
      <c r="H59" s="199"/>
      <c r="I59" s="216"/>
      <c r="J59" s="216"/>
      <c r="K59" s="217"/>
    </row>
    <row r="60" spans="2:11">
      <c r="B60" s="213">
        <v>49</v>
      </c>
      <c r="C60" s="214" t="s">
        <v>385</v>
      </c>
      <c r="D60" s="259" t="s">
        <v>690</v>
      </c>
      <c r="E60" s="199"/>
      <c r="F60" s="216"/>
      <c r="G60" s="216"/>
      <c r="H60" s="199"/>
      <c r="I60" s="216"/>
      <c r="J60" s="216"/>
      <c r="K60" s="217"/>
    </row>
    <row r="61" spans="2:11">
      <c r="B61" s="213">
        <v>50</v>
      </c>
      <c r="C61" s="214" t="s">
        <v>386</v>
      </c>
      <c r="D61" s="259" t="s">
        <v>668</v>
      </c>
      <c r="E61" s="199"/>
      <c r="F61" s="216"/>
      <c r="G61" s="216"/>
      <c r="H61" s="199"/>
      <c r="I61" s="216"/>
      <c r="J61" s="216"/>
      <c r="K61" s="217"/>
    </row>
    <row r="62" spans="2:11">
      <c r="B62" s="213">
        <v>19</v>
      </c>
      <c r="C62" s="214" t="s">
        <v>355</v>
      </c>
      <c r="D62" s="215" t="s">
        <v>689</v>
      </c>
      <c r="E62" s="199"/>
      <c r="F62" s="216"/>
      <c r="G62" s="216"/>
      <c r="H62" s="199"/>
      <c r="I62" s="216"/>
      <c r="J62" s="216"/>
      <c r="K62" s="217"/>
    </row>
    <row r="63" spans="2:11">
      <c r="B63" s="213">
        <v>20</v>
      </c>
      <c r="C63" s="214" t="s">
        <v>356</v>
      </c>
      <c r="D63" s="215" t="s">
        <v>667</v>
      </c>
      <c r="E63" s="199"/>
      <c r="F63" s="216"/>
      <c r="G63" s="216"/>
      <c r="H63" s="199"/>
      <c r="I63" s="216"/>
      <c r="J63" s="216"/>
      <c r="K63" s="217"/>
    </row>
    <row r="64" spans="2:11">
      <c r="B64" s="213">
        <v>26</v>
      </c>
      <c r="C64" s="214" t="s">
        <v>362</v>
      </c>
      <c r="D64" s="215" t="s">
        <v>613</v>
      </c>
      <c r="E64" s="199"/>
      <c r="F64" s="216"/>
      <c r="G64" s="216"/>
      <c r="H64" s="199"/>
      <c r="I64" s="216"/>
      <c r="J64" s="216"/>
      <c r="K64" s="217"/>
    </row>
    <row r="65" spans="2:11">
      <c r="B65" s="213">
        <v>36</v>
      </c>
      <c r="C65" s="214" t="s">
        <v>372</v>
      </c>
      <c r="D65" s="215" t="s">
        <v>612</v>
      </c>
      <c r="E65" s="199"/>
      <c r="F65" s="216"/>
      <c r="G65" s="216"/>
      <c r="H65" s="199"/>
      <c r="I65" s="216"/>
      <c r="J65" s="216"/>
      <c r="K65" s="217"/>
    </row>
    <row r="66" spans="2:11">
      <c r="B66" s="213">
        <v>118</v>
      </c>
      <c r="C66" s="214" t="s">
        <v>37</v>
      </c>
      <c r="D66" s="215" t="s">
        <v>624</v>
      </c>
      <c r="E66" s="199"/>
      <c r="F66" s="216"/>
      <c r="G66" s="216"/>
      <c r="H66" s="199"/>
      <c r="I66" s="216"/>
      <c r="J66" s="216"/>
      <c r="K66" s="217"/>
    </row>
    <row r="67" spans="2:11">
      <c r="B67" s="213">
        <v>117</v>
      </c>
      <c r="C67" s="214" t="s">
        <v>36</v>
      </c>
      <c r="D67" s="215" t="s">
        <v>647</v>
      </c>
      <c r="E67" s="199"/>
      <c r="F67" s="216"/>
      <c r="G67" s="216"/>
      <c r="H67" s="199"/>
      <c r="I67" s="216"/>
      <c r="J67" s="216"/>
      <c r="K67" s="217"/>
    </row>
    <row r="68" spans="2:11">
      <c r="B68" s="213">
        <v>148</v>
      </c>
      <c r="C68" s="214" t="s">
        <v>67</v>
      </c>
      <c r="D68" s="215" t="s">
        <v>626</v>
      </c>
      <c r="E68" s="199"/>
      <c r="F68" s="216"/>
      <c r="G68" s="216"/>
      <c r="H68" s="199"/>
      <c r="I68" s="216"/>
      <c r="J68" s="216"/>
      <c r="K68" s="217"/>
    </row>
    <row r="69" spans="2:11">
      <c r="B69" s="213">
        <v>147</v>
      </c>
      <c r="C69" s="214" t="s">
        <v>66</v>
      </c>
      <c r="D69" s="215" t="s">
        <v>649</v>
      </c>
      <c r="E69" s="199"/>
      <c r="F69" s="216"/>
      <c r="G69" s="216"/>
      <c r="H69" s="199"/>
      <c r="I69" s="216"/>
      <c r="J69" s="216"/>
      <c r="K69" s="217"/>
    </row>
    <row r="70" spans="2:11">
      <c r="B70" s="213">
        <v>168</v>
      </c>
      <c r="C70" s="214" t="s">
        <v>87</v>
      </c>
      <c r="D70" s="215" t="s">
        <v>628</v>
      </c>
      <c r="E70" s="199"/>
      <c r="F70" s="216"/>
      <c r="G70" s="216"/>
      <c r="H70" s="199"/>
      <c r="I70" s="216"/>
      <c r="J70" s="216"/>
      <c r="K70" s="217"/>
    </row>
    <row r="71" spans="2:11">
      <c r="B71" s="213">
        <v>167</v>
      </c>
      <c r="C71" s="214" t="s">
        <v>86</v>
      </c>
      <c r="D71" s="215" t="s">
        <v>651</v>
      </c>
      <c r="E71" s="199"/>
      <c r="F71" s="216"/>
      <c r="G71" s="216"/>
      <c r="H71" s="199"/>
      <c r="I71" s="216"/>
      <c r="J71" s="216"/>
      <c r="K71" s="217"/>
    </row>
    <row r="72" spans="2:11">
      <c r="B72" s="213">
        <v>170</v>
      </c>
      <c r="C72" s="214" t="s">
        <v>89</v>
      </c>
      <c r="D72" s="215" t="s">
        <v>674</v>
      </c>
      <c r="E72" s="199"/>
      <c r="F72" s="216"/>
      <c r="G72" s="216"/>
      <c r="H72" s="199"/>
      <c r="I72" s="216"/>
      <c r="J72" s="216"/>
      <c r="K72" s="217"/>
    </row>
    <row r="73" spans="2:11">
      <c r="B73" s="213">
        <v>169</v>
      </c>
      <c r="C73" s="214" t="s">
        <v>88</v>
      </c>
      <c r="D73" s="215" t="s">
        <v>696</v>
      </c>
      <c r="E73" s="199"/>
      <c r="F73" s="216"/>
      <c r="G73" s="216"/>
      <c r="H73" s="199"/>
      <c r="I73" s="216"/>
      <c r="J73" s="216"/>
      <c r="K73" s="217"/>
    </row>
    <row r="74" spans="2:11">
      <c r="B74" s="213">
        <v>158</v>
      </c>
      <c r="C74" s="214" t="s">
        <v>77</v>
      </c>
      <c r="D74" s="215" t="s">
        <v>627</v>
      </c>
      <c r="E74" s="199"/>
      <c r="F74" s="216"/>
      <c r="G74" s="216"/>
      <c r="H74" s="199"/>
      <c r="I74" s="216"/>
      <c r="J74" s="216"/>
      <c r="K74" s="217"/>
    </row>
    <row r="75" spans="2:11">
      <c r="B75" s="213">
        <v>157</v>
      </c>
      <c r="C75" s="214" t="s">
        <v>76</v>
      </c>
      <c r="D75" s="215" t="s">
        <v>650</v>
      </c>
      <c r="E75" s="199"/>
      <c r="F75" s="216"/>
      <c r="G75" s="216"/>
      <c r="H75" s="199"/>
      <c r="I75" s="216"/>
      <c r="J75" s="216"/>
      <c r="K75" s="217"/>
    </row>
    <row r="76" spans="2:11">
      <c r="B76" s="213">
        <v>129</v>
      </c>
      <c r="C76" s="214" t="s">
        <v>48</v>
      </c>
      <c r="D76" s="215" t="s">
        <v>692</v>
      </c>
      <c r="E76" s="199"/>
      <c r="F76" s="216"/>
      <c r="G76" s="216"/>
      <c r="H76" s="199"/>
      <c r="I76" s="216"/>
      <c r="J76" s="216"/>
      <c r="K76" s="217"/>
    </row>
    <row r="77" spans="2:11">
      <c r="B77" s="213">
        <v>130</v>
      </c>
      <c r="C77" s="214" t="s">
        <v>49</v>
      </c>
      <c r="D77" s="215" t="s">
        <v>670</v>
      </c>
      <c r="E77" s="199"/>
      <c r="F77" s="216"/>
      <c r="G77" s="216"/>
      <c r="H77" s="199"/>
      <c r="I77" s="216"/>
      <c r="J77" s="216"/>
      <c r="K77" s="217"/>
    </row>
    <row r="78" spans="2:11">
      <c r="B78" s="213">
        <v>139</v>
      </c>
      <c r="C78" s="214" t="s">
        <v>58</v>
      </c>
      <c r="D78" s="215" t="s">
        <v>693</v>
      </c>
      <c r="E78" s="199"/>
      <c r="F78" s="216"/>
      <c r="G78" s="216"/>
      <c r="H78" s="199"/>
      <c r="I78" s="216"/>
      <c r="J78" s="216"/>
      <c r="K78" s="217"/>
    </row>
    <row r="79" spans="2:11">
      <c r="B79" s="213">
        <v>140</v>
      </c>
      <c r="C79" s="214" t="s">
        <v>59</v>
      </c>
      <c r="D79" s="215" t="s">
        <v>671</v>
      </c>
      <c r="E79" s="199"/>
      <c r="F79" s="216"/>
      <c r="G79" s="216"/>
      <c r="H79" s="199"/>
      <c r="I79" s="216"/>
      <c r="J79" s="216"/>
      <c r="K79" s="217"/>
    </row>
    <row r="80" spans="2:11">
      <c r="B80" s="213">
        <v>138</v>
      </c>
      <c r="C80" s="214" t="s">
        <v>57</v>
      </c>
      <c r="D80" s="215" t="s">
        <v>625</v>
      </c>
      <c r="E80" s="199"/>
      <c r="F80" s="216"/>
      <c r="G80" s="216"/>
      <c r="H80" s="199"/>
      <c r="I80" s="216"/>
      <c r="J80" s="216"/>
      <c r="K80" s="217"/>
    </row>
    <row r="81" spans="2:11">
      <c r="B81" s="213">
        <v>137</v>
      </c>
      <c r="C81" s="214" t="s">
        <v>56</v>
      </c>
      <c r="D81" s="215" t="s">
        <v>648</v>
      </c>
      <c r="E81" s="199"/>
      <c r="F81" s="216"/>
      <c r="G81" s="216"/>
      <c r="H81" s="199"/>
      <c r="I81" s="216"/>
      <c r="J81" s="216"/>
      <c r="K81" s="217"/>
    </row>
    <row r="82" spans="2:11">
      <c r="B82" s="213">
        <v>150</v>
      </c>
      <c r="C82" s="214" t="s">
        <v>69</v>
      </c>
      <c r="D82" s="215" t="s">
        <v>672</v>
      </c>
      <c r="E82" s="199"/>
      <c r="F82" s="216"/>
      <c r="G82" s="216"/>
      <c r="H82" s="199"/>
      <c r="I82" s="216"/>
      <c r="J82" s="216"/>
      <c r="K82" s="217"/>
    </row>
    <row r="83" spans="2:11">
      <c r="B83" s="213">
        <v>149</v>
      </c>
      <c r="C83" s="214" t="s">
        <v>68</v>
      </c>
      <c r="D83" s="215" t="s">
        <v>694</v>
      </c>
      <c r="E83" s="199"/>
      <c r="F83" s="216"/>
      <c r="G83" s="216"/>
      <c r="H83" s="199"/>
      <c r="I83" s="216"/>
      <c r="J83" s="216"/>
      <c r="K83" s="217"/>
    </row>
    <row r="84" spans="2:11">
      <c r="B84" s="213">
        <v>160</v>
      </c>
      <c r="C84" s="214" t="s">
        <v>79</v>
      </c>
      <c r="D84" s="215" t="s">
        <v>673</v>
      </c>
      <c r="E84" s="199"/>
      <c r="F84" s="216"/>
      <c r="G84" s="216"/>
      <c r="H84" s="199"/>
      <c r="I84" s="216"/>
      <c r="J84" s="216"/>
      <c r="K84" s="217"/>
    </row>
    <row r="85" spans="2:11">
      <c r="B85" s="213">
        <v>159</v>
      </c>
      <c r="C85" s="214" t="s">
        <v>78</v>
      </c>
      <c r="D85" s="215" t="s">
        <v>695</v>
      </c>
      <c r="E85" s="199"/>
      <c r="F85" s="216"/>
      <c r="G85" s="216"/>
      <c r="H85" s="199"/>
      <c r="I85" s="216"/>
      <c r="J85" s="216"/>
      <c r="K85" s="217"/>
    </row>
    <row r="86" spans="2:11">
      <c r="B86" s="213">
        <v>128</v>
      </c>
      <c r="C86" s="214" t="s">
        <v>47</v>
      </c>
      <c r="D86" s="215" t="s">
        <v>507</v>
      </c>
      <c r="E86" s="199"/>
      <c r="F86" s="216"/>
      <c r="G86" s="216"/>
      <c r="H86" s="199"/>
      <c r="I86" s="216"/>
      <c r="J86" s="216"/>
      <c r="K86" s="217"/>
    </row>
    <row r="87" spans="2:11">
      <c r="B87" s="213">
        <v>127</v>
      </c>
      <c r="C87" s="214" t="s">
        <v>46</v>
      </c>
      <c r="D87" s="215" t="s">
        <v>497</v>
      </c>
      <c r="E87" s="199"/>
      <c r="F87" s="216"/>
      <c r="G87" s="216"/>
      <c r="H87" s="199"/>
      <c r="I87" s="216"/>
      <c r="J87" s="216"/>
      <c r="K87" s="217"/>
    </row>
    <row r="88" spans="2:11">
      <c r="B88" s="213">
        <v>79</v>
      </c>
      <c r="C88" s="214" t="s">
        <v>415</v>
      </c>
      <c r="D88" s="259" t="s">
        <v>490</v>
      </c>
      <c r="E88" s="199"/>
      <c r="F88" s="216"/>
      <c r="G88" s="216"/>
      <c r="H88" s="199"/>
      <c r="I88" s="216"/>
      <c r="J88" s="216"/>
      <c r="K88" s="217"/>
    </row>
    <row r="89" spans="2:11">
      <c r="B89" s="213">
        <v>78</v>
      </c>
      <c r="C89" s="214" t="s">
        <v>414</v>
      </c>
      <c r="D89" s="259" t="s">
        <v>498</v>
      </c>
      <c r="E89" s="199"/>
      <c r="F89" s="216"/>
      <c r="G89" s="216"/>
      <c r="H89" s="199"/>
      <c r="I89" s="216"/>
      <c r="J89" s="216"/>
      <c r="K89" s="217"/>
    </row>
    <row r="90" spans="2:11">
      <c r="B90" s="213">
        <v>88</v>
      </c>
      <c r="C90" s="214" t="s">
        <v>424</v>
      </c>
      <c r="D90" s="215" t="s">
        <v>499</v>
      </c>
      <c r="E90" s="199"/>
      <c r="F90" s="216"/>
      <c r="G90" s="216"/>
      <c r="H90" s="199"/>
      <c r="I90" s="216"/>
      <c r="J90" s="216"/>
      <c r="K90" s="217"/>
    </row>
    <row r="91" spans="2:11">
      <c r="B91" s="213">
        <v>89</v>
      </c>
      <c r="C91" s="214" t="s">
        <v>425</v>
      </c>
      <c r="D91" s="215" t="s">
        <v>491</v>
      </c>
      <c r="E91" s="199"/>
      <c r="F91" s="216"/>
      <c r="G91" s="216"/>
      <c r="H91" s="199"/>
      <c r="I91" s="216"/>
      <c r="J91" s="216"/>
      <c r="K91" s="217"/>
    </row>
    <row r="92" spans="2:11">
      <c r="B92" s="213">
        <v>47</v>
      </c>
      <c r="C92" s="214" t="s">
        <v>383</v>
      </c>
      <c r="D92" s="259" t="s">
        <v>474</v>
      </c>
      <c r="E92" s="199"/>
      <c r="F92" s="216"/>
      <c r="G92" s="216"/>
      <c r="H92" s="199"/>
      <c r="I92" s="216"/>
      <c r="J92" s="216"/>
      <c r="K92" s="217"/>
    </row>
    <row r="93" spans="2:11">
      <c r="B93" s="213">
        <v>57</v>
      </c>
      <c r="C93" s="214" t="s">
        <v>393</v>
      </c>
      <c r="D93" s="259" t="s">
        <v>474</v>
      </c>
      <c r="E93" s="199"/>
      <c r="F93" s="216"/>
      <c r="G93" s="216"/>
      <c r="H93" s="199"/>
      <c r="I93" s="216"/>
      <c r="J93" s="216"/>
      <c r="K93" s="217"/>
    </row>
    <row r="94" spans="2:11">
      <c r="B94" s="213">
        <v>67</v>
      </c>
      <c r="C94" s="214" t="s">
        <v>403</v>
      </c>
      <c r="D94" s="259" t="s">
        <v>474</v>
      </c>
      <c r="E94" s="199"/>
      <c r="F94" s="216"/>
      <c r="G94" s="216"/>
      <c r="H94" s="199"/>
      <c r="I94" s="216"/>
      <c r="J94" s="216"/>
      <c r="K94" s="217"/>
    </row>
    <row r="95" spans="2:11">
      <c r="B95" s="213">
        <v>77</v>
      </c>
      <c r="C95" s="214" t="s">
        <v>413</v>
      </c>
      <c r="D95" s="259" t="s">
        <v>474</v>
      </c>
      <c r="E95" s="199"/>
      <c r="F95" s="216"/>
      <c r="G95" s="216"/>
      <c r="H95" s="199"/>
      <c r="I95" s="216"/>
      <c r="J95" s="216"/>
      <c r="K95" s="217"/>
    </row>
    <row r="96" spans="2:11">
      <c r="B96" s="213">
        <v>87</v>
      </c>
      <c r="C96" s="214" t="s">
        <v>423</v>
      </c>
      <c r="D96" s="215" t="s">
        <v>474</v>
      </c>
      <c r="E96" s="199"/>
      <c r="F96" s="216"/>
      <c r="G96" s="216"/>
      <c r="H96" s="199"/>
      <c r="I96" s="216"/>
      <c r="J96" s="216"/>
      <c r="K96" s="217"/>
    </row>
    <row r="97" spans="2:11">
      <c r="B97" s="213">
        <v>48</v>
      </c>
      <c r="C97" s="214" t="s">
        <v>384</v>
      </c>
      <c r="D97" s="259" t="s">
        <v>474</v>
      </c>
      <c r="E97" s="199"/>
      <c r="F97" s="216"/>
      <c r="G97" s="216"/>
      <c r="H97" s="199"/>
      <c r="I97" s="216"/>
      <c r="J97" s="216"/>
      <c r="K97" s="217"/>
    </row>
    <row r="98" spans="2:11">
      <c r="B98" s="213">
        <v>58</v>
      </c>
      <c r="C98" s="214" t="s">
        <v>394</v>
      </c>
      <c r="D98" s="259" t="s">
        <v>474</v>
      </c>
      <c r="E98" s="199"/>
      <c r="F98" s="216"/>
      <c r="G98" s="216"/>
      <c r="H98" s="199"/>
      <c r="I98" s="216"/>
      <c r="J98" s="216"/>
      <c r="K98" s="217"/>
    </row>
    <row r="99" spans="2:11">
      <c r="B99" s="213">
        <v>68</v>
      </c>
      <c r="C99" s="214" t="s">
        <v>404</v>
      </c>
      <c r="D99" s="259" t="s">
        <v>474</v>
      </c>
      <c r="E99" s="199"/>
      <c r="F99" s="216"/>
      <c r="G99" s="216"/>
      <c r="H99" s="199"/>
      <c r="I99" s="216"/>
      <c r="J99" s="216"/>
      <c r="K99" s="217"/>
    </row>
    <row r="100" spans="2:11">
      <c r="B100" s="213">
        <v>69</v>
      </c>
      <c r="C100" s="214" t="s">
        <v>405</v>
      </c>
      <c r="D100" s="259" t="s">
        <v>474</v>
      </c>
      <c r="E100" s="199"/>
      <c r="F100" s="216"/>
      <c r="G100" s="216"/>
      <c r="H100" s="199"/>
      <c r="I100" s="216"/>
      <c r="J100" s="216"/>
      <c r="K100" s="217"/>
    </row>
    <row r="101" spans="2:11">
      <c r="B101" s="213">
        <v>70</v>
      </c>
      <c r="C101" s="214" t="s">
        <v>406</v>
      </c>
      <c r="D101" s="259" t="s">
        <v>508</v>
      </c>
      <c r="E101" s="199"/>
      <c r="F101" s="216"/>
      <c r="G101" s="216"/>
      <c r="H101" s="199"/>
      <c r="I101" s="216"/>
      <c r="J101" s="216"/>
      <c r="K101" s="217"/>
    </row>
    <row r="102" spans="2:11">
      <c r="B102" s="213">
        <v>80</v>
      </c>
      <c r="C102" s="214" t="s">
        <v>416</v>
      </c>
      <c r="D102" s="259" t="s">
        <v>510</v>
      </c>
      <c r="E102" s="199"/>
      <c r="F102" s="216"/>
      <c r="G102" s="216"/>
      <c r="H102" s="199"/>
      <c r="I102" s="216"/>
      <c r="J102" s="216"/>
      <c r="K102" s="217"/>
    </row>
    <row r="103" spans="2:11">
      <c r="B103" s="213">
        <v>90</v>
      </c>
      <c r="C103" s="214" t="s">
        <v>426</v>
      </c>
      <c r="D103" s="215" t="s">
        <v>509</v>
      </c>
      <c r="E103" s="199"/>
      <c r="F103" s="216"/>
      <c r="G103" s="216"/>
      <c r="H103" s="199"/>
      <c r="I103" s="216"/>
      <c r="J103" s="216"/>
      <c r="K103" s="217"/>
    </row>
    <row r="104" spans="2:11">
      <c r="B104" s="213">
        <v>106</v>
      </c>
      <c r="C104" s="214" t="s">
        <v>25</v>
      </c>
      <c r="D104" s="215" t="s">
        <v>482</v>
      </c>
      <c r="E104" s="199"/>
      <c r="F104" s="216"/>
      <c r="G104" s="216"/>
      <c r="H104" s="199"/>
      <c r="I104" s="216"/>
      <c r="J104" s="216"/>
      <c r="K104" s="217"/>
    </row>
    <row r="105" spans="2:11">
      <c r="B105" s="213">
        <v>116</v>
      </c>
      <c r="C105" s="214" t="s">
        <v>35</v>
      </c>
      <c r="D105" s="215" t="s">
        <v>482</v>
      </c>
      <c r="E105" s="199"/>
      <c r="F105" s="216"/>
      <c r="G105" s="216"/>
      <c r="H105" s="199"/>
      <c r="I105" s="216"/>
      <c r="J105" s="216"/>
      <c r="K105" s="217"/>
    </row>
    <row r="106" spans="2:11">
      <c r="B106" s="213">
        <v>126</v>
      </c>
      <c r="C106" s="214" t="s">
        <v>45</v>
      </c>
      <c r="D106" s="215" t="s">
        <v>482</v>
      </c>
      <c r="E106" s="199"/>
      <c r="F106" s="216"/>
      <c r="G106" s="216"/>
      <c r="H106" s="199"/>
      <c r="I106" s="216"/>
      <c r="J106" s="216"/>
      <c r="K106" s="217"/>
    </row>
    <row r="107" spans="2:11">
      <c r="B107" s="213">
        <v>136</v>
      </c>
      <c r="C107" s="214" t="s">
        <v>55</v>
      </c>
      <c r="D107" s="215" t="s">
        <v>482</v>
      </c>
      <c r="E107" s="199"/>
      <c r="F107" s="216"/>
      <c r="G107" s="216"/>
      <c r="H107" s="199"/>
      <c r="I107" s="216"/>
      <c r="J107" s="216"/>
      <c r="K107" s="217"/>
    </row>
    <row r="108" spans="2:11">
      <c r="B108" s="213">
        <v>97</v>
      </c>
      <c r="C108" s="214" t="s">
        <v>9</v>
      </c>
      <c r="D108" s="215" t="s">
        <v>482</v>
      </c>
      <c r="E108" s="199"/>
      <c r="F108" s="216"/>
      <c r="G108" s="216"/>
      <c r="H108" s="199"/>
      <c r="I108" s="216"/>
      <c r="J108" s="216"/>
      <c r="K108" s="217"/>
    </row>
    <row r="109" spans="2:11">
      <c r="B109" s="213">
        <v>107</v>
      </c>
      <c r="C109" s="214" t="s">
        <v>26</v>
      </c>
      <c r="D109" s="215" t="s">
        <v>482</v>
      </c>
      <c r="E109" s="199"/>
      <c r="F109" s="216"/>
      <c r="G109" s="216"/>
      <c r="H109" s="199"/>
      <c r="I109" s="216"/>
      <c r="J109" s="216"/>
      <c r="K109" s="217"/>
    </row>
    <row r="110" spans="2:11">
      <c r="B110" s="213">
        <v>98</v>
      </c>
      <c r="C110" s="214" t="s">
        <v>10</v>
      </c>
      <c r="D110" s="215" t="s">
        <v>482</v>
      </c>
      <c r="E110" s="199"/>
      <c r="F110" s="216"/>
      <c r="G110" s="216"/>
      <c r="H110" s="199"/>
      <c r="I110" s="216"/>
      <c r="J110" s="216"/>
      <c r="K110" s="217"/>
    </row>
    <row r="111" spans="2:11">
      <c r="B111" s="213">
        <v>108</v>
      </c>
      <c r="C111" s="214" t="s">
        <v>27</v>
      </c>
      <c r="D111" s="215" t="s">
        <v>482</v>
      </c>
      <c r="E111" s="199"/>
      <c r="F111" s="216"/>
      <c r="G111" s="216"/>
      <c r="H111" s="199"/>
      <c r="I111" s="216"/>
      <c r="J111" s="216"/>
      <c r="K111" s="217"/>
    </row>
    <row r="112" spans="2:11">
      <c r="B112" s="213">
        <v>109</v>
      </c>
      <c r="C112" s="214" t="s">
        <v>28</v>
      </c>
      <c r="D112" s="215" t="s">
        <v>482</v>
      </c>
      <c r="E112" s="199"/>
      <c r="F112" s="216"/>
      <c r="G112" s="216"/>
      <c r="H112" s="199"/>
      <c r="I112" s="216"/>
      <c r="J112" s="216"/>
      <c r="K112" s="217"/>
    </row>
    <row r="113" spans="2:11">
      <c r="B113" s="213">
        <v>100</v>
      </c>
      <c r="C113" s="214" t="s">
        <v>12</v>
      </c>
      <c r="D113" s="215" t="s">
        <v>482</v>
      </c>
      <c r="E113" s="199"/>
      <c r="F113" s="216"/>
      <c r="G113" s="216"/>
      <c r="H113" s="199"/>
      <c r="I113" s="216"/>
      <c r="J113" s="216"/>
      <c r="K113" s="217"/>
    </row>
    <row r="114" spans="2:11">
      <c r="B114" s="213">
        <v>110</v>
      </c>
      <c r="C114" s="214" t="s">
        <v>29</v>
      </c>
      <c r="D114" s="215" t="s">
        <v>482</v>
      </c>
      <c r="E114" s="199"/>
      <c r="F114" s="216"/>
      <c r="G114" s="216"/>
      <c r="H114" s="199"/>
      <c r="I114" s="216"/>
      <c r="J114" s="216"/>
      <c r="K114" s="217"/>
    </row>
    <row r="115" spans="2:11">
      <c r="B115" s="213">
        <v>30</v>
      </c>
      <c r="C115" s="214" t="s">
        <v>366</v>
      </c>
      <c r="D115" s="215" t="s">
        <v>511</v>
      </c>
      <c r="E115" s="199"/>
      <c r="F115" s="216"/>
      <c r="G115" s="216"/>
      <c r="H115" s="199"/>
      <c r="I115" s="216"/>
      <c r="J115" s="216"/>
      <c r="K115" s="217"/>
    </row>
    <row r="116" spans="2:11">
      <c r="B116" s="213">
        <v>29</v>
      </c>
      <c r="C116" s="214" t="s">
        <v>365</v>
      </c>
      <c r="D116" s="215" t="s">
        <v>500</v>
      </c>
      <c r="E116" s="199"/>
      <c r="F116" s="216"/>
      <c r="G116" s="216"/>
      <c r="H116" s="199"/>
      <c r="I116" s="216"/>
      <c r="J116" s="216"/>
      <c r="K116" s="217"/>
    </row>
    <row r="117" spans="2:11">
      <c r="B117" s="213">
        <v>39</v>
      </c>
      <c r="C117" s="214" t="s">
        <v>375</v>
      </c>
      <c r="D117" s="215" t="s">
        <v>483</v>
      </c>
      <c r="E117" s="199"/>
      <c r="F117" s="216"/>
      <c r="G117" s="216"/>
      <c r="H117" s="199"/>
      <c r="I117" s="216"/>
      <c r="J117" s="216"/>
      <c r="K117" s="217"/>
    </row>
    <row r="118" spans="2:11">
      <c r="B118" s="213">
        <v>40</v>
      </c>
      <c r="C118" s="214" t="s">
        <v>376</v>
      </c>
      <c r="D118" s="215" t="s">
        <v>492</v>
      </c>
      <c r="E118" s="199"/>
      <c r="F118" s="216"/>
      <c r="G118" s="216"/>
      <c r="H118" s="199"/>
      <c r="I118" s="216"/>
      <c r="J118" s="216"/>
      <c r="K118" s="217"/>
    </row>
    <row r="119" spans="2:11">
      <c r="B119" s="213">
        <v>119</v>
      </c>
      <c r="C119" s="214" t="s">
        <v>38</v>
      </c>
      <c r="D119" s="215" t="s">
        <v>506</v>
      </c>
      <c r="E119" s="199"/>
      <c r="F119" s="216"/>
      <c r="G119" s="216"/>
      <c r="H119" s="199"/>
      <c r="I119" s="216"/>
      <c r="J119" s="216"/>
      <c r="K119" s="217"/>
    </row>
    <row r="120" spans="2:11">
      <c r="B120" s="213">
        <v>120</v>
      </c>
      <c r="C120" s="214" t="s">
        <v>39</v>
      </c>
      <c r="D120" s="215" t="s">
        <v>496</v>
      </c>
      <c r="E120" s="199"/>
      <c r="F120" s="216"/>
      <c r="G120" s="216"/>
      <c r="H120" s="199"/>
      <c r="I120" s="216"/>
      <c r="J120" s="216"/>
      <c r="K120" s="217"/>
    </row>
    <row r="121" spans="2:11">
      <c r="B121" s="42">
        <v>267</v>
      </c>
      <c r="C121" s="21" t="s">
        <v>186</v>
      </c>
      <c r="D121" s="327" t="s">
        <v>485</v>
      </c>
      <c r="E121" s="323" t="s">
        <v>875</v>
      </c>
      <c r="F121" s="5"/>
      <c r="G121" s="387" t="s">
        <v>978</v>
      </c>
      <c r="H121" s="5"/>
      <c r="I121" s="5"/>
      <c r="J121" s="5"/>
      <c r="K121" s="14"/>
    </row>
    <row r="122" spans="2:11">
      <c r="B122" s="42">
        <v>268</v>
      </c>
      <c r="C122" s="21" t="s">
        <v>187</v>
      </c>
      <c r="D122" s="327" t="s">
        <v>494</v>
      </c>
      <c r="E122" s="323" t="s">
        <v>875</v>
      </c>
      <c r="F122" s="5"/>
      <c r="G122" s="387" t="s">
        <v>979</v>
      </c>
      <c r="H122" s="5"/>
      <c r="I122" s="5"/>
      <c r="J122" s="5"/>
      <c r="K122" s="14"/>
    </row>
    <row r="123" spans="2:11">
      <c r="B123" s="42">
        <v>258</v>
      </c>
      <c r="C123" s="21" t="s">
        <v>177</v>
      </c>
      <c r="D123" s="22" t="s">
        <v>493</v>
      </c>
      <c r="E123" s="5"/>
      <c r="F123" s="5"/>
      <c r="G123" s="5"/>
      <c r="H123" s="5"/>
      <c r="I123" s="5"/>
      <c r="J123" s="5"/>
      <c r="K123" s="14"/>
    </row>
    <row r="124" spans="2:11">
      <c r="B124" s="42">
        <v>257</v>
      </c>
      <c r="C124" s="21" t="s">
        <v>176</v>
      </c>
      <c r="D124" s="327" t="s">
        <v>484</v>
      </c>
      <c r="E124" s="323" t="s">
        <v>875</v>
      </c>
      <c r="F124" s="323"/>
      <c r="G124" s="388" t="s">
        <v>87</v>
      </c>
      <c r="H124" s="5"/>
      <c r="I124" s="5"/>
      <c r="J124" s="5"/>
      <c r="K124" s="14"/>
    </row>
    <row r="125" spans="2:11">
      <c r="B125" s="42">
        <v>260</v>
      </c>
      <c r="C125" s="21" t="s">
        <v>179</v>
      </c>
      <c r="D125" s="22" t="s">
        <v>516</v>
      </c>
      <c r="E125" s="5"/>
      <c r="F125" s="5"/>
      <c r="G125" s="5"/>
      <c r="H125" s="5"/>
      <c r="I125" s="5"/>
      <c r="J125" s="5"/>
      <c r="K125" s="14"/>
    </row>
    <row r="126" spans="2:11">
      <c r="B126" s="42">
        <v>259</v>
      </c>
      <c r="C126" s="21" t="s">
        <v>178</v>
      </c>
      <c r="D126" s="327" t="s">
        <v>504</v>
      </c>
      <c r="E126" s="323" t="s">
        <v>875</v>
      </c>
      <c r="F126" s="323"/>
      <c r="G126" s="388" t="s">
        <v>97</v>
      </c>
      <c r="H126" s="5"/>
      <c r="I126" s="5"/>
      <c r="J126" s="5"/>
      <c r="K126" s="14"/>
    </row>
    <row r="127" spans="2:11">
      <c r="B127" s="42">
        <v>206</v>
      </c>
      <c r="C127" s="21" t="s">
        <v>125</v>
      </c>
      <c r="D127" s="22" t="s">
        <v>475</v>
      </c>
      <c r="E127" s="5"/>
      <c r="F127" s="5"/>
      <c r="G127" s="5"/>
      <c r="H127" s="5"/>
      <c r="I127" s="5"/>
      <c r="J127" s="5"/>
      <c r="K127" s="14"/>
    </row>
    <row r="128" spans="2:11">
      <c r="B128" s="42">
        <v>216</v>
      </c>
      <c r="C128" s="21" t="s">
        <v>135</v>
      </c>
      <c r="D128" s="22" t="s">
        <v>475</v>
      </c>
      <c r="E128" s="5"/>
      <c r="F128" s="5"/>
      <c r="G128" s="5"/>
      <c r="H128" s="5"/>
      <c r="I128" s="5"/>
      <c r="J128" s="5"/>
      <c r="K128" s="14"/>
    </row>
    <row r="129" spans="2:11">
      <c r="B129" s="42">
        <v>226</v>
      </c>
      <c r="C129" s="21" t="s">
        <v>145</v>
      </c>
      <c r="D129" s="22" t="s">
        <v>475</v>
      </c>
      <c r="E129" s="5"/>
      <c r="F129" s="5"/>
      <c r="G129" s="5"/>
      <c r="H129" s="5"/>
      <c r="I129" s="5"/>
      <c r="J129" s="5"/>
      <c r="K129" s="14"/>
    </row>
    <row r="130" spans="2:11">
      <c r="B130" s="42">
        <v>236</v>
      </c>
      <c r="C130" s="21" t="s">
        <v>155</v>
      </c>
      <c r="D130" s="22" t="s">
        <v>475</v>
      </c>
      <c r="E130" s="5"/>
      <c r="F130" s="5"/>
      <c r="G130" s="5"/>
      <c r="H130" s="5"/>
      <c r="I130" s="5"/>
      <c r="J130" s="5"/>
      <c r="K130" s="14"/>
    </row>
    <row r="131" spans="2:11">
      <c r="B131" s="42">
        <v>246</v>
      </c>
      <c r="C131" s="21" t="s">
        <v>165</v>
      </c>
      <c r="D131" s="22" t="s">
        <v>475</v>
      </c>
      <c r="E131" s="5"/>
      <c r="F131" s="5"/>
      <c r="G131" s="5"/>
      <c r="H131" s="5"/>
      <c r="I131" s="5"/>
      <c r="J131" s="5"/>
      <c r="K131" s="14"/>
    </row>
    <row r="132" spans="2:11">
      <c r="B132" s="42">
        <v>256</v>
      </c>
      <c r="C132" s="21" t="s">
        <v>175</v>
      </c>
      <c r="D132" s="22" t="s">
        <v>475</v>
      </c>
      <c r="E132" s="5"/>
      <c r="F132" s="5"/>
      <c r="G132" s="5"/>
      <c r="H132" s="5"/>
      <c r="I132" s="5"/>
      <c r="J132" s="5"/>
      <c r="K132" s="14"/>
    </row>
    <row r="133" spans="2:11">
      <c r="B133" s="42">
        <v>237</v>
      </c>
      <c r="C133" s="21" t="s">
        <v>156</v>
      </c>
      <c r="D133" s="22" t="s">
        <v>475</v>
      </c>
      <c r="E133" s="5"/>
      <c r="F133" s="5"/>
      <c r="G133" s="5"/>
      <c r="H133" s="5"/>
      <c r="I133" s="5"/>
      <c r="J133" s="5"/>
      <c r="K133" s="14"/>
    </row>
    <row r="134" spans="2:11">
      <c r="B134" s="42">
        <v>247</v>
      </c>
      <c r="C134" s="21" t="s">
        <v>166</v>
      </c>
      <c r="D134" s="22" t="s">
        <v>475</v>
      </c>
      <c r="E134" s="5"/>
      <c r="F134" s="5"/>
      <c r="G134" s="5"/>
      <c r="H134" s="5"/>
      <c r="I134" s="5"/>
      <c r="J134" s="5"/>
      <c r="K134" s="14"/>
    </row>
    <row r="135" spans="2:11">
      <c r="B135" s="42">
        <v>238</v>
      </c>
      <c r="C135" s="21" t="s">
        <v>157</v>
      </c>
      <c r="D135" s="22" t="s">
        <v>475</v>
      </c>
      <c r="E135" s="5"/>
      <c r="F135" s="5"/>
      <c r="G135" s="5"/>
      <c r="H135" s="5"/>
      <c r="I135" s="5"/>
      <c r="J135" s="5"/>
      <c r="K135" s="14"/>
    </row>
    <row r="136" spans="2:11">
      <c r="B136" s="42">
        <v>248</v>
      </c>
      <c r="C136" s="21" t="s">
        <v>167</v>
      </c>
      <c r="D136" s="22" t="s">
        <v>475</v>
      </c>
      <c r="E136" s="5"/>
      <c r="F136" s="5"/>
      <c r="G136" s="5"/>
      <c r="H136" s="5"/>
      <c r="I136" s="5"/>
      <c r="J136" s="5"/>
      <c r="K136" s="14"/>
    </row>
    <row r="137" spans="2:11">
      <c r="B137" s="42">
        <v>239</v>
      </c>
      <c r="C137" s="21" t="s">
        <v>158</v>
      </c>
      <c r="D137" s="22" t="s">
        <v>475</v>
      </c>
      <c r="E137" s="5"/>
      <c r="F137" s="5"/>
      <c r="G137" s="5"/>
      <c r="H137" s="5"/>
      <c r="I137" s="5"/>
      <c r="J137" s="5"/>
      <c r="K137" s="14"/>
    </row>
    <row r="138" spans="2:11">
      <c r="B138" s="42">
        <v>240</v>
      </c>
      <c r="C138" s="21" t="s">
        <v>159</v>
      </c>
      <c r="D138" s="22" t="s">
        <v>514</v>
      </c>
      <c r="E138" s="5"/>
      <c r="F138" s="5"/>
      <c r="G138" s="5"/>
      <c r="H138" s="5"/>
      <c r="I138" s="5"/>
      <c r="J138" s="5"/>
      <c r="K138" s="14"/>
    </row>
    <row r="139" spans="2:11">
      <c r="B139" s="42">
        <v>250</v>
      </c>
      <c r="C139" s="21" t="s">
        <v>169</v>
      </c>
      <c r="D139" s="22" t="s">
        <v>515</v>
      </c>
      <c r="E139" s="5"/>
      <c r="F139" s="5"/>
      <c r="G139" s="5"/>
      <c r="H139" s="5"/>
      <c r="I139" s="5"/>
      <c r="J139" s="5"/>
      <c r="K139" s="14"/>
    </row>
    <row r="140" spans="2:11">
      <c r="B140" s="42">
        <v>249</v>
      </c>
      <c r="C140" s="21" t="s">
        <v>168</v>
      </c>
      <c r="D140" s="22" t="s">
        <v>503</v>
      </c>
      <c r="E140" s="5"/>
      <c r="F140" s="5"/>
      <c r="G140" s="5"/>
      <c r="H140" s="5"/>
      <c r="I140" s="5"/>
      <c r="J140" s="5"/>
      <c r="K140" s="14"/>
    </row>
    <row r="141" spans="2:11">
      <c r="B141" s="42">
        <v>266</v>
      </c>
      <c r="C141" s="21" t="s">
        <v>185</v>
      </c>
      <c r="D141" s="22" t="s">
        <v>476</v>
      </c>
      <c r="E141" s="5"/>
      <c r="F141" s="5"/>
      <c r="G141" s="5"/>
      <c r="H141" s="5"/>
      <c r="I141" s="5"/>
      <c r="J141" s="5"/>
      <c r="K141" s="14"/>
    </row>
    <row r="142" spans="2:11">
      <c r="B142" s="42">
        <v>276</v>
      </c>
      <c r="C142" s="21" t="s">
        <v>195</v>
      </c>
      <c r="D142" s="22" t="s">
        <v>476</v>
      </c>
      <c r="E142" s="5"/>
      <c r="F142" s="5"/>
      <c r="G142" s="5"/>
      <c r="H142" s="5"/>
      <c r="I142" s="5"/>
      <c r="J142" s="5"/>
      <c r="K142" s="14"/>
    </row>
    <row r="143" spans="2:11">
      <c r="B143" s="42">
        <v>286</v>
      </c>
      <c r="C143" s="21" t="s">
        <v>205</v>
      </c>
      <c r="D143" s="22" t="s">
        <v>476</v>
      </c>
      <c r="E143" s="5"/>
      <c r="F143" s="5"/>
      <c r="G143" s="5"/>
      <c r="H143" s="5"/>
      <c r="I143" s="5"/>
      <c r="J143" s="5"/>
      <c r="K143" s="14"/>
    </row>
    <row r="144" spans="2:11">
      <c r="B144" s="42">
        <v>296</v>
      </c>
      <c r="C144" s="21" t="s">
        <v>215</v>
      </c>
      <c r="D144" s="22" t="s">
        <v>476</v>
      </c>
      <c r="E144" s="5"/>
      <c r="F144" s="5"/>
      <c r="G144" s="5"/>
      <c r="H144" s="5"/>
      <c r="I144" s="5"/>
      <c r="J144" s="5"/>
      <c r="K144" s="14"/>
    </row>
    <row r="145" spans="2:11">
      <c r="B145" s="42">
        <v>306</v>
      </c>
      <c r="C145" s="21" t="s">
        <v>225</v>
      </c>
      <c r="D145" s="22" t="s">
        <v>476</v>
      </c>
      <c r="E145" s="5"/>
      <c r="F145" s="5"/>
      <c r="G145" s="5"/>
      <c r="H145" s="5"/>
      <c r="I145" s="5"/>
      <c r="J145" s="5"/>
      <c r="K145" s="14"/>
    </row>
    <row r="146" spans="2:11">
      <c r="B146" s="42">
        <v>316</v>
      </c>
      <c r="C146" s="21" t="s">
        <v>235</v>
      </c>
      <c r="D146" s="22" t="s">
        <v>476</v>
      </c>
      <c r="E146" s="5"/>
      <c r="F146" s="5"/>
      <c r="G146" s="5"/>
      <c r="H146" s="5"/>
      <c r="I146" s="5"/>
      <c r="J146" s="5"/>
      <c r="K146" s="14"/>
    </row>
    <row r="147" spans="2:11">
      <c r="B147" s="42">
        <v>326</v>
      </c>
      <c r="C147" s="21" t="s">
        <v>245</v>
      </c>
      <c r="D147" s="22" t="s">
        <v>476</v>
      </c>
      <c r="E147" s="5"/>
      <c r="F147" s="5"/>
      <c r="G147" s="5"/>
      <c r="H147" s="5"/>
      <c r="I147" s="5"/>
      <c r="J147" s="5"/>
      <c r="K147" s="14"/>
    </row>
    <row r="148" spans="2:11">
      <c r="B148" s="42">
        <v>328</v>
      </c>
      <c r="C148" s="21" t="s">
        <v>247</v>
      </c>
      <c r="D148" s="22" t="s">
        <v>476</v>
      </c>
      <c r="E148" s="5"/>
      <c r="F148" s="5"/>
      <c r="G148" s="5"/>
      <c r="H148" s="5"/>
      <c r="I148" s="5"/>
      <c r="J148" s="5"/>
      <c r="K148" s="14"/>
    </row>
    <row r="149" spans="2:11">
      <c r="B149" s="42">
        <v>329</v>
      </c>
      <c r="C149" s="21" t="s">
        <v>248</v>
      </c>
      <c r="D149" s="22" t="s">
        <v>476</v>
      </c>
      <c r="E149" s="5"/>
      <c r="F149" s="5"/>
      <c r="G149" s="5"/>
      <c r="H149" s="5"/>
      <c r="I149" s="5"/>
      <c r="J149" s="5"/>
      <c r="K149" s="14"/>
    </row>
    <row r="150" spans="2:11">
      <c r="B150" s="42">
        <v>330</v>
      </c>
      <c r="C150" s="21" t="s">
        <v>249</v>
      </c>
      <c r="D150" s="22" t="s">
        <v>476</v>
      </c>
      <c r="E150" s="5"/>
      <c r="F150" s="5"/>
      <c r="G150" s="5"/>
      <c r="H150" s="5"/>
      <c r="I150" s="5"/>
      <c r="J150" s="5"/>
      <c r="K150" s="14"/>
    </row>
    <row r="151" spans="2:11">
      <c r="B151" s="42">
        <v>219</v>
      </c>
      <c r="C151" s="21" t="s">
        <v>138</v>
      </c>
      <c r="D151" s="22" t="s">
        <v>501</v>
      </c>
      <c r="E151" s="5"/>
      <c r="F151" s="5"/>
      <c r="G151" s="5"/>
      <c r="H151" s="5"/>
      <c r="I151" s="5"/>
      <c r="J151" s="5"/>
      <c r="K151" s="14"/>
    </row>
    <row r="152" spans="2:11">
      <c r="B152" s="42">
        <v>220</v>
      </c>
      <c r="C152" s="21" t="s">
        <v>139</v>
      </c>
      <c r="D152" s="327" t="s">
        <v>512</v>
      </c>
      <c r="E152" s="323" t="s">
        <v>875</v>
      </c>
      <c r="F152" s="5"/>
      <c r="G152" s="387" t="s">
        <v>27</v>
      </c>
      <c r="H152" s="5"/>
      <c r="I152" s="5"/>
      <c r="J152" s="5"/>
      <c r="K152" s="14"/>
    </row>
    <row r="153" spans="2:11">
      <c r="B153" s="42">
        <v>229</v>
      </c>
      <c r="C153" s="21" t="s">
        <v>148</v>
      </c>
      <c r="D153" s="327" t="s">
        <v>502</v>
      </c>
      <c r="E153" s="323" t="s">
        <v>875</v>
      </c>
      <c r="F153" s="13"/>
      <c r="G153" s="387" t="s">
        <v>1037</v>
      </c>
      <c r="H153" s="5"/>
      <c r="I153" s="5"/>
      <c r="J153" s="5"/>
      <c r="K153" s="14"/>
    </row>
    <row r="154" spans="2:11">
      <c r="B154" s="42">
        <v>230</v>
      </c>
      <c r="C154" s="21" t="s">
        <v>149</v>
      </c>
      <c r="D154" s="327" t="s">
        <v>513</v>
      </c>
      <c r="E154" s="323" t="s">
        <v>875</v>
      </c>
      <c r="F154" s="13"/>
      <c r="G154" s="388" t="s">
        <v>1038</v>
      </c>
      <c r="H154" s="5"/>
      <c r="I154" s="5"/>
      <c r="J154" s="5"/>
      <c r="K154" s="14"/>
    </row>
    <row r="155" spans="2:11">
      <c r="B155" s="42">
        <v>269</v>
      </c>
      <c r="C155" s="21" t="s">
        <v>188</v>
      </c>
      <c r="D155" s="327" t="s">
        <v>517</v>
      </c>
      <c r="E155" s="323" t="s">
        <v>875</v>
      </c>
      <c r="F155" s="5"/>
      <c r="G155" s="320" t="s">
        <v>317</v>
      </c>
      <c r="H155" s="5"/>
      <c r="I155" s="5"/>
      <c r="J155" s="5"/>
      <c r="K155" s="14"/>
    </row>
    <row r="156" spans="2:11">
      <c r="B156" s="42">
        <v>270</v>
      </c>
      <c r="C156" s="21" t="s">
        <v>189</v>
      </c>
      <c r="D156" s="327" t="s">
        <v>505</v>
      </c>
      <c r="E156" s="323" t="s">
        <v>875</v>
      </c>
      <c r="F156" s="5"/>
      <c r="G156" s="387" t="s">
        <v>974</v>
      </c>
      <c r="H156" s="5"/>
      <c r="I156" s="5"/>
      <c r="J156" s="5"/>
      <c r="K156" s="14"/>
    </row>
    <row r="157" spans="2:11">
      <c r="B157" s="197">
        <v>400</v>
      </c>
      <c r="C157" s="198" t="s">
        <v>319</v>
      </c>
      <c r="D157" s="292" t="s">
        <v>709</v>
      </c>
      <c r="E157" s="199"/>
      <c r="F157" s="199"/>
      <c r="G157" s="199"/>
      <c r="H157" s="199"/>
      <c r="I157" s="199"/>
      <c r="J157" s="199"/>
      <c r="K157" s="200"/>
    </row>
    <row r="158" spans="2:11">
      <c r="B158" s="197">
        <v>399</v>
      </c>
      <c r="C158" s="198" t="s">
        <v>318</v>
      </c>
      <c r="D158" s="292" t="s">
        <v>687</v>
      </c>
      <c r="E158" s="199"/>
      <c r="F158" s="199"/>
      <c r="G158" s="199"/>
      <c r="H158" s="199"/>
      <c r="I158" s="199"/>
      <c r="J158" s="199"/>
      <c r="K158" s="200"/>
    </row>
    <row r="159" spans="2:11">
      <c r="B159" s="197">
        <v>398</v>
      </c>
      <c r="C159" s="198" t="s">
        <v>317</v>
      </c>
      <c r="D159" s="292" t="s">
        <v>665</v>
      </c>
      <c r="E159" s="199"/>
      <c r="F159" s="199"/>
      <c r="G159" s="199"/>
      <c r="H159" s="199"/>
      <c r="I159" s="199"/>
      <c r="J159" s="199"/>
      <c r="K159" s="200"/>
    </row>
    <row r="160" spans="2:11">
      <c r="B160" s="197">
        <v>397</v>
      </c>
      <c r="C160" s="198" t="s">
        <v>316</v>
      </c>
      <c r="D160" s="292" t="s">
        <v>642</v>
      </c>
      <c r="E160" s="199"/>
      <c r="F160" s="199"/>
      <c r="G160" s="199"/>
      <c r="H160" s="199"/>
      <c r="I160" s="199"/>
      <c r="J160" s="199"/>
      <c r="K160" s="200"/>
    </row>
    <row r="161" spans="2:11">
      <c r="B161" s="197">
        <v>366</v>
      </c>
      <c r="C161" s="198" t="s">
        <v>285</v>
      </c>
      <c r="D161" s="292" t="s">
        <v>618</v>
      </c>
      <c r="E161" s="199"/>
      <c r="F161" s="199"/>
      <c r="G161" s="199"/>
      <c r="H161" s="199"/>
      <c r="I161" s="199"/>
      <c r="J161" s="199"/>
      <c r="K161" s="200"/>
    </row>
    <row r="162" spans="2:11">
      <c r="B162" s="197">
        <v>376</v>
      </c>
      <c r="C162" s="198" t="s">
        <v>295</v>
      </c>
      <c r="D162" s="292" t="s">
        <v>619</v>
      </c>
      <c r="E162" s="199"/>
      <c r="F162" s="199"/>
      <c r="G162" s="199"/>
      <c r="H162" s="199"/>
      <c r="I162" s="199"/>
      <c r="J162" s="199"/>
      <c r="K162" s="200"/>
    </row>
    <row r="163" spans="2:11">
      <c r="B163" s="197">
        <v>390</v>
      </c>
      <c r="C163" s="198" t="s">
        <v>309</v>
      </c>
      <c r="D163" s="292" t="s">
        <v>708</v>
      </c>
      <c r="E163" s="199"/>
      <c r="F163" s="199"/>
      <c r="G163" s="199"/>
      <c r="H163" s="199"/>
      <c r="I163" s="199"/>
      <c r="J163" s="199"/>
      <c r="K163" s="200"/>
    </row>
    <row r="164" spans="2:11">
      <c r="B164" s="197">
        <v>389</v>
      </c>
      <c r="C164" s="198" t="s">
        <v>308</v>
      </c>
      <c r="D164" s="292" t="s">
        <v>686</v>
      </c>
      <c r="E164" s="199"/>
      <c r="F164" s="199"/>
      <c r="G164" s="199"/>
      <c r="H164" s="199"/>
      <c r="I164" s="199"/>
      <c r="J164" s="199"/>
      <c r="K164" s="200"/>
    </row>
    <row r="165" spans="2:11">
      <c r="B165" s="197">
        <v>370</v>
      </c>
      <c r="C165" s="198" t="s">
        <v>289</v>
      </c>
      <c r="D165" s="292" t="s">
        <v>706</v>
      </c>
      <c r="E165" s="199"/>
      <c r="F165" s="199"/>
      <c r="G165" s="199"/>
      <c r="H165" s="199"/>
      <c r="I165" s="199"/>
      <c r="J165" s="199"/>
      <c r="K165" s="200"/>
    </row>
    <row r="166" spans="2:11">
      <c r="B166" s="197">
        <v>369</v>
      </c>
      <c r="C166" s="198" t="s">
        <v>288</v>
      </c>
      <c r="D166" s="292" t="s">
        <v>684</v>
      </c>
      <c r="E166" s="199"/>
      <c r="F166" s="199"/>
      <c r="G166" s="199"/>
      <c r="H166" s="199"/>
      <c r="I166" s="199"/>
      <c r="J166" s="199"/>
      <c r="K166" s="200"/>
    </row>
    <row r="167" spans="2:11">
      <c r="B167" s="197">
        <v>377</v>
      </c>
      <c r="C167" s="198" t="s">
        <v>296</v>
      </c>
      <c r="D167" s="292" t="s">
        <v>641</v>
      </c>
      <c r="E167" s="199"/>
      <c r="F167" s="199"/>
      <c r="G167" s="199"/>
      <c r="H167" s="199"/>
      <c r="I167" s="199"/>
      <c r="J167" s="199"/>
      <c r="K167" s="200"/>
    </row>
    <row r="168" spans="2:11">
      <c r="B168" s="197">
        <v>378</v>
      </c>
      <c r="C168" s="198" t="s">
        <v>297</v>
      </c>
      <c r="D168" s="292" t="s">
        <v>664</v>
      </c>
      <c r="E168" s="199"/>
      <c r="F168" s="199"/>
      <c r="G168" s="199"/>
      <c r="H168" s="199"/>
      <c r="I168" s="199"/>
      <c r="J168" s="199"/>
      <c r="K168" s="200"/>
    </row>
    <row r="169" spans="2:11">
      <c r="B169" s="197">
        <v>367</v>
      </c>
      <c r="C169" s="198" t="s">
        <v>286</v>
      </c>
      <c r="D169" s="292" t="s">
        <v>640</v>
      </c>
      <c r="E169" s="199"/>
      <c r="F169" s="199"/>
      <c r="G169" s="199"/>
      <c r="H169" s="199"/>
      <c r="I169" s="199"/>
      <c r="J169" s="199"/>
      <c r="K169" s="200"/>
    </row>
    <row r="170" spans="2:11">
      <c r="B170" s="197">
        <v>368</v>
      </c>
      <c r="C170" s="198" t="s">
        <v>287</v>
      </c>
      <c r="D170" s="292" t="s">
        <v>663</v>
      </c>
      <c r="E170" s="199"/>
      <c r="F170" s="199"/>
      <c r="G170" s="199"/>
      <c r="H170" s="199"/>
      <c r="I170" s="199"/>
      <c r="J170" s="199"/>
      <c r="K170" s="200"/>
    </row>
    <row r="171" spans="2:11">
      <c r="B171" s="197">
        <v>380</v>
      </c>
      <c r="C171" s="198" t="s">
        <v>299</v>
      </c>
      <c r="D171" s="292" t="s">
        <v>707</v>
      </c>
      <c r="E171" s="199"/>
      <c r="F171" s="199"/>
      <c r="G171" s="199"/>
      <c r="H171" s="199"/>
      <c r="I171" s="199"/>
      <c r="J171" s="199"/>
      <c r="K171" s="200"/>
    </row>
    <row r="172" spans="2:11">
      <c r="B172" s="197">
        <v>379</v>
      </c>
      <c r="C172" s="198" t="s">
        <v>298</v>
      </c>
      <c r="D172" s="292" t="s">
        <v>685</v>
      </c>
      <c r="E172" s="199"/>
      <c r="F172" s="199"/>
      <c r="G172" s="199"/>
      <c r="H172" s="199"/>
      <c r="I172" s="199"/>
      <c r="J172" s="199"/>
      <c r="K172" s="200"/>
    </row>
    <row r="173" spans="2:11">
      <c r="B173" s="197">
        <v>394</v>
      </c>
      <c r="C173" s="198" t="s">
        <v>313</v>
      </c>
      <c r="D173" s="292" t="s">
        <v>599</v>
      </c>
      <c r="E173" s="199"/>
      <c r="F173" s="199"/>
      <c r="G173" s="199"/>
      <c r="H173" s="199"/>
      <c r="I173" s="199"/>
      <c r="J173" s="199"/>
      <c r="K173" s="200"/>
    </row>
    <row r="174" spans="2:11">
      <c r="B174" s="197">
        <v>384</v>
      </c>
      <c r="C174" s="198" t="s">
        <v>303</v>
      </c>
      <c r="D174" s="292" t="s">
        <v>598</v>
      </c>
      <c r="E174" s="199"/>
      <c r="F174" s="199"/>
      <c r="G174" s="199"/>
      <c r="H174" s="199"/>
      <c r="I174" s="199"/>
      <c r="J174" s="199"/>
      <c r="K174" s="200"/>
    </row>
    <row r="175" spans="2:11">
      <c r="B175" s="197">
        <v>374</v>
      </c>
      <c r="C175" s="198" t="s">
        <v>293</v>
      </c>
      <c r="D175" s="292" t="s">
        <v>597</v>
      </c>
      <c r="E175" s="199"/>
      <c r="F175" s="199"/>
      <c r="G175" s="199"/>
      <c r="H175" s="199"/>
      <c r="I175" s="199"/>
      <c r="J175" s="199"/>
      <c r="K175" s="200"/>
    </row>
    <row r="176" spans="2:11">
      <c r="B176" s="197">
        <v>364</v>
      </c>
      <c r="C176" s="198" t="s">
        <v>283</v>
      </c>
      <c r="D176" s="292" t="s">
        <v>596</v>
      </c>
      <c r="E176" s="199"/>
      <c r="F176" s="199"/>
      <c r="G176" s="199"/>
      <c r="H176" s="199"/>
      <c r="I176" s="199"/>
      <c r="J176" s="199"/>
      <c r="K176" s="200"/>
    </row>
    <row r="177" spans="2:11">
      <c r="B177" s="197">
        <v>375</v>
      </c>
      <c r="C177" s="198" t="s">
        <v>294</v>
      </c>
      <c r="D177" s="292" t="s">
        <v>609</v>
      </c>
      <c r="E177" s="199"/>
      <c r="F177" s="199"/>
      <c r="G177" s="199"/>
      <c r="H177" s="199"/>
      <c r="I177" s="199"/>
      <c r="J177" s="199"/>
      <c r="K177" s="200"/>
    </row>
    <row r="178" spans="2:11">
      <c r="B178" s="197">
        <v>365</v>
      </c>
      <c r="C178" s="198" t="s">
        <v>284</v>
      </c>
      <c r="D178" s="292" t="s">
        <v>608</v>
      </c>
      <c r="E178" s="199"/>
      <c r="F178" s="199"/>
      <c r="G178" s="199"/>
      <c r="H178" s="199"/>
      <c r="I178" s="199"/>
      <c r="J178" s="199"/>
      <c r="K178" s="200"/>
    </row>
    <row r="179" spans="2:11">
      <c r="B179" s="197">
        <v>373</v>
      </c>
      <c r="C179" s="198" t="s">
        <v>292</v>
      </c>
      <c r="D179" s="292" t="s">
        <v>576</v>
      </c>
      <c r="E179" s="199"/>
      <c r="F179" s="199"/>
      <c r="G179" s="199"/>
      <c r="H179" s="199"/>
      <c r="I179" s="199"/>
      <c r="J179" s="199"/>
      <c r="K179" s="200"/>
    </row>
    <row r="180" spans="2:11">
      <c r="B180" s="197">
        <v>363</v>
      </c>
      <c r="C180" s="198" t="s">
        <v>282</v>
      </c>
      <c r="D180" s="292" t="s">
        <v>575</v>
      </c>
      <c r="E180" s="199"/>
      <c r="F180" s="199"/>
      <c r="G180" s="199"/>
      <c r="H180" s="199"/>
      <c r="I180" s="199"/>
      <c r="J180" s="199"/>
      <c r="K180" s="200"/>
    </row>
    <row r="181" spans="2:11">
      <c r="B181" s="197">
        <v>391</v>
      </c>
      <c r="C181" s="198" t="s">
        <v>310</v>
      </c>
      <c r="D181" s="292" t="s">
        <v>533</v>
      </c>
      <c r="E181" s="199"/>
      <c r="F181" s="199"/>
      <c r="G181" s="199"/>
      <c r="H181" s="199"/>
      <c r="I181" s="199"/>
      <c r="J181" s="199"/>
      <c r="K181" s="200"/>
    </row>
    <row r="182" spans="2:11">
      <c r="B182" s="197">
        <v>381</v>
      </c>
      <c r="C182" s="198" t="s">
        <v>300</v>
      </c>
      <c r="D182" s="292" t="s">
        <v>532</v>
      </c>
      <c r="E182" s="199"/>
      <c r="F182" s="199"/>
      <c r="G182" s="199"/>
      <c r="H182" s="199"/>
      <c r="I182" s="199"/>
      <c r="J182" s="199"/>
      <c r="K182" s="200"/>
    </row>
    <row r="183" spans="2:11">
      <c r="B183" s="197">
        <v>371</v>
      </c>
      <c r="C183" s="198" t="s">
        <v>290</v>
      </c>
      <c r="D183" s="292" t="s">
        <v>531</v>
      </c>
      <c r="E183" s="199"/>
      <c r="F183" s="199"/>
      <c r="G183" s="199"/>
      <c r="H183" s="199"/>
      <c r="I183" s="199"/>
      <c r="J183" s="199"/>
      <c r="K183" s="200"/>
    </row>
    <row r="184" spans="2:11">
      <c r="B184" s="197">
        <v>361</v>
      </c>
      <c r="C184" s="198" t="s">
        <v>280</v>
      </c>
      <c r="D184" s="292" t="s">
        <v>530</v>
      </c>
      <c r="E184" s="199"/>
      <c r="F184" s="199"/>
      <c r="G184" s="199"/>
      <c r="H184" s="199"/>
      <c r="I184" s="199"/>
      <c r="J184" s="199"/>
      <c r="K184" s="200"/>
    </row>
    <row r="185" spans="2:11">
      <c r="B185" s="197">
        <v>372</v>
      </c>
      <c r="C185" s="198" t="s">
        <v>291</v>
      </c>
      <c r="D185" s="292" t="s">
        <v>551</v>
      </c>
      <c r="E185" s="199"/>
      <c r="F185" s="199"/>
      <c r="G185" s="199"/>
      <c r="H185" s="199"/>
      <c r="I185" s="199"/>
      <c r="J185" s="199"/>
      <c r="K185" s="200"/>
    </row>
    <row r="186" spans="2:11">
      <c r="B186" s="197">
        <v>362</v>
      </c>
      <c r="C186" s="198" t="s">
        <v>281</v>
      </c>
      <c r="D186" s="292" t="s">
        <v>550</v>
      </c>
      <c r="E186" s="199"/>
      <c r="F186" s="199"/>
      <c r="G186" s="199"/>
      <c r="H186" s="199"/>
      <c r="I186" s="199"/>
      <c r="J186" s="199"/>
      <c r="K186" s="200"/>
    </row>
    <row r="187" spans="2:11">
      <c r="B187" s="213">
        <v>354</v>
      </c>
      <c r="C187" s="214" t="s">
        <v>273</v>
      </c>
      <c r="D187" s="215" t="s">
        <v>595</v>
      </c>
      <c r="E187" s="199"/>
      <c r="F187" s="216"/>
      <c r="G187" s="216"/>
      <c r="H187" s="199"/>
      <c r="I187" s="216"/>
      <c r="J187" s="216"/>
      <c r="K187" s="217"/>
    </row>
    <row r="188" spans="2:11">
      <c r="B188" s="213">
        <v>353</v>
      </c>
      <c r="C188" s="214" t="s">
        <v>272</v>
      </c>
      <c r="D188" s="215" t="s">
        <v>574</v>
      </c>
      <c r="E188" s="199"/>
      <c r="F188" s="216"/>
      <c r="G188" s="216"/>
      <c r="H188" s="199"/>
      <c r="I188" s="216"/>
      <c r="J188" s="216"/>
      <c r="K188" s="217"/>
    </row>
    <row r="189" spans="2:11">
      <c r="B189" s="42">
        <v>93</v>
      </c>
      <c r="C189" s="258" t="s">
        <v>5</v>
      </c>
      <c r="D189" s="257" t="s">
        <v>558</v>
      </c>
      <c r="E189" s="324" t="s">
        <v>875</v>
      </c>
      <c r="F189" s="324"/>
      <c r="G189" s="389" t="s">
        <v>121</v>
      </c>
      <c r="H189" s="340" t="s">
        <v>900</v>
      </c>
      <c r="I189" s="13"/>
      <c r="J189" s="13"/>
      <c r="K189" s="20"/>
    </row>
    <row r="190" spans="2:11">
      <c r="B190" s="42">
        <v>94</v>
      </c>
      <c r="C190" s="258" t="s">
        <v>6</v>
      </c>
      <c r="D190" s="257" t="s">
        <v>583</v>
      </c>
      <c r="E190" s="324" t="s">
        <v>875</v>
      </c>
      <c r="F190" s="324"/>
      <c r="G190" s="389" t="s">
        <v>131</v>
      </c>
      <c r="H190" s="312" t="s">
        <v>900</v>
      </c>
      <c r="I190" s="13"/>
      <c r="J190" s="13"/>
      <c r="K190" s="20"/>
    </row>
    <row r="191" spans="2:11">
      <c r="B191" s="42">
        <v>103</v>
      </c>
      <c r="C191" s="258" t="s">
        <v>22</v>
      </c>
      <c r="D191" s="257" t="s">
        <v>559</v>
      </c>
      <c r="E191" s="324" t="s">
        <v>875</v>
      </c>
      <c r="F191" s="324"/>
      <c r="G191" s="389" t="s">
        <v>140</v>
      </c>
      <c r="H191" s="312" t="s">
        <v>900</v>
      </c>
      <c r="I191" s="13"/>
      <c r="J191" s="13"/>
      <c r="K191" s="20"/>
    </row>
    <row r="192" spans="2:11">
      <c r="B192" s="42">
        <v>104</v>
      </c>
      <c r="C192" s="258" t="s">
        <v>23</v>
      </c>
      <c r="D192" s="257" t="s">
        <v>584</v>
      </c>
      <c r="E192" s="324" t="s">
        <v>875</v>
      </c>
      <c r="F192" s="324"/>
      <c r="G192" s="389" t="s">
        <v>150</v>
      </c>
      <c r="H192" s="312" t="s">
        <v>900</v>
      </c>
      <c r="I192" s="13"/>
      <c r="J192" s="13"/>
      <c r="K192" s="20"/>
    </row>
    <row r="193" spans="2:11">
      <c r="B193" s="42">
        <v>101</v>
      </c>
      <c r="C193" s="258" t="s">
        <v>20</v>
      </c>
      <c r="D193" s="257" t="s">
        <v>522</v>
      </c>
      <c r="E193" s="324" t="s">
        <v>875</v>
      </c>
      <c r="F193" s="324"/>
      <c r="G193" s="389" t="s">
        <v>100</v>
      </c>
      <c r="H193" s="312" t="s">
        <v>900</v>
      </c>
      <c r="I193" s="13"/>
      <c r="J193" s="13"/>
      <c r="K193" s="20"/>
    </row>
    <row r="194" spans="2:11">
      <c r="B194" s="42">
        <v>102</v>
      </c>
      <c r="C194" s="258" t="s">
        <v>21</v>
      </c>
      <c r="D194" s="257" t="s">
        <v>538</v>
      </c>
      <c r="E194" s="324" t="s">
        <v>875</v>
      </c>
      <c r="F194" s="324"/>
      <c r="G194" s="389" t="s">
        <v>110</v>
      </c>
      <c r="H194" s="312" t="s">
        <v>900</v>
      </c>
      <c r="I194" s="13"/>
      <c r="J194" s="13"/>
      <c r="K194" s="20"/>
    </row>
    <row r="195" spans="2:11">
      <c r="B195" s="213">
        <v>95</v>
      </c>
      <c r="C195" s="214" t="s">
        <v>7</v>
      </c>
      <c r="D195" s="215" t="s">
        <v>602</v>
      </c>
      <c r="E195" s="359"/>
      <c r="F195" s="359"/>
      <c r="G195" s="359"/>
      <c r="H195" s="312"/>
      <c r="I195" s="216"/>
      <c r="J195" s="216"/>
      <c r="K195" s="217"/>
    </row>
    <row r="196" spans="2:11">
      <c r="B196" s="213">
        <v>96</v>
      </c>
      <c r="C196" s="214" t="s">
        <v>8</v>
      </c>
      <c r="D196" s="215" t="s">
        <v>616</v>
      </c>
      <c r="E196" s="359"/>
      <c r="F196" s="359"/>
      <c r="G196" s="359"/>
      <c r="H196" s="312"/>
      <c r="I196" s="216"/>
      <c r="J196" s="216"/>
      <c r="K196" s="217"/>
    </row>
    <row r="197" spans="2:11">
      <c r="B197" s="42">
        <v>86</v>
      </c>
      <c r="C197" s="258" t="s">
        <v>422</v>
      </c>
      <c r="D197" s="257" t="s">
        <v>615</v>
      </c>
      <c r="E197" s="324" t="s">
        <v>875</v>
      </c>
      <c r="F197" s="324"/>
      <c r="G197" s="389" t="s">
        <v>142</v>
      </c>
      <c r="H197" s="312" t="s">
        <v>900</v>
      </c>
      <c r="I197" s="13"/>
      <c r="J197" s="13"/>
      <c r="K197" s="20"/>
    </row>
    <row r="198" spans="2:11">
      <c r="B198" s="42">
        <v>85</v>
      </c>
      <c r="C198" s="258" t="s">
        <v>421</v>
      </c>
      <c r="D198" s="257" t="s">
        <v>601</v>
      </c>
      <c r="E198" s="324" t="s">
        <v>875</v>
      </c>
      <c r="F198" s="324"/>
      <c r="G198" s="389" t="s">
        <v>152</v>
      </c>
      <c r="H198" s="312" t="s">
        <v>900</v>
      </c>
      <c r="I198" s="13"/>
      <c r="J198" s="13"/>
      <c r="K198" s="20"/>
    </row>
    <row r="199" spans="2:11">
      <c r="B199" s="42">
        <v>76</v>
      </c>
      <c r="C199" s="258" t="s">
        <v>412</v>
      </c>
      <c r="D199" s="271" t="s">
        <v>614</v>
      </c>
      <c r="E199" s="324" t="s">
        <v>875</v>
      </c>
      <c r="F199" s="324"/>
      <c r="G199" s="389" t="s">
        <v>102</v>
      </c>
      <c r="H199" s="312" t="s">
        <v>900</v>
      </c>
      <c r="I199" s="13"/>
      <c r="J199" s="13"/>
      <c r="K199" s="20"/>
    </row>
    <row r="200" spans="2:11">
      <c r="B200" s="42">
        <v>75</v>
      </c>
      <c r="C200" s="258" t="s">
        <v>411</v>
      </c>
      <c r="D200" s="271" t="s">
        <v>600</v>
      </c>
      <c r="E200" s="324" t="s">
        <v>875</v>
      </c>
      <c r="F200" s="324"/>
      <c r="G200" s="389" t="s">
        <v>112</v>
      </c>
      <c r="H200" s="312" t="s">
        <v>900</v>
      </c>
      <c r="I200" s="13"/>
      <c r="J200" s="13"/>
      <c r="K200" s="20"/>
    </row>
    <row r="201" spans="2:11">
      <c r="B201" s="42">
        <v>74</v>
      </c>
      <c r="C201" s="258" t="s">
        <v>410</v>
      </c>
      <c r="D201" s="271" t="s">
        <v>581</v>
      </c>
      <c r="E201" s="324" t="s">
        <v>875</v>
      </c>
      <c r="F201" s="324"/>
      <c r="G201" s="389" t="s">
        <v>161</v>
      </c>
      <c r="H201" s="312" t="s">
        <v>900</v>
      </c>
      <c r="I201" s="13"/>
      <c r="J201" s="13"/>
      <c r="K201" s="20"/>
    </row>
    <row r="202" spans="2:11">
      <c r="B202" s="42">
        <v>73</v>
      </c>
      <c r="C202" s="258" t="s">
        <v>409</v>
      </c>
      <c r="D202" s="271" t="s">
        <v>556</v>
      </c>
      <c r="E202" s="324" t="s">
        <v>875</v>
      </c>
      <c r="F202" s="324"/>
      <c r="G202" s="389" t="s">
        <v>171</v>
      </c>
      <c r="H202" s="312" t="s">
        <v>900</v>
      </c>
      <c r="I202" s="13"/>
      <c r="J202" s="13"/>
      <c r="K202" s="20"/>
    </row>
    <row r="203" spans="2:11">
      <c r="B203" s="213">
        <v>83</v>
      </c>
      <c r="C203" s="214" t="s">
        <v>419</v>
      </c>
      <c r="D203" s="215" t="s">
        <v>557</v>
      </c>
      <c r="E203" s="359"/>
      <c r="F203" s="359"/>
      <c r="G203" s="359"/>
      <c r="H203" s="312"/>
      <c r="I203" s="216"/>
      <c r="J203" s="216"/>
      <c r="K203" s="217"/>
    </row>
    <row r="204" spans="2:11">
      <c r="B204" s="213">
        <v>84</v>
      </c>
      <c r="C204" s="214" t="s">
        <v>420</v>
      </c>
      <c r="D204" s="215" t="s">
        <v>582</v>
      </c>
      <c r="E204" s="359"/>
      <c r="F204" s="359"/>
      <c r="G204" s="359"/>
      <c r="H204" s="312"/>
      <c r="I204" s="216"/>
      <c r="J204" s="216"/>
      <c r="K204" s="217"/>
    </row>
    <row r="205" spans="2:11">
      <c r="B205" s="42">
        <v>24</v>
      </c>
      <c r="C205" s="258" t="s">
        <v>360</v>
      </c>
      <c r="D205" s="257" t="s">
        <v>579</v>
      </c>
      <c r="E205" s="324" t="s">
        <v>875</v>
      </c>
      <c r="F205" s="324"/>
      <c r="G205" s="389" t="s">
        <v>104</v>
      </c>
      <c r="H205" s="312" t="s">
        <v>900</v>
      </c>
      <c r="I205" s="13"/>
      <c r="J205" s="13"/>
      <c r="K205" s="20"/>
    </row>
    <row r="206" spans="2:11">
      <c r="B206" s="42">
        <v>34</v>
      </c>
      <c r="C206" s="258" t="s">
        <v>370</v>
      </c>
      <c r="D206" s="257" t="s">
        <v>580</v>
      </c>
      <c r="E206" s="324" t="s">
        <v>875</v>
      </c>
      <c r="F206" s="324"/>
      <c r="G206" s="389" t="s">
        <v>114</v>
      </c>
      <c r="H206" s="312" t="s">
        <v>900</v>
      </c>
      <c r="I206" s="13"/>
      <c r="J206" s="13"/>
      <c r="K206" s="20"/>
    </row>
    <row r="207" spans="2:11">
      <c r="B207" s="42">
        <v>14</v>
      </c>
      <c r="C207" s="258" t="s">
        <v>350</v>
      </c>
      <c r="D207" s="257" t="s">
        <v>578</v>
      </c>
      <c r="E207" s="324" t="s">
        <v>875</v>
      </c>
      <c r="F207" s="324"/>
      <c r="G207" s="389" t="s">
        <v>163</v>
      </c>
      <c r="H207" s="312" t="s">
        <v>900</v>
      </c>
      <c r="I207" s="13"/>
      <c r="J207" s="13"/>
      <c r="K207" s="20"/>
    </row>
    <row r="208" spans="2:11">
      <c r="B208" s="42">
        <v>4</v>
      </c>
      <c r="C208" s="258" t="s">
        <v>340</v>
      </c>
      <c r="D208" s="257" t="s">
        <v>577</v>
      </c>
      <c r="E208" s="324" t="s">
        <v>875</v>
      </c>
      <c r="F208" s="324"/>
      <c r="G208" s="389" t="s">
        <v>173</v>
      </c>
      <c r="H208" s="312" t="s">
        <v>900</v>
      </c>
      <c r="I208" s="13"/>
      <c r="J208" s="13"/>
      <c r="K208" s="20"/>
    </row>
    <row r="209" spans="2:11">
      <c r="B209" s="42">
        <v>13</v>
      </c>
      <c r="C209" s="258" t="s">
        <v>349</v>
      </c>
      <c r="D209" s="257" t="s">
        <v>553</v>
      </c>
      <c r="E209" s="324" t="s">
        <v>875</v>
      </c>
      <c r="F209" s="324"/>
      <c r="G209" s="389" t="s">
        <v>123</v>
      </c>
      <c r="H209" s="312" t="s">
        <v>900</v>
      </c>
      <c r="I209" s="13"/>
      <c r="J209" s="13"/>
      <c r="K209" s="20"/>
    </row>
    <row r="210" spans="2:11">
      <c r="B210" s="42">
        <v>3</v>
      </c>
      <c r="C210" s="258" t="s">
        <v>339</v>
      </c>
      <c r="D210" s="257" t="s">
        <v>552</v>
      </c>
      <c r="E210" s="324" t="s">
        <v>875</v>
      </c>
      <c r="F210" s="324"/>
      <c r="G210" s="389" t="s">
        <v>133</v>
      </c>
      <c r="H210" s="312" t="s">
        <v>900</v>
      </c>
      <c r="I210" s="13"/>
      <c r="J210" s="13"/>
      <c r="K210" s="20"/>
    </row>
    <row r="211" spans="2:11">
      <c r="B211" s="213">
        <v>33</v>
      </c>
      <c r="C211" s="214" t="s">
        <v>369</v>
      </c>
      <c r="D211" s="215" t="s">
        <v>555</v>
      </c>
      <c r="E211" s="359"/>
      <c r="F211" s="359"/>
      <c r="G211" s="359"/>
      <c r="H211" s="312"/>
      <c r="I211" s="216"/>
      <c r="J211" s="216"/>
      <c r="K211" s="217"/>
    </row>
    <row r="212" spans="2:11">
      <c r="B212" s="213">
        <v>23</v>
      </c>
      <c r="C212" s="214" t="s">
        <v>359</v>
      </c>
      <c r="D212" s="215" t="s">
        <v>554</v>
      </c>
      <c r="E212" s="359"/>
      <c r="F212" s="359"/>
      <c r="G212" s="359"/>
      <c r="H212" s="312"/>
      <c r="I212" s="216"/>
      <c r="J212" s="216"/>
      <c r="K212" s="217"/>
    </row>
    <row r="213" spans="2:11">
      <c r="B213" s="42">
        <v>31</v>
      </c>
      <c r="C213" s="258" t="s">
        <v>367</v>
      </c>
      <c r="D213" s="257" t="s">
        <v>521</v>
      </c>
      <c r="E213" s="324" t="s">
        <v>875</v>
      </c>
      <c r="F213" s="324"/>
      <c r="G213" s="389" t="s">
        <v>165</v>
      </c>
      <c r="H213" s="312" t="s">
        <v>900</v>
      </c>
      <c r="I213" s="13"/>
      <c r="J213" s="13"/>
      <c r="K213" s="20"/>
    </row>
    <row r="214" spans="2:11">
      <c r="B214" s="42">
        <v>32</v>
      </c>
      <c r="C214" s="258" t="s">
        <v>368</v>
      </c>
      <c r="D214" s="257" t="s">
        <v>537</v>
      </c>
      <c r="E214" s="324" t="s">
        <v>875</v>
      </c>
      <c r="F214" s="324"/>
      <c r="G214" s="389" t="s">
        <v>175</v>
      </c>
      <c r="H214" s="312" t="s">
        <v>900</v>
      </c>
      <c r="I214" s="13"/>
      <c r="J214" s="13"/>
      <c r="K214" s="20"/>
    </row>
    <row r="215" spans="2:11">
      <c r="B215" s="42">
        <v>21</v>
      </c>
      <c r="C215" s="258" t="s">
        <v>357</v>
      </c>
      <c r="D215" s="257" t="s">
        <v>520</v>
      </c>
      <c r="E215" s="324" t="s">
        <v>875</v>
      </c>
      <c r="F215" s="324"/>
      <c r="G215" s="389" t="s">
        <v>125</v>
      </c>
      <c r="H215" s="312" t="s">
        <v>900</v>
      </c>
      <c r="I215" s="13"/>
      <c r="J215" s="13"/>
      <c r="K215" s="20"/>
    </row>
    <row r="216" spans="2:11">
      <c r="B216" s="42">
        <v>22</v>
      </c>
      <c r="C216" s="258" t="s">
        <v>358</v>
      </c>
      <c r="D216" s="257" t="s">
        <v>536</v>
      </c>
      <c r="E216" s="324" t="s">
        <v>875</v>
      </c>
      <c r="F216" s="324"/>
      <c r="G216" s="389" t="s">
        <v>135</v>
      </c>
      <c r="H216" s="312" t="s">
        <v>900</v>
      </c>
      <c r="I216" s="13"/>
      <c r="J216" s="13"/>
      <c r="K216" s="20"/>
    </row>
    <row r="217" spans="2:11">
      <c r="B217" s="42">
        <v>11</v>
      </c>
      <c r="C217" s="258" t="s">
        <v>347</v>
      </c>
      <c r="D217" s="257" t="s">
        <v>519</v>
      </c>
      <c r="E217" s="324" t="s">
        <v>875</v>
      </c>
      <c r="F217" s="324"/>
      <c r="G217" s="389" t="s">
        <v>144</v>
      </c>
      <c r="H217" s="312" t="s">
        <v>900</v>
      </c>
      <c r="I217" s="13"/>
      <c r="J217" s="13"/>
      <c r="K217" s="20"/>
    </row>
    <row r="218" spans="2:11">
      <c r="B218" s="42">
        <v>12</v>
      </c>
      <c r="C218" s="258" t="s">
        <v>348</v>
      </c>
      <c r="D218" s="257" t="s">
        <v>535</v>
      </c>
      <c r="E218" s="324" t="s">
        <v>875</v>
      </c>
      <c r="F218" s="324"/>
      <c r="G218" s="389" t="s">
        <v>154</v>
      </c>
      <c r="H218" s="312" t="s">
        <v>900</v>
      </c>
      <c r="I218" s="13"/>
      <c r="J218" s="13"/>
      <c r="K218" s="20"/>
    </row>
    <row r="219" spans="2:11">
      <c r="B219" s="213">
        <v>1</v>
      </c>
      <c r="C219" s="214" t="s">
        <v>337</v>
      </c>
      <c r="D219" s="215" t="s">
        <v>518</v>
      </c>
      <c r="E219" s="199"/>
      <c r="F219" s="216"/>
      <c r="G219" s="216"/>
      <c r="H219" s="199"/>
      <c r="I219" s="216"/>
      <c r="J219" s="216"/>
      <c r="K219" s="217"/>
    </row>
    <row r="220" spans="2:11">
      <c r="B220" s="213">
        <v>2</v>
      </c>
      <c r="C220" s="214" t="s">
        <v>338</v>
      </c>
      <c r="D220" s="215" t="s">
        <v>534</v>
      </c>
      <c r="E220" s="199"/>
      <c r="F220" s="216"/>
      <c r="G220" s="216"/>
      <c r="H220" s="199"/>
      <c r="I220" s="216"/>
      <c r="J220" s="216"/>
      <c r="K220" s="217"/>
    </row>
    <row r="221" spans="2:11">
      <c r="B221" s="42">
        <v>43</v>
      </c>
      <c r="C221" s="258" t="s">
        <v>379</v>
      </c>
      <c r="D221" s="330" t="s">
        <v>447</v>
      </c>
      <c r="E221" s="324" t="s">
        <v>875</v>
      </c>
      <c r="F221" s="13"/>
      <c r="G221" s="387" t="s">
        <v>306</v>
      </c>
      <c r="H221" s="13"/>
      <c r="I221" s="13"/>
      <c r="J221" s="13"/>
      <c r="K221" s="20"/>
    </row>
    <row r="222" spans="2:11">
      <c r="B222" s="42">
        <v>44</v>
      </c>
      <c r="C222" s="258" t="s">
        <v>380</v>
      </c>
      <c r="D222" s="330" t="s">
        <v>455</v>
      </c>
      <c r="E222" s="324" t="s">
        <v>875</v>
      </c>
      <c r="F222" s="13"/>
      <c r="G222" s="387" t="s">
        <v>316</v>
      </c>
      <c r="H222" s="13"/>
      <c r="I222" s="13"/>
      <c r="J222" s="13"/>
      <c r="K222" s="20"/>
    </row>
    <row r="223" spans="2:11">
      <c r="B223" s="42">
        <v>62</v>
      </c>
      <c r="C223" s="258" t="s">
        <v>398</v>
      </c>
      <c r="D223" s="271" t="s">
        <v>428</v>
      </c>
      <c r="E223" s="13"/>
      <c r="F223" s="13"/>
      <c r="G223" s="13"/>
      <c r="H223" s="13"/>
      <c r="I223" s="13"/>
      <c r="J223" s="13"/>
      <c r="K223" s="20"/>
    </row>
    <row r="224" spans="2:11">
      <c r="B224" s="42">
        <v>61</v>
      </c>
      <c r="C224" s="258" t="s">
        <v>397</v>
      </c>
      <c r="D224" s="330" t="s">
        <v>322</v>
      </c>
      <c r="E224" s="324" t="s">
        <v>875</v>
      </c>
      <c r="F224" s="324"/>
      <c r="G224" s="388" t="s">
        <v>47</v>
      </c>
      <c r="H224" s="13"/>
      <c r="I224" s="13"/>
      <c r="J224" s="13"/>
      <c r="K224" s="20"/>
    </row>
    <row r="225" spans="2:11">
      <c r="B225" s="42">
        <v>71</v>
      </c>
      <c r="C225" s="258" t="s">
        <v>407</v>
      </c>
      <c r="D225" s="271" t="s">
        <v>323</v>
      </c>
      <c r="E225" s="13"/>
      <c r="F225" s="13"/>
      <c r="G225" s="13"/>
      <c r="H225" s="13"/>
      <c r="I225" s="13"/>
      <c r="J225" s="13"/>
      <c r="K225" s="20"/>
    </row>
    <row r="226" spans="2:11">
      <c r="B226" s="42">
        <v>72</v>
      </c>
      <c r="C226" s="258" t="s">
        <v>408</v>
      </c>
      <c r="D226" s="330" t="s">
        <v>429</v>
      </c>
      <c r="E226" s="324" t="s">
        <v>875</v>
      </c>
      <c r="F226" s="324"/>
      <c r="G226" s="388" t="s">
        <v>57</v>
      </c>
      <c r="H226" s="13"/>
      <c r="I226" s="13"/>
      <c r="J226" s="13"/>
      <c r="K226" s="20"/>
    </row>
    <row r="227" spans="2:11">
      <c r="B227" s="42">
        <v>51</v>
      </c>
      <c r="C227" s="258" t="s">
        <v>387</v>
      </c>
      <c r="D227" s="271" t="s">
        <v>464</v>
      </c>
      <c r="E227" s="13"/>
      <c r="F227" s="13"/>
      <c r="G227" s="13"/>
      <c r="H227" s="13"/>
      <c r="I227" s="13"/>
      <c r="J227" s="13"/>
      <c r="K227" s="20"/>
    </row>
    <row r="228" spans="2:11">
      <c r="B228" s="42">
        <v>52</v>
      </c>
      <c r="C228" s="258" t="s">
        <v>388</v>
      </c>
      <c r="D228" s="271" t="s">
        <v>464</v>
      </c>
      <c r="E228" s="13"/>
      <c r="F228" s="13"/>
      <c r="G228" s="13"/>
      <c r="H228" s="13"/>
      <c r="I228" s="13"/>
      <c r="J228" s="13"/>
      <c r="K228" s="20"/>
    </row>
    <row r="229" spans="2:11">
      <c r="B229" s="42">
        <v>53</v>
      </c>
      <c r="C229" s="258" t="s">
        <v>389</v>
      </c>
      <c r="D229" s="271" t="s">
        <v>464</v>
      </c>
      <c r="E229" s="13"/>
      <c r="F229" s="13"/>
      <c r="G229" s="13"/>
      <c r="H229" s="13"/>
      <c r="I229" s="13"/>
      <c r="J229" s="13"/>
      <c r="K229" s="20"/>
    </row>
    <row r="230" spans="2:11">
      <c r="B230" s="42">
        <v>63</v>
      </c>
      <c r="C230" s="258" t="s">
        <v>399</v>
      </c>
      <c r="D230" s="271" t="s">
        <v>464</v>
      </c>
      <c r="E230" s="13"/>
      <c r="F230" s="13"/>
      <c r="G230" s="13"/>
      <c r="H230" s="13"/>
      <c r="I230" s="13"/>
      <c r="J230" s="13"/>
      <c r="K230" s="20"/>
    </row>
    <row r="231" spans="2:11">
      <c r="B231" s="42">
        <v>54</v>
      </c>
      <c r="C231" s="258" t="s">
        <v>390</v>
      </c>
      <c r="D231" s="271" t="s">
        <v>464</v>
      </c>
      <c r="E231" s="13"/>
      <c r="F231" s="13"/>
      <c r="G231" s="13"/>
      <c r="H231" s="13"/>
      <c r="I231" s="13"/>
      <c r="J231" s="13"/>
      <c r="K231" s="20"/>
    </row>
    <row r="232" spans="2:11">
      <c r="B232" s="42">
        <v>64</v>
      </c>
      <c r="C232" s="258" t="s">
        <v>400</v>
      </c>
      <c r="D232" s="271" t="s">
        <v>464</v>
      </c>
      <c r="E232" s="13"/>
      <c r="F232" s="13"/>
      <c r="G232" s="13"/>
      <c r="H232" s="13"/>
      <c r="I232" s="13"/>
      <c r="J232" s="13"/>
      <c r="K232" s="20"/>
    </row>
    <row r="233" spans="2:11">
      <c r="B233" s="42">
        <v>105</v>
      </c>
      <c r="C233" s="258" t="s">
        <v>24</v>
      </c>
      <c r="D233" s="257" t="s">
        <v>464</v>
      </c>
      <c r="E233" s="13"/>
      <c r="F233" s="13"/>
      <c r="G233" s="13"/>
      <c r="H233" s="13"/>
      <c r="I233" s="13"/>
      <c r="J233" s="13"/>
      <c r="K233" s="20"/>
    </row>
    <row r="234" spans="2:11">
      <c r="B234" s="42">
        <v>46</v>
      </c>
      <c r="C234" s="258" t="s">
        <v>382</v>
      </c>
      <c r="D234" s="271" t="s">
        <v>471</v>
      </c>
      <c r="E234" s="13"/>
      <c r="F234" s="13"/>
      <c r="G234" s="13"/>
      <c r="H234" s="13"/>
      <c r="I234" s="13"/>
      <c r="J234" s="13"/>
      <c r="K234" s="20"/>
    </row>
    <row r="235" spans="2:11">
      <c r="B235" s="42">
        <v>66</v>
      </c>
      <c r="C235" s="258" t="s">
        <v>402</v>
      </c>
      <c r="D235" s="271" t="s">
        <v>473</v>
      </c>
      <c r="E235" s="13"/>
      <c r="F235" s="13"/>
      <c r="G235" s="13"/>
      <c r="H235" s="13"/>
      <c r="I235" s="13"/>
      <c r="J235" s="13"/>
      <c r="K235" s="20"/>
    </row>
    <row r="236" spans="2:11">
      <c r="B236" s="42">
        <v>56</v>
      </c>
      <c r="C236" s="258" t="s">
        <v>392</v>
      </c>
      <c r="D236" s="271" t="s">
        <v>472</v>
      </c>
      <c r="E236" s="13"/>
      <c r="F236" s="13"/>
      <c r="G236" s="13"/>
      <c r="H236" s="13"/>
      <c r="I236" s="13"/>
      <c r="J236" s="13"/>
      <c r="K236" s="20"/>
    </row>
    <row r="237" spans="2:11">
      <c r="B237" s="42">
        <v>5</v>
      </c>
      <c r="C237" s="258" t="s">
        <v>341</v>
      </c>
      <c r="D237" s="257" t="s">
        <v>321</v>
      </c>
      <c r="E237" s="13"/>
      <c r="F237" s="13"/>
      <c r="G237" s="13"/>
      <c r="H237" s="13"/>
      <c r="I237" s="13"/>
      <c r="J237" s="13"/>
      <c r="K237" s="20"/>
    </row>
    <row r="238" spans="2:11">
      <c r="B238" s="42">
        <v>15</v>
      </c>
      <c r="C238" s="258" t="s">
        <v>351</v>
      </c>
      <c r="D238" s="257" t="s">
        <v>321</v>
      </c>
      <c r="E238" s="13"/>
      <c r="F238" s="13"/>
      <c r="G238" s="13"/>
      <c r="H238" s="13"/>
      <c r="I238" s="13"/>
      <c r="J238" s="13"/>
      <c r="K238" s="20"/>
    </row>
    <row r="239" spans="2:11">
      <c r="B239" s="42">
        <v>25</v>
      </c>
      <c r="C239" s="258" t="s">
        <v>361</v>
      </c>
      <c r="D239" s="257" t="s">
        <v>321</v>
      </c>
      <c r="E239" s="13"/>
      <c r="F239" s="13"/>
      <c r="G239" s="13"/>
      <c r="H239" s="13"/>
      <c r="I239" s="13"/>
      <c r="J239" s="13"/>
      <c r="K239" s="20"/>
    </row>
    <row r="240" spans="2:11">
      <c r="B240" s="42">
        <v>35</v>
      </c>
      <c r="C240" s="258" t="s">
        <v>371</v>
      </c>
      <c r="D240" s="257" t="s">
        <v>321</v>
      </c>
      <c r="E240" s="13"/>
      <c r="F240" s="13"/>
      <c r="G240" s="13"/>
      <c r="H240" s="13"/>
      <c r="I240" s="13"/>
      <c r="J240" s="13"/>
      <c r="K240" s="20"/>
    </row>
    <row r="241" spans="2:11">
      <c r="B241" s="42">
        <v>45</v>
      </c>
      <c r="C241" s="258" t="s">
        <v>381</v>
      </c>
      <c r="D241" s="271" t="s">
        <v>321</v>
      </c>
      <c r="E241" s="13"/>
      <c r="F241" s="13"/>
      <c r="G241" s="13"/>
      <c r="H241" s="13"/>
      <c r="I241" s="13"/>
      <c r="J241" s="13"/>
      <c r="K241" s="20"/>
    </row>
    <row r="242" spans="2:11">
      <c r="B242" s="42">
        <v>55</v>
      </c>
      <c r="C242" s="258" t="s">
        <v>391</v>
      </c>
      <c r="D242" s="271" t="s">
        <v>321</v>
      </c>
      <c r="E242" s="13"/>
      <c r="F242" s="13"/>
      <c r="G242" s="13"/>
      <c r="H242" s="13"/>
      <c r="I242" s="13"/>
      <c r="J242" s="13"/>
      <c r="K242" s="20"/>
    </row>
    <row r="243" spans="2:11">
      <c r="B243" s="42">
        <v>65</v>
      </c>
      <c r="C243" s="258" t="s">
        <v>401</v>
      </c>
      <c r="D243" s="271" t="s">
        <v>321</v>
      </c>
      <c r="E243" s="13"/>
      <c r="F243" s="13"/>
      <c r="G243" s="13"/>
      <c r="H243" s="13"/>
      <c r="I243" s="13"/>
      <c r="J243" s="13"/>
      <c r="K243" s="20"/>
    </row>
    <row r="244" spans="2:11">
      <c r="B244" s="42">
        <v>92</v>
      </c>
      <c r="C244" s="258" t="s">
        <v>4</v>
      </c>
      <c r="D244" s="257" t="s">
        <v>431</v>
      </c>
      <c r="E244" s="13"/>
      <c r="F244" s="13"/>
      <c r="G244" s="13"/>
      <c r="H244" s="13"/>
      <c r="I244" s="13"/>
      <c r="J244" s="13"/>
      <c r="K244" s="20"/>
    </row>
    <row r="245" spans="2:11">
      <c r="B245" s="42">
        <v>91</v>
      </c>
      <c r="C245" s="258" t="s">
        <v>0</v>
      </c>
      <c r="D245" s="328" t="s">
        <v>325</v>
      </c>
      <c r="E245" s="324" t="s">
        <v>875</v>
      </c>
      <c r="F245" s="13"/>
      <c r="G245" s="388" t="s">
        <v>187</v>
      </c>
      <c r="H245" s="13"/>
      <c r="I245" s="13"/>
      <c r="J245" s="13"/>
      <c r="K245" s="20"/>
    </row>
    <row r="246" spans="2:11">
      <c r="B246" s="42">
        <v>81</v>
      </c>
      <c r="C246" s="258" t="s">
        <v>417</v>
      </c>
      <c r="D246" s="328" t="s">
        <v>324</v>
      </c>
      <c r="E246" s="324" t="s">
        <v>875</v>
      </c>
      <c r="F246" s="5"/>
      <c r="G246" s="387" t="s">
        <v>970</v>
      </c>
      <c r="H246" s="13"/>
      <c r="I246" s="13"/>
      <c r="J246" s="13"/>
      <c r="K246" s="20"/>
    </row>
    <row r="247" spans="2:11">
      <c r="B247" s="42">
        <v>82</v>
      </c>
      <c r="C247" s="258" t="s">
        <v>418</v>
      </c>
      <c r="D247" s="328" t="s">
        <v>430</v>
      </c>
      <c r="E247" s="324" t="s">
        <v>875</v>
      </c>
      <c r="F247" s="5"/>
      <c r="G247" s="387" t="s">
        <v>971</v>
      </c>
      <c r="H247" s="13"/>
      <c r="I247" s="13"/>
      <c r="J247" s="13"/>
      <c r="K247" s="20"/>
    </row>
    <row r="248" spans="2:11">
      <c r="B248" s="42">
        <v>41</v>
      </c>
      <c r="C248" s="258" t="s">
        <v>377</v>
      </c>
      <c r="D248" s="330" t="s">
        <v>427</v>
      </c>
      <c r="E248" s="324" t="s">
        <v>875</v>
      </c>
      <c r="F248" s="5"/>
      <c r="G248" s="320" t="s">
        <v>317</v>
      </c>
      <c r="H248" s="13"/>
      <c r="I248" s="13"/>
      <c r="J248" s="13"/>
      <c r="K248" s="20"/>
    </row>
    <row r="249" spans="2:11">
      <c r="B249" s="42">
        <v>42</v>
      </c>
      <c r="C249" s="258" t="s">
        <v>378</v>
      </c>
      <c r="D249" s="330" t="s">
        <v>320</v>
      </c>
      <c r="E249" s="324" t="s">
        <v>875</v>
      </c>
      <c r="F249" s="13"/>
      <c r="G249" s="387" t="s">
        <v>297</v>
      </c>
      <c r="H249" s="13"/>
      <c r="I249" s="13"/>
      <c r="J249" s="13"/>
      <c r="K249" s="20"/>
    </row>
    <row r="250" spans="2:11">
      <c r="B250" s="197">
        <v>393</v>
      </c>
      <c r="C250" s="198" t="s">
        <v>312</v>
      </c>
      <c r="D250" s="292" t="s">
        <v>453</v>
      </c>
      <c r="E250" s="199"/>
      <c r="F250" s="199"/>
      <c r="G250" s="199"/>
      <c r="H250" s="199"/>
      <c r="I250" s="199"/>
      <c r="J250" s="199"/>
      <c r="K250" s="200"/>
    </row>
    <row r="251" spans="2:11">
      <c r="B251" s="197">
        <v>383</v>
      </c>
      <c r="C251" s="198" t="s">
        <v>302</v>
      </c>
      <c r="D251" s="292" t="s">
        <v>452</v>
      </c>
      <c r="E251" s="199"/>
      <c r="F251" s="199"/>
      <c r="G251" s="199"/>
      <c r="H251" s="199"/>
      <c r="I251" s="199"/>
      <c r="J251" s="199"/>
      <c r="K251" s="200"/>
    </row>
    <row r="252" spans="2:11">
      <c r="B252" s="197">
        <v>337</v>
      </c>
      <c r="C252" s="198" t="s">
        <v>256</v>
      </c>
      <c r="D252" s="292" t="s">
        <v>487</v>
      </c>
      <c r="E252" s="199"/>
      <c r="F252" s="199"/>
      <c r="G252" s="199"/>
      <c r="H252" s="199"/>
      <c r="I252" s="199"/>
      <c r="J252" s="199"/>
      <c r="K252" s="200"/>
    </row>
    <row r="253" spans="2:11">
      <c r="B253" s="197">
        <v>327</v>
      </c>
      <c r="C253" s="198" t="s">
        <v>246</v>
      </c>
      <c r="D253" s="292" t="s">
        <v>486</v>
      </c>
      <c r="E253" s="199"/>
      <c r="F253" s="199"/>
      <c r="G253" s="199"/>
      <c r="H253" s="199"/>
      <c r="I253" s="199"/>
      <c r="J253" s="199"/>
      <c r="K253" s="200"/>
    </row>
    <row r="254" spans="2:11">
      <c r="B254" s="197">
        <v>346</v>
      </c>
      <c r="C254" s="198" t="s">
        <v>265</v>
      </c>
      <c r="D254" s="292" t="s">
        <v>478</v>
      </c>
      <c r="E254" s="199"/>
      <c r="F254" s="199"/>
      <c r="G254" s="199"/>
      <c r="H254" s="199"/>
      <c r="I254" s="199"/>
      <c r="J254" s="199"/>
      <c r="K254" s="200"/>
    </row>
    <row r="255" spans="2:11">
      <c r="B255" s="197">
        <v>336</v>
      </c>
      <c r="C255" s="198" t="s">
        <v>255</v>
      </c>
      <c r="D255" s="292" t="s">
        <v>477</v>
      </c>
      <c r="E255" s="199"/>
      <c r="F255" s="199"/>
      <c r="G255" s="199"/>
      <c r="H255" s="199"/>
      <c r="I255" s="199"/>
      <c r="J255" s="199"/>
      <c r="K255" s="200"/>
    </row>
    <row r="256" spans="2:11">
      <c r="B256" s="197">
        <v>347</v>
      </c>
      <c r="C256" s="198" t="s">
        <v>266</v>
      </c>
      <c r="D256" s="292" t="s">
        <v>488</v>
      </c>
      <c r="E256" s="199"/>
      <c r="F256" s="199"/>
      <c r="G256" s="199"/>
      <c r="H256" s="199"/>
      <c r="I256" s="199"/>
      <c r="J256" s="199"/>
      <c r="K256" s="200"/>
    </row>
    <row r="257" spans="2:11">
      <c r="B257" s="197">
        <v>357</v>
      </c>
      <c r="C257" s="198" t="s">
        <v>276</v>
      </c>
      <c r="D257" s="292" t="s">
        <v>488</v>
      </c>
      <c r="E257" s="199"/>
      <c r="F257" s="199"/>
      <c r="G257" s="199"/>
      <c r="H257" s="199"/>
      <c r="I257" s="199"/>
      <c r="J257" s="199"/>
      <c r="K257" s="200"/>
    </row>
    <row r="258" spans="2:11">
      <c r="B258" s="197">
        <v>338</v>
      </c>
      <c r="C258" s="198" t="s">
        <v>257</v>
      </c>
      <c r="D258" s="292" t="s">
        <v>488</v>
      </c>
      <c r="E258" s="199"/>
      <c r="F258" s="199"/>
      <c r="G258" s="199"/>
      <c r="H258" s="199"/>
      <c r="I258" s="199"/>
      <c r="J258" s="199"/>
      <c r="K258" s="200"/>
    </row>
    <row r="259" spans="2:11">
      <c r="B259" s="197">
        <v>348</v>
      </c>
      <c r="C259" s="198" t="s">
        <v>267</v>
      </c>
      <c r="D259" s="292" t="s">
        <v>488</v>
      </c>
      <c r="E259" s="199"/>
      <c r="F259" s="199"/>
      <c r="G259" s="199"/>
      <c r="H259" s="199"/>
      <c r="I259" s="199"/>
      <c r="J259" s="199"/>
      <c r="K259" s="200"/>
    </row>
    <row r="260" spans="2:11">
      <c r="B260" s="197">
        <v>358</v>
      </c>
      <c r="C260" s="198" t="s">
        <v>277</v>
      </c>
      <c r="D260" s="292" t="s">
        <v>488</v>
      </c>
      <c r="E260" s="199"/>
      <c r="F260" s="199"/>
      <c r="G260" s="199"/>
      <c r="H260" s="199"/>
      <c r="I260" s="199"/>
      <c r="J260" s="199"/>
      <c r="K260" s="200"/>
    </row>
    <row r="261" spans="2:11">
      <c r="B261" s="197">
        <v>339</v>
      </c>
      <c r="C261" s="198" t="s">
        <v>258</v>
      </c>
      <c r="D261" s="292" t="s">
        <v>488</v>
      </c>
      <c r="E261" s="199"/>
      <c r="F261" s="199"/>
      <c r="G261" s="199"/>
      <c r="H261" s="199"/>
      <c r="I261" s="199"/>
      <c r="J261" s="199"/>
      <c r="K261" s="200"/>
    </row>
    <row r="262" spans="2:11">
      <c r="B262" s="197">
        <v>349</v>
      </c>
      <c r="C262" s="198" t="s">
        <v>268</v>
      </c>
      <c r="D262" s="292" t="s">
        <v>488</v>
      </c>
      <c r="E262" s="199"/>
      <c r="F262" s="199"/>
      <c r="G262" s="199"/>
      <c r="H262" s="199"/>
      <c r="I262" s="199"/>
      <c r="J262" s="199"/>
      <c r="K262" s="200"/>
    </row>
    <row r="263" spans="2:11">
      <c r="B263" s="197">
        <v>359</v>
      </c>
      <c r="C263" s="198" t="s">
        <v>278</v>
      </c>
      <c r="D263" s="292" t="s">
        <v>488</v>
      </c>
      <c r="E263" s="199"/>
      <c r="F263" s="199"/>
      <c r="G263" s="199"/>
      <c r="H263" s="199"/>
      <c r="I263" s="199"/>
      <c r="J263" s="199"/>
      <c r="K263" s="200"/>
    </row>
    <row r="264" spans="2:11">
      <c r="B264" s="197">
        <v>340</v>
      </c>
      <c r="C264" s="198" t="s">
        <v>259</v>
      </c>
      <c r="D264" s="292" t="s">
        <v>488</v>
      </c>
      <c r="E264" s="199"/>
      <c r="F264" s="199"/>
      <c r="G264" s="199"/>
      <c r="H264" s="199"/>
      <c r="I264" s="199"/>
      <c r="J264" s="199"/>
      <c r="K264" s="200"/>
    </row>
    <row r="265" spans="2:11">
      <c r="B265" s="197">
        <v>350</v>
      </c>
      <c r="C265" s="198" t="s">
        <v>269</v>
      </c>
      <c r="D265" s="292" t="s">
        <v>488</v>
      </c>
      <c r="E265" s="199"/>
      <c r="F265" s="199"/>
      <c r="G265" s="199"/>
      <c r="H265" s="199"/>
      <c r="I265" s="199"/>
      <c r="J265" s="199"/>
      <c r="K265" s="200"/>
    </row>
    <row r="266" spans="2:11">
      <c r="B266" s="197">
        <v>360</v>
      </c>
      <c r="C266" s="198" t="s">
        <v>279</v>
      </c>
      <c r="D266" s="292" t="s">
        <v>488</v>
      </c>
      <c r="E266" s="199"/>
      <c r="F266" s="199"/>
      <c r="G266" s="199"/>
      <c r="H266" s="199"/>
      <c r="I266" s="199"/>
      <c r="J266" s="199"/>
      <c r="K266" s="200"/>
    </row>
    <row r="267" spans="2:11">
      <c r="B267" s="197">
        <v>356</v>
      </c>
      <c r="C267" s="198" t="s">
        <v>275</v>
      </c>
      <c r="D267" s="292" t="s">
        <v>479</v>
      </c>
      <c r="E267" s="199"/>
      <c r="F267" s="199"/>
      <c r="G267" s="199"/>
      <c r="H267" s="199"/>
      <c r="I267" s="199"/>
      <c r="J267" s="199"/>
      <c r="K267" s="200"/>
    </row>
    <row r="268" spans="2:11">
      <c r="B268" s="197">
        <v>385</v>
      </c>
      <c r="C268" s="198" t="s">
        <v>304</v>
      </c>
      <c r="D268" s="292" t="s">
        <v>469</v>
      </c>
      <c r="E268" s="199"/>
      <c r="F268" s="199"/>
      <c r="G268" s="199"/>
      <c r="H268" s="199"/>
      <c r="I268" s="199"/>
      <c r="J268" s="199"/>
      <c r="K268" s="200"/>
    </row>
    <row r="269" spans="2:11">
      <c r="B269" s="197">
        <v>395</v>
      </c>
      <c r="C269" s="198" t="s">
        <v>314</v>
      </c>
      <c r="D269" s="292" t="s">
        <v>470</v>
      </c>
      <c r="E269" s="199"/>
      <c r="F269" s="199"/>
      <c r="G269" s="199"/>
      <c r="H269" s="199"/>
      <c r="I269" s="199"/>
      <c r="J269" s="199"/>
      <c r="K269" s="200"/>
    </row>
    <row r="270" spans="2:11">
      <c r="B270" s="197">
        <v>341</v>
      </c>
      <c r="C270" s="198" t="s">
        <v>260</v>
      </c>
      <c r="D270" s="292" t="s">
        <v>336</v>
      </c>
      <c r="E270" s="199"/>
      <c r="F270" s="199"/>
      <c r="G270" s="199"/>
      <c r="H270" s="199"/>
      <c r="I270" s="199"/>
      <c r="J270" s="199"/>
      <c r="K270" s="200"/>
    </row>
    <row r="271" spans="2:11">
      <c r="B271" s="197">
        <v>351</v>
      </c>
      <c r="C271" s="198" t="s">
        <v>270</v>
      </c>
      <c r="D271" s="292" t="s">
        <v>336</v>
      </c>
      <c r="E271" s="199"/>
      <c r="F271" s="199"/>
      <c r="G271" s="199"/>
      <c r="H271" s="199"/>
      <c r="I271" s="199"/>
      <c r="J271" s="199"/>
      <c r="K271" s="200"/>
    </row>
    <row r="272" spans="2:11">
      <c r="B272" s="197">
        <v>342</v>
      </c>
      <c r="C272" s="198" t="s">
        <v>261</v>
      </c>
      <c r="D272" s="292" t="s">
        <v>336</v>
      </c>
      <c r="E272" s="199"/>
      <c r="F272" s="199"/>
      <c r="G272" s="199"/>
      <c r="H272" s="199"/>
      <c r="I272" s="199"/>
      <c r="J272" s="199"/>
      <c r="K272" s="200"/>
    </row>
    <row r="273" spans="2:11">
      <c r="B273" s="197">
        <v>352</v>
      </c>
      <c r="C273" s="198" t="s">
        <v>271</v>
      </c>
      <c r="D273" s="292" t="s">
        <v>336</v>
      </c>
      <c r="E273" s="199"/>
      <c r="F273" s="199"/>
      <c r="G273" s="199"/>
      <c r="H273" s="199"/>
      <c r="I273" s="199"/>
      <c r="J273" s="199"/>
      <c r="K273" s="200"/>
    </row>
    <row r="274" spans="2:11">
      <c r="B274" s="197">
        <v>333</v>
      </c>
      <c r="C274" s="198" t="s">
        <v>252</v>
      </c>
      <c r="D274" s="292" t="s">
        <v>336</v>
      </c>
      <c r="E274" s="199"/>
      <c r="F274" s="199"/>
      <c r="G274" s="199"/>
      <c r="H274" s="199"/>
      <c r="I274" s="199"/>
      <c r="J274" s="199"/>
      <c r="K274" s="200"/>
    </row>
    <row r="275" spans="2:11">
      <c r="B275" s="197">
        <v>343</v>
      </c>
      <c r="C275" s="198" t="s">
        <v>262</v>
      </c>
      <c r="D275" s="292" t="s">
        <v>336</v>
      </c>
      <c r="E275" s="199"/>
      <c r="F275" s="199"/>
      <c r="G275" s="199"/>
      <c r="H275" s="199"/>
      <c r="I275" s="199"/>
      <c r="J275" s="199"/>
      <c r="K275" s="200"/>
    </row>
    <row r="276" spans="2:11">
      <c r="B276" s="197">
        <v>334</v>
      </c>
      <c r="C276" s="198" t="s">
        <v>253</v>
      </c>
      <c r="D276" s="292" t="s">
        <v>336</v>
      </c>
      <c r="E276" s="199"/>
      <c r="F276" s="199"/>
      <c r="G276" s="199"/>
      <c r="H276" s="199"/>
      <c r="I276" s="199"/>
      <c r="J276" s="199"/>
      <c r="K276" s="200"/>
    </row>
    <row r="277" spans="2:11">
      <c r="B277" s="197">
        <v>344</v>
      </c>
      <c r="C277" s="198" t="s">
        <v>263</v>
      </c>
      <c r="D277" s="292" t="s">
        <v>336</v>
      </c>
      <c r="E277" s="199"/>
      <c r="F277" s="199"/>
      <c r="G277" s="199"/>
      <c r="H277" s="199"/>
      <c r="I277" s="199"/>
      <c r="J277" s="199"/>
      <c r="K277" s="200"/>
    </row>
    <row r="278" spans="2:11">
      <c r="B278" s="197">
        <v>345</v>
      </c>
      <c r="C278" s="198" t="s">
        <v>264</v>
      </c>
      <c r="D278" s="292" t="s">
        <v>336</v>
      </c>
      <c r="E278" s="199"/>
      <c r="F278" s="199"/>
      <c r="G278" s="199"/>
      <c r="H278" s="199"/>
      <c r="I278" s="199"/>
      <c r="J278" s="199"/>
      <c r="K278" s="200"/>
    </row>
    <row r="279" spans="2:11">
      <c r="B279" s="197">
        <v>355</v>
      </c>
      <c r="C279" s="198" t="s">
        <v>274</v>
      </c>
      <c r="D279" s="292" t="s">
        <v>336</v>
      </c>
      <c r="E279" s="199"/>
      <c r="F279" s="199"/>
      <c r="G279" s="199"/>
      <c r="H279" s="199"/>
      <c r="I279" s="199"/>
      <c r="J279" s="199"/>
      <c r="K279" s="200"/>
    </row>
    <row r="280" spans="2:11">
      <c r="B280" s="197">
        <v>396</v>
      </c>
      <c r="C280" s="198" t="s">
        <v>315</v>
      </c>
      <c r="D280" s="292" t="s">
        <v>481</v>
      </c>
      <c r="E280" s="199"/>
      <c r="F280" s="199"/>
      <c r="G280" s="199"/>
      <c r="H280" s="199"/>
      <c r="I280" s="199"/>
      <c r="J280" s="199"/>
      <c r="K280" s="200"/>
    </row>
    <row r="281" spans="2:11">
      <c r="B281" s="197">
        <v>386</v>
      </c>
      <c r="C281" s="198" t="s">
        <v>305</v>
      </c>
      <c r="D281" s="292" t="s">
        <v>480</v>
      </c>
      <c r="E281" s="199"/>
      <c r="F281" s="199"/>
      <c r="G281" s="199"/>
      <c r="H281" s="199"/>
      <c r="I281" s="199"/>
      <c r="J281" s="199"/>
      <c r="K281" s="200"/>
    </row>
    <row r="282" spans="2:11">
      <c r="B282" s="197">
        <v>387</v>
      </c>
      <c r="C282" s="198" t="s">
        <v>306</v>
      </c>
      <c r="D282" s="292" t="s">
        <v>489</v>
      </c>
      <c r="E282" s="199"/>
      <c r="F282" s="199"/>
      <c r="G282" s="199"/>
      <c r="H282" s="199"/>
      <c r="I282" s="199"/>
      <c r="J282" s="199"/>
      <c r="K282" s="200"/>
    </row>
    <row r="283" spans="2:11">
      <c r="B283" s="197">
        <v>388</v>
      </c>
      <c r="C283" s="198" t="s">
        <v>307</v>
      </c>
      <c r="D283" s="292" t="s">
        <v>495</v>
      </c>
      <c r="E283" s="199"/>
      <c r="F283" s="199"/>
      <c r="G283" s="199"/>
      <c r="H283" s="199"/>
      <c r="I283" s="199"/>
      <c r="J283" s="199"/>
      <c r="K283" s="200"/>
    </row>
    <row r="284" spans="2:11">
      <c r="B284" s="197">
        <v>392</v>
      </c>
      <c r="C284" s="198" t="s">
        <v>311</v>
      </c>
      <c r="D284" s="292" t="s">
        <v>440</v>
      </c>
      <c r="E284" s="199"/>
      <c r="F284" s="199"/>
      <c r="G284" s="199"/>
      <c r="H284" s="199"/>
      <c r="I284" s="199"/>
      <c r="J284" s="199"/>
      <c r="K284" s="200"/>
    </row>
    <row r="285" spans="2:11">
      <c r="B285" s="197">
        <v>382</v>
      </c>
      <c r="C285" s="198" t="s">
        <v>301</v>
      </c>
      <c r="D285" s="292" t="s">
        <v>441</v>
      </c>
      <c r="E285" s="199"/>
      <c r="F285" s="199"/>
      <c r="G285" s="199"/>
      <c r="H285" s="199"/>
      <c r="I285" s="199"/>
      <c r="J285" s="199"/>
      <c r="K285" s="200"/>
    </row>
    <row r="286" spans="2:11">
      <c r="B286" s="42">
        <v>194</v>
      </c>
      <c r="C286" s="21" t="s">
        <v>113</v>
      </c>
      <c r="D286" s="22" t="s">
        <v>587</v>
      </c>
      <c r="E286" s="323" t="s">
        <v>875</v>
      </c>
      <c r="F286" s="5"/>
      <c r="G286" s="389" t="s">
        <v>41</v>
      </c>
      <c r="H286" s="340" t="s">
        <v>923</v>
      </c>
      <c r="I286" s="5"/>
      <c r="J286" s="5"/>
      <c r="K286" s="14"/>
    </row>
    <row r="287" spans="2:11">
      <c r="B287" s="42">
        <v>193</v>
      </c>
      <c r="C287" s="21" t="s">
        <v>112</v>
      </c>
      <c r="D287" s="22" t="s">
        <v>564</v>
      </c>
      <c r="E287" s="323" t="s">
        <v>875</v>
      </c>
      <c r="F287" s="5"/>
      <c r="G287" s="389" t="s">
        <v>51</v>
      </c>
      <c r="H287" s="316" t="s">
        <v>923</v>
      </c>
      <c r="I287" s="5"/>
      <c r="J287" s="5"/>
      <c r="K287" s="14"/>
    </row>
    <row r="288" spans="2:11">
      <c r="B288" s="42">
        <v>184</v>
      </c>
      <c r="C288" s="21" t="s">
        <v>103</v>
      </c>
      <c r="D288" s="22" t="s">
        <v>586</v>
      </c>
      <c r="E288" s="323" t="s">
        <v>875</v>
      </c>
      <c r="F288" s="5"/>
      <c r="G288" s="389" t="s">
        <v>60</v>
      </c>
      <c r="H288" s="316" t="s">
        <v>923</v>
      </c>
      <c r="I288" s="5"/>
      <c r="J288" s="5"/>
      <c r="K288" s="14"/>
    </row>
    <row r="289" spans="2:11">
      <c r="B289" s="42">
        <v>183</v>
      </c>
      <c r="C289" s="21" t="s">
        <v>102</v>
      </c>
      <c r="D289" s="22" t="s">
        <v>563</v>
      </c>
      <c r="E289" s="323" t="s">
        <v>875</v>
      </c>
      <c r="F289" s="5"/>
      <c r="G289" s="389" t="s">
        <v>70</v>
      </c>
      <c r="H289" s="316" t="s">
        <v>923</v>
      </c>
      <c r="I289" s="5"/>
      <c r="J289" s="5"/>
      <c r="K289" s="14"/>
    </row>
    <row r="290" spans="2:11">
      <c r="B290" s="42">
        <v>182</v>
      </c>
      <c r="C290" s="21" t="s">
        <v>101</v>
      </c>
      <c r="D290" s="22" t="s">
        <v>542</v>
      </c>
      <c r="E290" s="323" t="s">
        <v>875</v>
      </c>
      <c r="F290" s="5"/>
      <c r="G290" s="389" t="s">
        <v>20</v>
      </c>
      <c r="H290" s="316" t="s">
        <v>923</v>
      </c>
      <c r="I290" s="5"/>
      <c r="J290" s="5"/>
      <c r="K290" s="14"/>
    </row>
    <row r="291" spans="2:11">
      <c r="B291" s="42">
        <v>192</v>
      </c>
      <c r="C291" s="21" t="s">
        <v>111</v>
      </c>
      <c r="D291" s="22" t="s">
        <v>543</v>
      </c>
      <c r="E291" s="323" t="s">
        <v>875</v>
      </c>
      <c r="F291" s="5"/>
      <c r="G291" s="389" t="s">
        <v>30</v>
      </c>
      <c r="H291" s="316" t="s">
        <v>923</v>
      </c>
      <c r="I291" s="5"/>
      <c r="J291" s="5"/>
      <c r="K291" s="14"/>
    </row>
    <row r="292" spans="2:11">
      <c r="B292" s="42">
        <v>214</v>
      </c>
      <c r="C292" s="21" t="s">
        <v>133</v>
      </c>
      <c r="D292" s="22" t="s">
        <v>589</v>
      </c>
      <c r="E292" s="323" t="s">
        <v>875</v>
      </c>
      <c r="F292" s="5"/>
      <c r="G292" s="389" t="s">
        <v>62</v>
      </c>
      <c r="H292" s="316" t="s">
        <v>923</v>
      </c>
      <c r="I292" s="5"/>
      <c r="J292" s="5"/>
      <c r="K292" s="14"/>
    </row>
    <row r="293" spans="2:11">
      <c r="B293" s="42">
        <v>213</v>
      </c>
      <c r="C293" s="21" t="s">
        <v>132</v>
      </c>
      <c r="D293" s="22" t="s">
        <v>566</v>
      </c>
      <c r="E293" s="323" t="s">
        <v>875</v>
      </c>
      <c r="F293" s="5"/>
      <c r="G293" s="389" t="s">
        <v>72</v>
      </c>
      <c r="H293" s="316" t="s">
        <v>923</v>
      </c>
      <c r="I293" s="5"/>
      <c r="J293" s="5"/>
      <c r="K293" s="14"/>
    </row>
    <row r="294" spans="2:11">
      <c r="B294" s="42">
        <v>204</v>
      </c>
      <c r="C294" s="21" t="s">
        <v>123</v>
      </c>
      <c r="D294" s="22" t="s">
        <v>588</v>
      </c>
      <c r="E294" s="323" t="s">
        <v>875</v>
      </c>
      <c r="F294" s="5"/>
      <c r="G294" s="389" t="s">
        <v>22</v>
      </c>
      <c r="H294" s="316" t="s">
        <v>923</v>
      </c>
      <c r="I294" s="5"/>
      <c r="J294" s="5"/>
      <c r="K294" s="14"/>
    </row>
    <row r="295" spans="2:11">
      <c r="B295" s="42">
        <v>203</v>
      </c>
      <c r="C295" s="21" t="s">
        <v>122</v>
      </c>
      <c r="D295" s="22" t="s">
        <v>565</v>
      </c>
      <c r="E295" s="323" t="s">
        <v>875</v>
      </c>
      <c r="F295" s="5"/>
      <c r="G295" s="389" t="s">
        <v>32</v>
      </c>
      <c r="H295" s="316" t="s">
        <v>923</v>
      </c>
      <c r="I295" s="5"/>
      <c r="J295" s="5"/>
      <c r="K295" s="14"/>
    </row>
    <row r="296" spans="2:11">
      <c r="B296" s="42">
        <v>176</v>
      </c>
      <c r="C296" s="21" t="s">
        <v>95</v>
      </c>
      <c r="D296" s="22" t="s">
        <v>617</v>
      </c>
      <c r="E296" s="323" t="s">
        <v>875</v>
      </c>
      <c r="F296" s="5"/>
      <c r="G296" s="389" t="s">
        <v>81</v>
      </c>
      <c r="H296" s="316" t="s">
        <v>923</v>
      </c>
      <c r="I296" s="5"/>
      <c r="J296" s="5"/>
      <c r="K296" s="14"/>
    </row>
    <row r="297" spans="2:11">
      <c r="B297" s="42">
        <v>175</v>
      </c>
      <c r="C297" s="21" t="s">
        <v>94</v>
      </c>
      <c r="D297" s="22" t="s">
        <v>604</v>
      </c>
      <c r="E297" s="323" t="s">
        <v>875</v>
      </c>
      <c r="F297" s="5"/>
      <c r="G297" s="389" t="s">
        <v>91</v>
      </c>
      <c r="H297" s="316" t="s">
        <v>923</v>
      </c>
      <c r="I297" s="5"/>
      <c r="J297" s="5"/>
      <c r="K297" s="14"/>
    </row>
    <row r="298" spans="2:11">
      <c r="B298" s="42">
        <v>114</v>
      </c>
      <c r="C298" s="21" t="s">
        <v>33</v>
      </c>
      <c r="D298" s="22" t="s">
        <v>585</v>
      </c>
      <c r="E298" s="323" t="s">
        <v>875</v>
      </c>
      <c r="F298" s="5"/>
      <c r="G298" s="389" t="s">
        <v>24</v>
      </c>
      <c r="H298" s="316" t="s">
        <v>923</v>
      </c>
      <c r="I298" s="5"/>
      <c r="J298" s="5"/>
      <c r="K298" s="14"/>
    </row>
    <row r="299" spans="2:11">
      <c r="B299" s="42">
        <v>115</v>
      </c>
      <c r="C299" s="21" t="s">
        <v>34</v>
      </c>
      <c r="D299" s="22" t="s">
        <v>603</v>
      </c>
      <c r="E299" s="323" t="s">
        <v>875</v>
      </c>
      <c r="F299" s="5"/>
      <c r="G299" s="389" t="s">
        <v>34</v>
      </c>
      <c r="H299" s="316" t="s">
        <v>923</v>
      </c>
      <c r="I299" s="5"/>
      <c r="J299" s="5"/>
      <c r="K299" s="14"/>
    </row>
    <row r="300" spans="2:11">
      <c r="B300" s="42">
        <v>122</v>
      </c>
      <c r="C300" s="21" t="s">
        <v>41</v>
      </c>
      <c r="D300" s="22" t="s">
        <v>540</v>
      </c>
      <c r="E300" s="323" t="s">
        <v>875</v>
      </c>
      <c r="F300" s="5"/>
      <c r="G300" s="389" t="s">
        <v>83</v>
      </c>
      <c r="H300" s="316" t="s">
        <v>923</v>
      </c>
      <c r="I300" s="5"/>
      <c r="J300" s="5"/>
      <c r="K300" s="14"/>
    </row>
    <row r="301" spans="2:11">
      <c r="B301" s="42">
        <v>123</v>
      </c>
      <c r="C301" s="21" t="s">
        <v>42</v>
      </c>
      <c r="D301" s="22" t="s">
        <v>561</v>
      </c>
      <c r="E301" s="323" t="s">
        <v>875</v>
      </c>
      <c r="F301" s="5"/>
      <c r="G301" s="389" t="s">
        <v>93</v>
      </c>
      <c r="H301" s="316" t="s">
        <v>923</v>
      </c>
      <c r="I301" s="5"/>
      <c r="J301" s="5"/>
      <c r="K301" s="14"/>
    </row>
    <row r="302" spans="2:11">
      <c r="B302" s="42">
        <v>112</v>
      </c>
      <c r="C302" s="21" t="s">
        <v>31</v>
      </c>
      <c r="D302" s="22" t="s">
        <v>539</v>
      </c>
      <c r="E302" s="323" t="s">
        <v>875</v>
      </c>
      <c r="F302" s="5"/>
      <c r="G302" s="389" t="s">
        <v>43</v>
      </c>
      <c r="H302" s="316" t="s">
        <v>923</v>
      </c>
      <c r="I302" s="5"/>
      <c r="J302" s="5"/>
      <c r="K302" s="14"/>
    </row>
    <row r="303" spans="2:11">
      <c r="B303" s="42">
        <v>113</v>
      </c>
      <c r="C303" s="21" t="s">
        <v>32</v>
      </c>
      <c r="D303" s="22" t="s">
        <v>560</v>
      </c>
      <c r="E303" s="323" t="s">
        <v>875</v>
      </c>
      <c r="F303" s="5"/>
      <c r="G303" s="389" t="s">
        <v>53</v>
      </c>
      <c r="H303" s="316" t="s">
        <v>923</v>
      </c>
      <c r="I303" s="5"/>
      <c r="J303" s="5"/>
      <c r="K303" s="14"/>
    </row>
    <row r="304" spans="2:11">
      <c r="B304" s="42">
        <v>141</v>
      </c>
      <c r="C304" s="21" t="s">
        <v>60</v>
      </c>
      <c r="D304" s="22" t="s">
        <v>526</v>
      </c>
      <c r="E304" s="323" t="s">
        <v>875</v>
      </c>
      <c r="F304" s="5"/>
      <c r="G304" s="389" t="s">
        <v>85</v>
      </c>
      <c r="H304" s="316" t="s">
        <v>923</v>
      </c>
      <c r="I304" s="5"/>
      <c r="J304" s="5"/>
      <c r="K304" s="14"/>
    </row>
    <row r="305" spans="2:11">
      <c r="B305" s="42">
        <v>131</v>
      </c>
      <c r="C305" s="21" t="s">
        <v>50</v>
      </c>
      <c r="D305" s="22" t="s">
        <v>525</v>
      </c>
      <c r="E305" s="323" t="s">
        <v>875</v>
      </c>
      <c r="F305" s="5"/>
      <c r="G305" s="389" t="s">
        <v>95</v>
      </c>
      <c r="H305" s="316" t="s">
        <v>923</v>
      </c>
      <c r="I305" s="5"/>
      <c r="J305" s="5"/>
      <c r="K305" s="14"/>
    </row>
    <row r="306" spans="2:11">
      <c r="B306" s="42">
        <v>121</v>
      </c>
      <c r="C306" s="21" t="s">
        <v>40</v>
      </c>
      <c r="D306" s="22" t="s">
        <v>524</v>
      </c>
      <c r="E306" s="323" t="s">
        <v>875</v>
      </c>
      <c r="F306" s="5"/>
      <c r="G306" s="389" t="s">
        <v>45</v>
      </c>
      <c r="H306" s="316" t="s">
        <v>923</v>
      </c>
      <c r="I306" s="5"/>
      <c r="J306" s="5"/>
      <c r="K306" s="14"/>
    </row>
    <row r="307" spans="2:11">
      <c r="B307" s="42">
        <v>111</v>
      </c>
      <c r="C307" s="21" t="s">
        <v>30</v>
      </c>
      <c r="D307" s="22" t="s">
        <v>523</v>
      </c>
      <c r="E307" s="323" t="s">
        <v>875</v>
      </c>
      <c r="F307" s="5"/>
      <c r="G307" s="389" t="s">
        <v>55</v>
      </c>
      <c r="H307" s="316" t="s">
        <v>923</v>
      </c>
      <c r="I307" s="5"/>
      <c r="J307" s="5"/>
      <c r="K307" s="14"/>
    </row>
    <row r="308" spans="2:11">
      <c r="B308" s="42">
        <v>132</v>
      </c>
      <c r="C308" s="21" t="s">
        <v>51</v>
      </c>
      <c r="D308" s="22" t="s">
        <v>541</v>
      </c>
      <c r="E308" s="323" t="s">
        <v>875</v>
      </c>
      <c r="F308" s="5"/>
      <c r="G308" s="389" t="s">
        <v>64</v>
      </c>
      <c r="H308" s="316" t="s">
        <v>923</v>
      </c>
      <c r="I308" s="5"/>
      <c r="J308" s="5"/>
      <c r="K308" s="14"/>
    </row>
    <row r="309" spans="2:11">
      <c r="B309" s="42">
        <v>133</v>
      </c>
      <c r="C309" s="21" t="s">
        <v>52</v>
      </c>
      <c r="D309" s="22" t="s">
        <v>562</v>
      </c>
      <c r="E309" s="323" t="s">
        <v>875</v>
      </c>
      <c r="F309" s="5"/>
      <c r="G309" s="389" t="s">
        <v>74</v>
      </c>
      <c r="H309" s="316" t="s">
        <v>923</v>
      </c>
      <c r="I309" s="5"/>
      <c r="J309" s="5"/>
      <c r="K309" s="14"/>
    </row>
    <row r="310" spans="2:11">
      <c r="B310" s="42">
        <v>124</v>
      </c>
      <c r="C310" s="21" t="s">
        <v>43</v>
      </c>
      <c r="D310" s="327" t="s">
        <v>465</v>
      </c>
      <c r="E310" s="323" t="s">
        <v>875</v>
      </c>
      <c r="F310" s="5"/>
      <c r="G310" s="387" t="s">
        <v>266</v>
      </c>
      <c r="H310" s="5"/>
      <c r="I310" s="5"/>
      <c r="J310" s="5"/>
      <c r="K310" s="14"/>
    </row>
    <row r="311" spans="2:11">
      <c r="B311" s="42">
        <v>125</v>
      </c>
      <c r="C311" s="21" t="s">
        <v>44</v>
      </c>
      <c r="D311" s="327" t="s">
        <v>456</v>
      </c>
      <c r="E311" s="323" t="s">
        <v>875</v>
      </c>
      <c r="F311" s="5"/>
      <c r="G311" s="387" t="s">
        <v>276</v>
      </c>
      <c r="H311" s="5"/>
      <c r="I311" s="5"/>
      <c r="J311" s="5"/>
      <c r="K311" s="14"/>
    </row>
    <row r="312" spans="2:11">
      <c r="B312" s="42">
        <v>162</v>
      </c>
      <c r="C312" s="21" t="s">
        <v>81</v>
      </c>
      <c r="D312" s="22" t="s">
        <v>433</v>
      </c>
      <c r="E312" s="5"/>
      <c r="F312" s="5"/>
      <c r="G312" s="5"/>
      <c r="H312" s="5"/>
      <c r="I312" s="5"/>
      <c r="J312" s="5"/>
      <c r="K312" s="14"/>
    </row>
    <row r="313" spans="2:11">
      <c r="B313" s="42">
        <v>161</v>
      </c>
      <c r="C313" s="21" t="s">
        <v>80</v>
      </c>
      <c r="D313" s="327" t="s">
        <v>327</v>
      </c>
      <c r="E313" s="323" t="s">
        <v>875</v>
      </c>
      <c r="F313" s="323"/>
      <c r="G313" s="388" t="s">
        <v>1040</v>
      </c>
      <c r="H313" s="5"/>
      <c r="I313" s="5"/>
      <c r="J313" s="5"/>
      <c r="K313" s="14"/>
    </row>
    <row r="314" spans="2:11">
      <c r="B314" s="42">
        <v>164</v>
      </c>
      <c r="C314" s="21" t="s">
        <v>83</v>
      </c>
      <c r="D314" s="22" t="s">
        <v>458</v>
      </c>
      <c r="E314" s="5"/>
      <c r="F314" s="5"/>
      <c r="G314" s="5"/>
      <c r="H314" s="5"/>
      <c r="I314" s="5"/>
      <c r="J314" s="5"/>
      <c r="K314" s="14"/>
    </row>
    <row r="315" spans="2:11">
      <c r="B315" s="42">
        <v>163</v>
      </c>
      <c r="C315" s="21" t="s">
        <v>82</v>
      </c>
      <c r="D315" s="327" t="s">
        <v>448</v>
      </c>
      <c r="E315" s="323" t="s">
        <v>875</v>
      </c>
      <c r="F315" s="323"/>
      <c r="G315" s="388" t="s">
        <v>10</v>
      </c>
      <c r="H315" s="5"/>
      <c r="I315" s="5"/>
      <c r="J315" s="5"/>
      <c r="K315" s="14"/>
    </row>
    <row r="316" spans="2:11">
      <c r="B316" s="42">
        <v>181</v>
      </c>
      <c r="C316" s="21" t="s">
        <v>100</v>
      </c>
      <c r="D316" s="22" t="s">
        <v>432</v>
      </c>
      <c r="E316" s="5"/>
      <c r="F316" s="5"/>
      <c r="G316" s="5"/>
      <c r="H316" s="5"/>
      <c r="I316" s="5"/>
      <c r="J316" s="5"/>
      <c r="K316" s="14"/>
    </row>
    <row r="317" spans="2:11">
      <c r="B317" s="42">
        <v>191</v>
      </c>
      <c r="C317" s="21" t="s">
        <v>110</v>
      </c>
      <c r="D317" s="22" t="s">
        <v>432</v>
      </c>
      <c r="E317" s="5"/>
      <c r="F317" s="5"/>
      <c r="G317" s="5"/>
      <c r="H317" s="5"/>
      <c r="I317" s="5"/>
      <c r="J317" s="5"/>
      <c r="K317" s="14"/>
    </row>
    <row r="318" spans="2:11">
      <c r="B318" s="42">
        <v>201</v>
      </c>
      <c r="C318" s="21" t="s">
        <v>120</v>
      </c>
      <c r="D318" s="22" t="s">
        <v>432</v>
      </c>
      <c r="E318" s="5"/>
      <c r="F318" s="5"/>
      <c r="G318" s="5"/>
      <c r="H318" s="5"/>
      <c r="I318" s="5"/>
      <c r="J318" s="5"/>
      <c r="K318" s="14"/>
    </row>
    <row r="319" spans="2:11">
      <c r="B319" s="42">
        <v>211</v>
      </c>
      <c r="C319" s="21" t="s">
        <v>130</v>
      </c>
      <c r="D319" s="22" t="s">
        <v>432</v>
      </c>
      <c r="E319" s="5"/>
      <c r="F319" s="5"/>
      <c r="G319" s="5"/>
      <c r="H319" s="5"/>
      <c r="I319" s="5"/>
      <c r="J319" s="5"/>
      <c r="K319" s="14"/>
    </row>
    <row r="320" spans="2:11">
      <c r="B320" s="42">
        <v>185</v>
      </c>
      <c r="C320" s="21" t="s">
        <v>104</v>
      </c>
      <c r="D320" s="22" t="s">
        <v>432</v>
      </c>
      <c r="E320" s="5"/>
      <c r="F320" s="5"/>
      <c r="G320" s="5"/>
      <c r="H320" s="5"/>
      <c r="I320" s="5"/>
      <c r="J320" s="5"/>
      <c r="K320" s="14"/>
    </row>
    <row r="321" spans="2:11">
      <c r="B321" s="42">
        <v>195</v>
      </c>
      <c r="C321" s="21" t="s">
        <v>114</v>
      </c>
      <c r="D321" s="22" t="s">
        <v>432</v>
      </c>
      <c r="E321" s="5"/>
      <c r="F321" s="5"/>
      <c r="G321" s="5"/>
      <c r="H321" s="5"/>
      <c r="I321" s="5"/>
      <c r="J321" s="5"/>
      <c r="K321" s="14"/>
    </row>
    <row r="322" spans="2:11">
      <c r="B322" s="42">
        <v>205</v>
      </c>
      <c r="C322" s="21" t="s">
        <v>124</v>
      </c>
      <c r="D322" s="22" t="s">
        <v>432</v>
      </c>
      <c r="E322" s="5"/>
      <c r="F322" s="5"/>
      <c r="G322" s="5"/>
      <c r="H322" s="5"/>
      <c r="I322" s="5"/>
      <c r="J322" s="5"/>
      <c r="K322" s="14"/>
    </row>
    <row r="323" spans="2:11">
      <c r="B323" s="42">
        <v>215</v>
      </c>
      <c r="C323" s="21" t="s">
        <v>134</v>
      </c>
      <c r="D323" s="22" t="s">
        <v>432</v>
      </c>
      <c r="E323" s="5"/>
      <c r="F323" s="5"/>
      <c r="G323" s="5"/>
      <c r="H323" s="5"/>
      <c r="I323" s="5"/>
      <c r="J323" s="5"/>
      <c r="K323" s="14"/>
    </row>
    <row r="324" spans="2:11">
      <c r="B324" s="42">
        <v>186</v>
      </c>
      <c r="C324" s="21" t="s">
        <v>105</v>
      </c>
      <c r="D324" s="22" t="s">
        <v>432</v>
      </c>
      <c r="E324" s="5"/>
      <c r="F324" s="5"/>
      <c r="G324" s="5"/>
      <c r="H324" s="5"/>
      <c r="I324" s="5"/>
      <c r="J324" s="5"/>
      <c r="K324" s="14"/>
    </row>
    <row r="325" spans="2:11">
      <c r="B325" s="42">
        <v>196</v>
      </c>
      <c r="C325" s="21" t="s">
        <v>115</v>
      </c>
      <c r="D325" s="22" t="s">
        <v>432</v>
      </c>
      <c r="E325" s="5"/>
      <c r="F325" s="5"/>
      <c r="G325" s="5"/>
      <c r="H325" s="5"/>
      <c r="I325" s="5"/>
      <c r="J325" s="5"/>
      <c r="K325" s="14"/>
    </row>
    <row r="326" spans="2:11">
      <c r="B326" s="42">
        <v>151</v>
      </c>
      <c r="C326" s="21" t="s">
        <v>70</v>
      </c>
      <c r="D326" s="22" t="s">
        <v>326</v>
      </c>
      <c r="E326" s="5"/>
      <c r="F326" s="5"/>
      <c r="G326" s="5"/>
      <c r="H326" s="5"/>
      <c r="I326" s="5"/>
      <c r="J326" s="5"/>
      <c r="K326" s="14"/>
    </row>
    <row r="327" spans="2:11">
      <c r="B327" s="42">
        <v>172</v>
      </c>
      <c r="C327" s="21" t="s">
        <v>91</v>
      </c>
      <c r="D327" s="22" t="s">
        <v>434</v>
      </c>
      <c r="E327" s="5"/>
      <c r="F327" s="5"/>
      <c r="G327" s="5"/>
      <c r="H327" s="5"/>
      <c r="I327" s="5"/>
      <c r="J327" s="5"/>
      <c r="K327" s="14"/>
    </row>
    <row r="328" spans="2:11">
      <c r="B328" s="42">
        <v>171</v>
      </c>
      <c r="C328" s="21" t="s">
        <v>90</v>
      </c>
      <c r="D328" s="22" t="s">
        <v>328</v>
      </c>
      <c r="E328" s="5"/>
      <c r="F328" s="5"/>
      <c r="G328" s="5"/>
      <c r="H328" s="5"/>
      <c r="I328" s="5"/>
      <c r="J328" s="5"/>
      <c r="K328" s="14"/>
    </row>
    <row r="329" spans="2:11">
      <c r="B329" s="42">
        <v>142</v>
      </c>
      <c r="C329" s="21" t="s">
        <v>61</v>
      </c>
      <c r="D329" s="22" t="s">
        <v>329</v>
      </c>
      <c r="E329" s="5"/>
      <c r="F329" s="5"/>
      <c r="G329" s="5"/>
      <c r="H329" s="5"/>
      <c r="I329" s="5"/>
      <c r="J329" s="5"/>
      <c r="K329" s="14"/>
    </row>
    <row r="330" spans="2:11">
      <c r="B330" s="42">
        <v>152</v>
      </c>
      <c r="C330" s="21" t="s">
        <v>71</v>
      </c>
      <c r="D330" s="22" t="s">
        <v>329</v>
      </c>
      <c r="E330" s="5"/>
      <c r="F330" s="5"/>
      <c r="G330" s="5"/>
      <c r="H330" s="5"/>
      <c r="I330" s="5"/>
      <c r="J330" s="5"/>
      <c r="K330" s="14"/>
    </row>
    <row r="331" spans="2:11">
      <c r="B331" s="42">
        <v>143</v>
      </c>
      <c r="C331" s="21" t="s">
        <v>62</v>
      </c>
      <c r="D331" s="22" t="s">
        <v>329</v>
      </c>
      <c r="E331" s="5"/>
      <c r="F331" s="5"/>
      <c r="G331" s="5"/>
      <c r="H331" s="5"/>
      <c r="I331" s="5"/>
      <c r="J331" s="5"/>
      <c r="K331" s="14"/>
    </row>
    <row r="332" spans="2:11">
      <c r="B332" s="42">
        <v>153</v>
      </c>
      <c r="C332" s="21" t="s">
        <v>72</v>
      </c>
      <c r="D332" s="22" t="s">
        <v>329</v>
      </c>
      <c r="E332" s="5"/>
      <c r="F332" s="5"/>
      <c r="G332" s="5"/>
      <c r="H332" s="5"/>
      <c r="I332" s="5"/>
      <c r="J332" s="5"/>
      <c r="K332" s="14"/>
    </row>
    <row r="333" spans="2:11">
      <c r="B333" s="42">
        <v>144</v>
      </c>
      <c r="C333" s="21" t="s">
        <v>63</v>
      </c>
      <c r="D333" s="22" t="s">
        <v>329</v>
      </c>
      <c r="E333" s="5"/>
      <c r="F333" s="5"/>
      <c r="G333" s="5"/>
      <c r="H333" s="5"/>
      <c r="I333" s="5"/>
      <c r="J333" s="5"/>
      <c r="K333" s="14"/>
    </row>
    <row r="334" spans="2:11">
      <c r="B334" s="42">
        <v>154</v>
      </c>
      <c r="C334" s="21" t="s">
        <v>73</v>
      </c>
      <c r="D334" s="22" t="s">
        <v>329</v>
      </c>
      <c r="E334" s="5"/>
      <c r="F334" s="5"/>
      <c r="G334" s="5"/>
      <c r="H334" s="5"/>
      <c r="I334" s="5"/>
      <c r="J334" s="5"/>
      <c r="K334" s="14"/>
    </row>
    <row r="335" spans="2:11">
      <c r="B335" s="42">
        <v>145</v>
      </c>
      <c r="C335" s="21" t="s">
        <v>64</v>
      </c>
      <c r="D335" s="22" t="s">
        <v>329</v>
      </c>
      <c r="E335" s="5"/>
      <c r="F335" s="5"/>
      <c r="G335" s="5"/>
      <c r="H335" s="5"/>
      <c r="I335" s="5"/>
      <c r="J335" s="5"/>
      <c r="K335" s="14"/>
    </row>
    <row r="336" spans="2:11">
      <c r="B336" s="42">
        <v>155</v>
      </c>
      <c r="C336" s="21" t="s">
        <v>74</v>
      </c>
      <c r="D336" s="22" t="s">
        <v>329</v>
      </c>
      <c r="E336" s="5"/>
      <c r="F336" s="5"/>
      <c r="G336" s="5"/>
      <c r="H336" s="5"/>
      <c r="I336" s="5"/>
      <c r="J336" s="5"/>
      <c r="K336" s="14"/>
    </row>
    <row r="337" spans="2:11">
      <c r="B337" s="42">
        <v>165</v>
      </c>
      <c r="C337" s="21" t="s">
        <v>84</v>
      </c>
      <c r="D337" s="22" t="s">
        <v>329</v>
      </c>
      <c r="E337" s="5"/>
      <c r="F337" s="5"/>
      <c r="G337" s="5"/>
      <c r="H337" s="5"/>
      <c r="I337" s="5"/>
      <c r="J337" s="5"/>
      <c r="K337" s="14"/>
    </row>
    <row r="338" spans="2:11">
      <c r="B338" s="42">
        <v>146</v>
      </c>
      <c r="C338" s="21" t="s">
        <v>65</v>
      </c>
      <c r="D338" s="22" t="s">
        <v>329</v>
      </c>
      <c r="E338" s="5"/>
      <c r="F338" s="5"/>
      <c r="G338" s="5"/>
      <c r="H338" s="5"/>
      <c r="I338" s="5"/>
      <c r="J338" s="5"/>
      <c r="K338" s="14"/>
    </row>
    <row r="339" spans="2:11">
      <c r="B339" s="42">
        <v>156</v>
      </c>
      <c r="C339" s="21" t="s">
        <v>75</v>
      </c>
      <c r="D339" s="22" t="s">
        <v>329</v>
      </c>
      <c r="E339" s="5"/>
      <c r="F339" s="5"/>
      <c r="G339" s="5"/>
      <c r="H339" s="5"/>
      <c r="I339" s="5"/>
      <c r="J339" s="5"/>
      <c r="K339" s="14"/>
    </row>
    <row r="340" spans="2:11">
      <c r="B340" s="42">
        <v>166</v>
      </c>
      <c r="C340" s="21" t="s">
        <v>85</v>
      </c>
      <c r="D340" s="22" t="s">
        <v>329</v>
      </c>
      <c r="E340" s="5"/>
      <c r="F340" s="5"/>
      <c r="G340" s="5"/>
      <c r="H340" s="5"/>
      <c r="I340" s="5"/>
      <c r="J340" s="5"/>
      <c r="K340" s="14"/>
    </row>
    <row r="341" spans="2:11">
      <c r="B341" s="42">
        <v>212</v>
      </c>
      <c r="C341" s="21" t="s">
        <v>131</v>
      </c>
      <c r="D341" s="22" t="s">
        <v>436</v>
      </c>
      <c r="E341" s="5"/>
      <c r="F341" s="5"/>
      <c r="G341" s="5"/>
      <c r="H341" s="5"/>
      <c r="I341" s="5"/>
      <c r="J341" s="5"/>
      <c r="K341" s="14"/>
    </row>
    <row r="342" spans="2:11">
      <c r="B342" s="42">
        <v>202</v>
      </c>
      <c r="C342" s="21" t="s">
        <v>121</v>
      </c>
      <c r="D342" s="327" t="s">
        <v>435</v>
      </c>
      <c r="E342" s="323" t="s">
        <v>875</v>
      </c>
      <c r="F342" s="5"/>
      <c r="G342" s="387" t="s">
        <v>1039</v>
      </c>
      <c r="H342" s="5"/>
      <c r="I342" s="5"/>
      <c r="J342" s="5"/>
      <c r="K342" s="14"/>
    </row>
    <row r="343" spans="2:11">
      <c r="B343" s="42">
        <v>174</v>
      </c>
      <c r="C343" s="21" t="s">
        <v>93</v>
      </c>
      <c r="D343" s="327" t="s">
        <v>459</v>
      </c>
      <c r="E343" s="323" t="s">
        <v>875</v>
      </c>
      <c r="F343" s="5"/>
      <c r="G343" s="387" t="s">
        <v>972</v>
      </c>
      <c r="H343" s="5"/>
      <c r="I343" s="5"/>
      <c r="J343" s="5"/>
      <c r="K343" s="14"/>
    </row>
    <row r="344" spans="2:11">
      <c r="B344" s="42">
        <v>173</v>
      </c>
      <c r="C344" s="21" t="s">
        <v>92</v>
      </c>
      <c r="D344" s="327" t="s">
        <v>449</v>
      </c>
      <c r="E344" s="323" t="s">
        <v>875</v>
      </c>
      <c r="F344" s="5"/>
      <c r="G344" s="387" t="s">
        <v>973</v>
      </c>
      <c r="H344" s="5"/>
      <c r="I344" s="5"/>
      <c r="J344" s="5"/>
      <c r="K344" s="14"/>
    </row>
    <row r="345" spans="2:11">
      <c r="B345" s="42">
        <v>135</v>
      </c>
      <c r="C345" s="21" t="s">
        <v>54</v>
      </c>
      <c r="D345" s="327" t="s">
        <v>457</v>
      </c>
      <c r="E345" s="323" t="s">
        <v>875</v>
      </c>
      <c r="F345" s="5"/>
      <c r="G345" s="320" t="s">
        <v>317</v>
      </c>
      <c r="H345" s="5"/>
      <c r="I345" s="5"/>
      <c r="J345" s="5"/>
      <c r="K345" s="14"/>
    </row>
    <row r="346" spans="2:11">
      <c r="B346" s="42">
        <v>134</v>
      </c>
      <c r="C346" s="21" t="s">
        <v>53</v>
      </c>
      <c r="D346" s="327" t="s">
        <v>466</v>
      </c>
      <c r="E346" s="323" t="s">
        <v>875</v>
      </c>
      <c r="F346" s="5"/>
      <c r="G346" s="387" t="s">
        <v>287</v>
      </c>
      <c r="H346" s="5"/>
      <c r="I346" s="5"/>
      <c r="J346" s="5"/>
      <c r="K346" s="14"/>
    </row>
    <row r="347" spans="2:11">
      <c r="B347" s="213">
        <v>332</v>
      </c>
      <c r="C347" s="214" t="s">
        <v>251</v>
      </c>
      <c r="D347" s="215" t="s">
        <v>549</v>
      </c>
      <c r="E347" s="199"/>
      <c r="F347" s="216"/>
      <c r="G347" s="216"/>
      <c r="H347" s="199"/>
      <c r="I347" s="216"/>
      <c r="J347" s="216"/>
      <c r="K347" s="217"/>
    </row>
    <row r="348" spans="2:11">
      <c r="B348" s="213">
        <v>331</v>
      </c>
      <c r="C348" s="214" t="s">
        <v>250</v>
      </c>
      <c r="D348" s="215" t="s">
        <v>529</v>
      </c>
      <c r="E348" s="199"/>
      <c r="F348" s="216"/>
      <c r="G348" s="216"/>
      <c r="H348" s="199"/>
      <c r="I348" s="216"/>
      <c r="J348" s="216"/>
      <c r="K348" s="217"/>
    </row>
    <row r="349" spans="2:11">
      <c r="B349" s="213">
        <v>322</v>
      </c>
      <c r="C349" s="214" t="s">
        <v>241</v>
      </c>
      <c r="D349" s="215" t="s">
        <v>548</v>
      </c>
      <c r="E349" s="199"/>
      <c r="F349" s="216"/>
      <c r="G349" s="216"/>
      <c r="H349" s="199"/>
      <c r="I349" s="216"/>
      <c r="J349" s="216"/>
      <c r="K349" s="217"/>
    </row>
    <row r="350" spans="2:11">
      <c r="B350" s="213">
        <v>321</v>
      </c>
      <c r="C350" s="214" t="s">
        <v>240</v>
      </c>
      <c r="D350" s="215" t="s">
        <v>528</v>
      </c>
      <c r="E350" s="199"/>
      <c r="F350" s="216"/>
      <c r="G350" s="216"/>
      <c r="H350" s="199"/>
      <c r="I350" s="216"/>
      <c r="J350" s="216"/>
      <c r="K350" s="217"/>
    </row>
    <row r="351" spans="2:11">
      <c r="B351" s="213">
        <v>312</v>
      </c>
      <c r="C351" s="214" t="s">
        <v>231</v>
      </c>
      <c r="D351" s="215" t="s">
        <v>547</v>
      </c>
      <c r="E351" s="199"/>
      <c r="F351" s="216"/>
      <c r="G351" s="216"/>
      <c r="H351" s="199"/>
      <c r="I351" s="216"/>
      <c r="J351" s="216"/>
      <c r="K351" s="217"/>
    </row>
    <row r="352" spans="2:11">
      <c r="B352" s="213">
        <v>311</v>
      </c>
      <c r="C352" s="214" t="s">
        <v>230</v>
      </c>
      <c r="D352" s="215" t="s">
        <v>527</v>
      </c>
      <c r="E352" s="199"/>
      <c r="F352" s="216"/>
      <c r="G352" s="216"/>
      <c r="H352" s="199"/>
      <c r="I352" s="216"/>
      <c r="J352" s="216"/>
      <c r="K352" s="217"/>
    </row>
    <row r="353" spans="2:11">
      <c r="B353" s="213">
        <v>313</v>
      </c>
      <c r="C353" s="214" t="s">
        <v>232</v>
      </c>
      <c r="D353" s="215" t="s">
        <v>572</v>
      </c>
      <c r="E353" s="199"/>
      <c r="F353" s="216"/>
      <c r="G353" s="216"/>
      <c r="H353" s="199"/>
      <c r="I353" s="216"/>
      <c r="J353" s="216"/>
      <c r="K353" s="217"/>
    </row>
    <row r="354" spans="2:11">
      <c r="B354" s="213">
        <v>323</v>
      </c>
      <c r="C354" s="214" t="s">
        <v>242</v>
      </c>
      <c r="D354" s="215" t="s">
        <v>573</v>
      </c>
      <c r="E354" s="199"/>
      <c r="F354" s="216"/>
      <c r="G354" s="216"/>
      <c r="H354" s="199"/>
      <c r="I354" s="216"/>
      <c r="J354" s="216"/>
      <c r="K354" s="217"/>
    </row>
    <row r="355" spans="2:11">
      <c r="B355" s="213">
        <v>303</v>
      </c>
      <c r="C355" s="214" t="s">
        <v>222</v>
      </c>
      <c r="D355" s="215" t="s">
        <v>571</v>
      </c>
      <c r="E355" s="199"/>
      <c r="F355" s="216"/>
      <c r="G355" s="216"/>
      <c r="H355" s="199"/>
      <c r="I355" s="216"/>
      <c r="J355" s="216"/>
      <c r="K355" s="217"/>
    </row>
    <row r="356" spans="2:11">
      <c r="B356" s="213">
        <v>293</v>
      </c>
      <c r="C356" s="214" t="s">
        <v>212</v>
      </c>
      <c r="D356" s="215" t="s">
        <v>570</v>
      </c>
      <c r="E356" s="199"/>
      <c r="F356" s="216"/>
      <c r="G356" s="216"/>
      <c r="H356" s="199"/>
      <c r="I356" s="216"/>
      <c r="J356" s="216"/>
      <c r="K356" s="217"/>
    </row>
    <row r="357" spans="2:11">
      <c r="B357" s="213">
        <v>324</v>
      </c>
      <c r="C357" s="214" t="s">
        <v>243</v>
      </c>
      <c r="D357" s="215" t="s">
        <v>594</v>
      </c>
      <c r="E357" s="199"/>
      <c r="F357" s="216"/>
      <c r="G357" s="216"/>
      <c r="H357" s="199"/>
      <c r="I357" s="216"/>
      <c r="J357" s="216"/>
      <c r="K357" s="217"/>
    </row>
    <row r="358" spans="2:11">
      <c r="B358" s="213">
        <v>314</v>
      </c>
      <c r="C358" s="214" t="s">
        <v>233</v>
      </c>
      <c r="D358" s="215" t="s">
        <v>593</v>
      </c>
      <c r="E358" s="199"/>
      <c r="F358" s="216"/>
      <c r="G358" s="216"/>
      <c r="H358" s="199"/>
      <c r="I358" s="216"/>
      <c r="J358" s="216"/>
      <c r="K358" s="217"/>
    </row>
    <row r="359" spans="2:11">
      <c r="B359" s="213">
        <v>244</v>
      </c>
      <c r="C359" s="214" t="s">
        <v>163</v>
      </c>
      <c r="D359" s="215" t="s">
        <v>592</v>
      </c>
      <c r="E359" s="199"/>
      <c r="F359" s="216"/>
      <c r="G359" s="216"/>
      <c r="H359" s="199"/>
      <c r="I359" s="216"/>
      <c r="J359" s="216"/>
      <c r="K359" s="217"/>
    </row>
    <row r="360" spans="2:11">
      <c r="B360" s="213">
        <v>245</v>
      </c>
      <c r="C360" s="214" t="s">
        <v>164</v>
      </c>
      <c r="D360" s="215" t="s">
        <v>607</v>
      </c>
      <c r="E360" s="199"/>
      <c r="F360" s="216"/>
      <c r="G360" s="216"/>
      <c r="H360" s="199"/>
      <c r="I360" s="216"/>
      <c r="J360" s="216"/>
      <c r="K360" s="217"/>
    </row>
    <row r="361" spans="2:11">
      <c r="B361" s="213">
        <v>234</v>
      </c>
      <c r="C361" s="214" t="s">
        <v>153</v>
      </c>
      <c r="D361" s="215" t="s">
        <v>591</v>
      </c>
      <c r="E361" s="199"/>
      <c r="F361" s="216"/>
      <c r="G361" s="216"/>
      <c r="H361" s="199"/>
      <c r="I361" s="216"/>
      <c r="J361" s="216"/>
      <c r="K361" s="217"/>
    </row>
    <row r="362" spans="2:11">
      <c r="B362" s="213">
        <v>235</v>
      </c>
      <c r="C362" s="214" t="s">
        <v>154</v>
      </c>
      <c r="D362" s="215" t="s">
        <v>606</v>
      </c>
      <c r="E362" s="199"/>
      <c r="F362" s="216"/>
      <c r="G362" s="216"/>
      <c r="H362" s="199"/>
      <c r="I362" s="216"/>
      <c r="J362" s="216"/>
      <c r="K362" s="217"/>
    </row>
    <row r="363" spans="2:11">
      <c r="B363" s="213">
        <v>224</v>
      </c>
      <c r="C363" s="214" t="s">
        <v>143</v>
      </c>
      <c r="D363" s="215" t="s">
        <v>590</v>
      </c>
      <c r="E363" s="199"/>
      <c r="F363" s="216"/>
      <c r="G363" s="216"/>
      <c r="H363" s="199"/>
      <c r="I363" s="216"/>
      <c r="J363" s="216"/>
      <c r="K363" s="217"/>
    </row>
    <row r="364" spans="2:11">
      <c r="B364" s="213">
        <v>225</v>
      </c>
      <c r="C364" s="214" t="s">
        <v>144</v>
      </c>
      <c r="D364" s="215" t="s">
        <v>605</v>
      </c>
      <c r="E364" s="199"/>
      <c r="F364" s="216"/>
      <c r="G364" s="216"/>
      <c r="H364" s="199"/>
      <c r="I364" s="216"/>
      <c r="J364" s="216"/>
      <c r="K364" s="217"/>
    </row>
    <row r="365" spans="2:11">
      <c r="B365" s="213">
        <v>252</v>
      </c>
      <c r="C365" s="214" t="s">
        <v>171</v>
      </c>
      <c r="D365" s="215" t="s">
        <v>546</v>
      </c>
      <c r="E365" s="199"/>
      <c r="F365" s="216"/>
      <c r="G365" s="216"/>
      <c r="H365" s="199"/>
      <c r="I365" s="216"/>
      <c r="J365" s="216"/>
      <c r="K365" s="217"/>
    </row>
    <row r="366" spans="2:11">
      <c r="B366" s="213">
        <v>253</v>
      </c>
      <c r="C366" s="214" t="s">
        <v>172</v>
      </c>
      <c r="D366" s="215" t="s">
        <v>569</v>
      </c>
      <c r="E366" s="199"/>
      <c r="F366" s="216"/>
      <c r="G366" s="216"/>
      <c r="H366" s="199"/>
      <c r="I366" s="216"/>
      <c r="J366" s="216"/>
      <c r="K366" s="217"/>
    </row>
    <row r="367" spans="2:11">
      <c r="B367" s="213">
        <v>242</v>
      </c>
      <c r="C367" s="214" t="s">
        <v>161</v>
      </c>
      <c r="D367" s="215" t="s">
        <v>545</v>
      </c>
      <c r="E367" s="199"/>
      <c r="F367" s="216"/>
      <c r="G367" s="216"/>
      <c r="H367" s="199"/>
      <c r="I367" s="216"/>
      <c r="J367" s="216"/>
      <c r="K367" s="217"/>
    </row>
    <row r="368" spans="2:11">
      <c r="B368" s="213">
        <v>243</v>
      </c>
      <c r="C368" s="214" t="s">
        <v>162</v>
      </c>
      <c r="D368" s="215" t="s">
        <v>568</v>
      </c>
      <c r="E368" s="199"/>
      <c r="F368" s="216"/>
      <c r="G368" s="216"/>
      <c r="H368" s="199"/>
      <c r="I368" s="216"/>
      <c r="J368" s="216"/>
      <c r="K368" s="217"/>
    </row>
    <row r="369" spans="2:11">
      <c r="B369" s="213">
        <v>222</v>
      </c>
      <c r="C369" s="214" t="s">
        <v>141</v>
      </c>
      <c r="D369" s="215" t="s">
        <v>544</v>
      </c>
      <c r="E369" s="199"/>
      <c r="F369" s="216"/>
      <c r="G369" s="216"/>
      <c r="H369" s="199"/>
      <c r="I369" s="216"/>
      <c r="J369" s="216"/>
      <c r="K369" s="217"/>
    </row>
    <row r="370" spans="2:11">
      <c r="B370" s="213">
        <v>223</v>
      </c>
      <c r="C370" s="214" t="s">
        <v>142</v>
      </c>
      <c r="D370" s="215" t="s">
        <v>567</v>
      </c>
      <c r="E370" s="199"/>
      <c r="F370" s="216"/>
      <c r="G370" s="216"/>
      <c r="H370" s="199"/>
      <c r="I370" s="216"/>
      <c r="J370" s="216"/>
      <c r="K370" s="217"/>
    </row>
    <row r="371" spans="2:11">
      <c r="B371" s="213">
        <v>254</v>
      </c>
      <c r="C371" s="214" t="s">
        <v>173</v>
      </c>
      <c r="D371" s="215" t="s">
        <v>460</v>
      </c>
      <c r="E371" s="199"/>
      <c r="F371" s="216"/>
      <c r="G371" s="216"/>
      <c r="H371" s="199"/>
      <c r="I371" s="216"/>
      <c r="J371" s="216"/>
      <c r="K371" s="217"/>
    </row>
    <row r="372" spans="2:11">
      <c r="B372" s="213">
        <v>255</v>
      </c>
      <c r="C372" s="214" t="s">
        <v>174</v>
      </c>
      <c r="D372" s="215" t="s">
        <v>467</v>
      </c>
      <c r="E372" s="199"/>
      <c r="F372" s="216"/>
      <c r="G372" s="216"/>
      <c r="H372" s="199"/>
      <c r="I372" s="216"/>
      <c r="J372" s="216"/>
      <c r="K372" s="217"/>
    </row>
    <row r="373" spans="2:11">
      <c r="B373" s="213">
        <v>275</v>
      </c>
      <c r="C373" s="214" t="s">
        <v>194</v>
      </c>
      <c r="D373" s="215" t="s">
        <v>468</v>
      </c>
      <c r="E373" s="199"/>
      <c r="F373" s="216"/>
      <c r="G373" s="216"/>
      <c r="H373" s="199"/>
      <c r="I373" s="216"/>
      <c r="J373" s="216"/>
      <c r="K373" s="217"/>
    </row>
    <row r="374" spans="2:11">
      <c r="B374" s="213">
        <v>274</v>
      </c>
      <c r="C374" s="214" t="s">
        <v>193</v>
      </c>
      <c r="D374" s="215" t="s">
        <v>461</v>
      </c>
      <c r="E374" s="199"/>
      <c r="F374" s="216"/>
      <c r="G374" s="216"/>
      <c r="H374" s="199"/>
      <c r="I374" s="216"/>
      <c r="J374" s="216"/>
      <c r="K374" s="217"/>
    </row>
    <row r="375" spans="2:11">
      <c r="B375" s="213">
        <v>272</v>
      </c>
      <c r="C375" s="214" t="s">
        <v>191</v>
      </c>
      <c r="D375" s="215" t="s">
        <v>438</v>
      </c>
      <c r="E375" s="199"/>
      <c r="F375" s="216"/>
      <c r="G375" s="216"/>
      <c r="H375" s="199"/>
      <c r="I375" s="216"/>
      <c r="J375" s="216"/>
      <c r="K375" s="217"/>
    </row>
    <row r="376" spans="2:11">
      <c r="B376" s="213">
        <v>273</v>
      </c>
      <c r="C376" s="214" t="s">
        <v>192</v>
      </c>
      <c r="D376" s="215" t="s">
        <v>451</v>
      </c>
      <c r="E376" s="199"/>
      <c r="F376" s="216"/>
      <c r="G376" s="216"/>
      <c r="H376" s="199"/>
      <c r="I376" s="216"/>
      <c r="J376" s="216"/>
      <c r="K376" s="217"/>
    </row>
    <row r="377" spans="2:11">
      <c r="B377" s="213">
        <v>291</v>
      </c>
      <c r="C377" s="214" t="s">
        <v>210</v>
      </c>
      <c r="D377" s="215" t="s">
        <v>330</v>
      </c>
      <c r="E377" s="199"/>
      <c r="F377" s="216"/>
      <c r="G377" s="216"/>
      <c r="H377" s="199"/>
      <c r="I377" s="216"/>
      <c r="J377" s="216"/>
      <c r="K377" s="217"/>
    </row>
    <row r="378" spans="2:11">
      <c r="B378" s="213">
        <v>292</v>
      </c>
      <c r="C378" s="214" t="s">
        <v>211</v>
      </c>
      <c r="D378" s="215" t="s">
        <v>330</v>
      </c>
      <c r="E378" s="199"/>
      <c r="F378" s="216"/>
      <c r="G378" s="216"/>
      <c r="H378" s="199"/>
      <c r="I378" s="216"/>
      <c r="J378" s="216"/>
      <c r="K378" s="217"/>
    </row>
    <row r="379" spans="2:11">
      <c r="B379" s="213">
        <v>295</v>
      </c>
      <c r="C379" s="214" t="s">
        <v>214</v>
      </c>
      <c r="D379" s="215" t="s">
        <v>330</v>
      </c>
      <c r="E379" s="199"/>
      <c r="F379" s="216"/>
      <c r="G379" s="216"/>
      <c r="H379" s="199"/>
      <c r="I379" s="216"/>
      <c r="J379" s="216"/>
      <c r="K379" s="217"/>
    </row>
    <row r="380" spans="2:11">
      <c r="B380" s="213">
        <v>305</v>
      </c>
      <c r="C380" s="214" t="s">
        <v>224</v>
      </c>
      <c r="D380" s="215" t="s">
        <v>330</v>
      </c>
      <c r="E380" s="199"/>
      <c r="F380" s="216"/>
      <c r="G380" s="216"/>
      <c r="H380" s="199"/>
      <c r="I380" s="216"/>
      <c r="J380" s="216"/>
      <c r="K380" s="217"/>
    </row>
    <row r="381" spans="2:11">
      <c r="B381" s="213">
        <v>315</v>
      </c>
      <c r="C381" s="214" t="s">
        <v>234</v>
      </c>
      <c r="D381" s="215" t="s">
        <v>330</v>
      </c>
      <c r="E381" s="199"/>
      <c r="F381" s="216"/>
      <c r="G381" s="216"/>
      <c r="H381" s="199"/>
      <c r="I381" s="216"/>
      <c r="J381" s="216"/>
      <c r="K381" s="217"/>
    </row>
    <row r="382" spans="2:11">
      <c r="B382" s="213">
        <v>325</v>
      </c>
      <c r="C382" s="214" t="s">
        <v>244</v>
      </c>
      <c r="D382" s="215" t="s">
        <v>330</v>
      </c>
      <c r="E382" s="199"/>
      <c r="F382" s="216"/>
      <c r="G382" s="216"/>
      <c r="H382" s="199"/>
      <c r="I382" s="216"/>
      <c r="J382" s="216"/>
      <c r="K382" s="217"/>
    </row>
    <row r="383" spans="2:11">
      <c r="B383" s="213">
        <v>261</v>
      </c>
      <c r="C383" s="214" t="s">
        <v>180</v>
      </c>
      <c r="D383" s="215" t="s">
        <v>331</v>
      </c>
      <c r="E383" s="199"/>
      <c r="F383" s="216"/>
      <c r="G383" s="216"/>
      <c r="H383" s="199"/>
      <c r="I383" s="216"/>
      <c r="J383" s="216"/>
      <c r="K383" s="217"/>
    </row>
    <row r="384" spans="2:11">
      <c r="B384" s="213">
        <v>281</v>
      </c>
      <c r="C384" s="214" t="s">
        <v>200</v>
      </c>
      <c r="D384" s="215" t="s">
        <v>333</v>
      </c>
      <c r="E384" s="199"/>
      <c r="F384" s="216"/>
      <c r="G384" s="216"/>
      <c r="H384" s="199"/>
      <c r="I384" s="216"/>
      <c r="J384" s="216"/>
      <c r="K384" s="217"/>
    </row>
    <row r="385" spans="2:11">
      <c r="B385" s="213">
        <v>271</v>
      </c>
      <c r="C385" s="214" t="s">
        <v>190</v>
      </c>
      <c r="D385" s="215" t="s">
        <v>332</v>
      </c>
      <c r="E385" s="199"/>
      <c r="F385" s="216"/>
      <c r="G385" s="216"/>
      <c r="H385" s="199"/>
      <c r="I385" s="216"/>
      <c r="J385" s="216"/>
      <c r="K385" s="217"/>
    </row>
    <row r="386" spans="2:11">
      <c r="B386" s="213">
        <v>221</v>
      </c>
      <c r="C386" s="214" t="s">
        <v>140</v>
      </c>
      <c r="D386" s="215" t="s">
        <v>334</v>
      </c>
      <c r="E386" s="199"/>
      <c r="F386" s="216"/>
      <c r="G386" s="216"/>
      <c r="H386" s="199"/>
      <c r="I386" s="216"/>
      <c r="J386" s="216"/>
      <c r="K386" s="217"/>
    </row>
    <row r="387" spans="2:11">
      <c r="B387" s="213">
        <v>231</v>
      </c>
      <c r="C387" s="214" t="s">
        <v>150</v>
      </c>
      <c r="D387" s="215" t="s">
        <v>334</v>
      </c>
      <c r="E387" s="199"/>
      <c r="F387" s="216"/>
      <c r="G387" s="216"/>
      <c r="H387" s="199"/>
      <c r="I387" s="216"/>
      <c r="J387" s="216"/>
      <c r="K387" s="217"/>
    </row>
    <row r="388" spans="2:11">
      <c r="B388" s="213">
        <v>241</v>
      </c>
      <c r="C388" s="214" t="s">
        <v>160</v>
      </c>
      <c r="D388" s="215" t="s">
        <v>334</v>
      </c>
      <c r="E388" s="199"/>
      <c r="F388" s="216"/>
      <c r="G388" s="216"/>
      <c r="H388" s="199"/>
      <c r="I388" s="216"/>
      <c r="J388" s="216"/>
      <c r="K388" s="217"/>
    </row>
    <row r="389" spans="2:11">
      <c r="B389" s="213">
        <v>251</v>
      </c>
      <c r="C389" s="214" t="s">
        <v>170</v>
      </c>
      <c r="D389" s="215" t="s">
        <v>334</v>
      </c>
      <c r="E389" s="199"/>
      <c r="F389" s="216"/>
      <c r="G389" s="216"/>
      <c r="H389" s="199"/>
      <c r="I389" s="216"/>
      <c r="J389" s="216"/>
      <c r="K389" s="217"/>
    </row>
    <row r="390" spans="2:11">
      <c r="B390" s="213">
        <v>262</v>
      </c>
      <c r="C390" s="214" t="s">
        <v>181</v>
      </c>
      <c r="D390" s="215" t="s">
        <v>334</v>
      </c>
      <c r="E390" s="199"/>
      <c r="F390" s="216"/>
      <c r="G390" s="216"/>
      <c r="H390" s="199"/>
      <c r="I390" s="216"/>
      <c r="J390" s="216"/>
      <c r="K390" s="217"/>
    </row>
    <row r="391" spans="2:11">
      <c r="B391" s="213">
        <v>263</v>
      </c>
      <c r="C391" s="214" t="s">
        <v>182</v>
      </c>
      <c r="D391" s="215" t="s">
        <v>334</v>
      </c>
      <c r="E391" s="199"/>
      <c r="F391" s="216"/>
      <c r="G391" s="216"/>
      <c r="H391" s="199"/>
      <c r="I391" s="216"/>
      <c r="J391" s="216"/>
      <c r="K391" s="217"/>
    </row>
    <row r="392" spans="2:11">
      <c r="B392" s="213">
        <v>264</v>
      </c>
      <c r="C392" s="214" t="s">
        <v>183</v>
      </c>
      <c r="D392" s="215" t="s">
        <v>334</v>
      </c>
      <c r="E392" s="199"/>
      <c r="F392" s="216"/>
      <c r="G392" s="216"/>
      <c r="H392" s="199"/>
      <c r="I392" s="216"/>
      <c r="J392" s="216"/>
      <c r="K392" s="217"/>
    </row>
    <row r="393" spans="2:11">
      <c r="B393" s="213">
        <v>265</v>
      </c>
      <c r="C393" s="214" t="s">
        <v>184</v>
      </c>
      <c r="D393" s="215" t="s">
        <v>334</v>
      </c>
      <c r="E393" s="199"/>
      <c r="F393" s="216"/>
      <c r="G393" s="216"/>
      <c r="H393" s="199"/>
      <c r="I393" s="216"/>
      <c r="J393" s="216"/>
      <c r="K393" s="217"/>
    </row>
    <row r="394" spans="2:11">
      <c r="B394" s="213">
        <v>302</v>
      </c>
      <c r="C394" s="214" t="s">
        <v>221</v>
      </c>
      <c r="D394" s="215" t="s">
        <v>439</v>
      </c>
      <c r="E394" s="199"/>
      <c r="F394" s="216"/>
      <c r="G394" s="216"/>
      <c r="H394" s="199"/>
      <c r="I394" s="216"/>
      <c r="J394" s="216"/>
      <c r="K394" s="217"/>
    </row>
    <row r="395" spans="2:11">
      <c r="B395" s="213">
        <v>301</v>
      </c>
      <c r="C395" s="214" t="s">
        <v>220</v>
      </c>
      <c r="D395" s="215" t="s">
        <v>335</v>
      </c>
      <c r="E395" s="199"/>
      <c r="F395" s="216"/>
      <c r="G395" s="216"/>
      <c r="H395" s="199"/>
      <c r="I395" s="216"/>
      <c r="J395" s="216"/>
      <c r="K395" s="217"/>
    </row>
    <row r="396" spans="2:11">
      <c r="B396" s="213">
        <v>304</v>
      </c>
      <c r="C396" s="214" t="s">
        <v>223</v>
      </c>
      <c r="D396" s="215" t="s">
        <v>463</v>
      </c>
      <c r="E396" s="199"/>
      <c r="F396" s="216"/>
      <c r="G396" s="216"/>
      <c r="H396" s="199"/>
      <c r="I396" s="216"/>
      <c r="J396" s="216"/>
      <c r="K396" s="217"/>
    </row>
    <row r="397" spans="2:11">
      <c r="B397" s="213">
        <v>294</v>
      </c>
      <c r="C397" s="214" t="s">
        <v>213</v>
      </c>
      <c r="D397" s="215" t="s">
        <v>462</v>
      </c>
      <c r="E397" s="199"/>
      <c r="F397" s="216"/>
      <c r="G397" s="216"/>
      <c r="H397" s="199"/>
      <c r="I397" s="216"/>
      <c r="J397" s="216"/>
      <c r="K397" s="217"/>
    </row>
    <row r="398" spans="2:11">
      <c r="B398" s="213">
        <v>232</v>
      </c>
      <c r="C398" s="214" t="s">
        <v>151</v>
      </c>
      <c r="D398" s="215" t="s">
        <v>450</v>
      </c>
      <c r="E398" s="199"/>
      <c r="F398" s="216"/>
      <c r="G398" s="216"/>
      <c r="H398" s="199"/>
      <c r="I398" s="216"/>
      <c r="J398" s="216"/>
      <c r="K398" s="217"/>
    </row>
    <row r="399" spans="2:11">
      <c r="B399" s="213">
        <v>233</v>
      </c>
      <c r="C399" s="214" t="s">
        <v>152</v>
      </c>
      <c r="D399" s="215" t="s">
        <v>437</v>
      </c>
      <c r="E399" s="199"/>
      <c r="F399" s="216"/>
      <c r="G399" s="216"/>
      <c r="H399" s="199"/>
      <c r="I399" s="216"/>
      <c r="J399" s="216"/>
      <c r="K399" s="217"/>
    </row>
    <row r="400" spans="2:11">
      <c r="B400" s="213">
        <v>282</v>
      </c>
      <c r="C400" s="214" t="s">
        <v>201</v>
      </c>
      <c r="D400" s="267" t="s">
        <v>454</v>
      </c>
      <c r="E400" s="199"/>
      <c r="F400" s="216"/>
      <c r="G400" s="216"/>
      <c r="H400" s="199"/>
      <c r="I400" s="216"/>
      <c r="J400" s="216"/>
      <c r="K400" s="217"/>
    </row>
    <row r="401" spans="2:11">
      <c r="B401" s="213">
        <v>283</v>
      </c>
      <c r="C401" s="214" t="s">
        <v>202</v>
      </c>
      <c r="D401" s="267" t="s">
        <v>454</v>
      </c>
      <c r="E401" s="199"/>
      <c r="F401" s="216"/>
      <c r="G401" s="216"/>
      <c r="H401" s="199"/>
      <c r="I401" s="216"/>
      <c r="J401" s="216"/>
      <c r="K401" s="217"/>
    </row>
    <row r="402" spans="2:11">
      <c r="B402" s="213">
        <v>284</v>
      </c>
      <c r="C402" s="214" t="s">
        <v>203</v>
      </c>
      <c r="D402" s="267" t="s">
        <v>454</v>
      </c>
      <c r="E402" s="199"/>
      <c r="F402" s="216"/>
      <c r="G402" s="216"/>
      <c r="H402" s="199"/>
      <c r="I402" s="216"/>
      <c r="J402" s="216"/>
      <c r="K402" s="217"/>
    </row>
    <row r="403" spans="2:11">
      <c r="B403" s="213">
        <v>285</v>
      </c>
      <c r="C403" s="214" t="s">
        <v>204</v>
      </c>
      <c r="D403" s="267" t="s">
        <v>454</v>
      </c>
      <c r="E403" s="199"/>
      <c r="F403" s="216"/>
      <c r="G403" s="216"/>
      <c r="H403" s="199"/>
      <c r="I403" s="216"/>
      <c r="J403" s="216"/>
      <c r="K403" s="217"/>
    </row>
    <row r="404" spans="2:11">
      <c r="B404" s="213">
        <v>335</v>
      </c>
      <c r="C404" s="214" t="s">
        <v>254</v>
      </c>
      <c r="D404" s="267" t="s">
        <v>454</v>
      </c>
      <c r="E404" s="199"/>
      <c r="F404" s="216"/>
      <c r="G404" s="216"/>
      <c r="H404" s="199"/>
      <c r="I404" s="216"/>
      <c r="J404" s="216"/>
      <c r="K404" s="217"/>
    </row>
    <row r="405" spans="2:11" ht="16.5" thickBot="1">
      <c r="B405" s="298">
        <v>99</v>
      </c>
      <c r="C405" s="315" t="s">
        <v>11</v>
      </c>
      <c r="D405" s="300" t="s">
        <v>454</v>
      </c>
      <c r="E405" s="290"/>
      <c r="F405" s="301"/>
      <c r="G405" s="301"/>
      <c r="H405" s="290"/>
      <c r="I405" s="301"/>
      <c r="J405" s="301"/>
      <c r="K405" s="302"/>
    </row>
  </sheetData>
  <sortState ref="B6:K405">
    <sortCondition ref="D6:D405"/>
  </sortState>
  <mergeCells count="11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</mergeCells>
  <conditionalFormatting sqref="B401:D405 F401:G405 I401:K405">
    <cfRule type="expression" dxfId="296" priority="211">
      <formula>MOD(ROW(),2)=0</formula>
    </cfRule>
  </conditionalFormatting>
  <conditionalFormatting sqref="F121:F122 F221:F222 F124 F126 F224 F226 F313 F315 F342 B6:D400 F152:F154 F156 F249 F346 F286:F311 F213:F218 F219:G220 F205:F210 F211:G212 F197:F202 F203:G204 F189:F194 F195:G196 F36:F41 F26:F31 F16:F21 F6:F11 F245:F247 F347:G400 F250:G285 F227:G244 F157:G188 F316:G341 F314:G314 F225:G225 F127:G151 F125:G125 F312:G312 F223:G223 F123:G123 F42:G120 F32:G35 F22:G25 F12:G15 I6:K400">
    <cfRule type="expression" dxfId="295" priority="209">
      <formula>MOD(ROW(),2)=0</formula>
    </cfRule>
  </conditionalFormatting>
  <conditionalFormatting sqref="F343:F344">
    <cfRule type="expression" dxfId="294" priority="204">
      <formula>MOD(ROW(),2)=0</formula>
    </cfRule>
  </conditionalFormatting>
  <conditionalFormatting sqref="F155">
    <cfRule type="expression" dxfId="293" priority="175">
      <formula>MOD(ROW(),2)=0</formula>
    </cfRule>
  </conditionalFormatting>
  <conditionalFormatting sqref="G155">
    <cfRule type="expression" dxfId="292" priority="174">
      <formula>MOD(ROW(),2)=0</formula>
    </cfRule>
  </conditionalFormatting>
  <conditionalFormatting sqref="F248">
    <cfRule type="expression" dxfId="291" priority="173">
      <formula>MOD(ROW(),2)=0</formula>
    </cfRule>
  </conditionalFormatting>
  <conditionalFormatting sqref="G248">
    <cfRule type="expression" dxfId="290" priority="172">
      <formula>MOD(ROW(),2)=0</formula>
    </cfRule>
  </conditionalFormatting>
  <conditionalFormatting sqref="F345">
    <cfRule type="expression" dxfId="289" priority="171">
      <formula>MOD(ROW(),2)=0</formula>
    </cfRule>
  </conditionalFormatting>
  <conditionalFormatting sqref="G345">
    <cfRule type="expression" dxfId="288" priority="170">
      <formula>MOD(ROW(),2)=0</formula>
    </cfRule>
  </conditionalFormatting>
  <conditionalFormatting sqref="E401:E405">
    <cfRule type="expression" dxfId="287" priority="107">
      <formula>MOD(ROW(),2)=0</formula>
    </cfRule>
  </conditionalFormatting>
  <conditionalFormatting sqref="E123 E223 E312 E125 E127:E151 E225 E314 E316:E341 E227:E244 E347:E400 E6:E120 E157:E220 E250:E309 E246:E247">
    <cfRule type="expression" dxfId="286" priority="106">
      <formula>MOD(ROW(),2)=0</formula>
    </cfRule>
  </conditionalFormatting>
  <conditionalFormatting sqref="H401:H405">
    <cfRule type="expression" dxfId="285" priority="85">
      <formula>MOD(ROW(),2)=0</formula>
    </cfRule>
  </conditionalFormatting>
  <conditionalFormatting sqref="H42:H400">
    <cfRule type="expression" dxfId="284" priority="84">
      <formula>MOD(ROW(),2)=0</formula>
    </cfRule>
  </conditionalFormatting>
  <conditionalFormatting sqref="H6:H41">
    <cfRule type="expression" dxfId="283" priority="83">
      <formula>MOD(ROW(),2)=0</formula>
    </cfRule>
  </conditionalFormatting>
  <conditionalFormatting sqref="G10:G11">
    <cfRule type="expression" dxfId="282" priority="79">
      <formula>MOD(ROW(),2)=0</formula>
    </cfRule>
  </conditionalFormatting>
  <conditionalFormatting sqref="G8:G9">
    <cfRule type="expression" dxfId="281" priority="78">
      <formula>MOD(ROW(),2)=0</formula>
    </cfRule>
  </conditionalFormatting>
  <conditionalFormatting sqref="G6:G7">
    <cfRule type="expression" dxfId="280" priority="77">
      <formula>MOD(ROW(),2)=0</formula>
    </cfRule>
  </conditionalFormatting>
  <conditionalFormatting sqref="G20:G21">
    <cfRule type="expression" dxfId="279" priority="76">
      <formula>MOD(ROW(),2)=0</formula>
    </cfRule>
  </conditionalFormatting>
  <conditionalFormatting sqref="G18:G19">
    <cfRule type="expression" dxfId="278" priority="75">
      <formula>MOD(ROW(),2)=0</formula>
    </cfRule>
  </conditionalFormatting>
  <conditionalFormatting sqref="G16:G17">
    <cfRule type="expression" dxfId="277" priority="74">
      <formula>MOD(ROW(),2)=0</formula>
    </cfRule>
  </conditionalFormatting>
  <conditionalFormatting sqref="G30:G31">
    <cfRule type="expression" dxfId="276" priority="73">
      <formula>MOD(ROW(),2)=0</formula>
    </cfRule>
  </conditionalFormatting>
  <conditionalFormatting sqref="G28:G29">
    <cfRule type="expression" dxfId="275" priority="72">
      <formula>MOD(ROW(),2)=0</formula>
    </cfRule>
  </conditionalFormatting>
  <conditionalFormatting sqref="G26:G27">
    <cfRule type="expression" dxfId="274" priority="71">
      <formula>MOD(ROW(),2)=0</formula>
    </cfRule>
  </conditionalFormatting>
  <conditionalFormatting sqref="G40:G41">
    <cfRule type="expression" dxfId="273" priority="70">
      <formula>MOD(ROW(),2)=0</formula>
    </cfRule>
  </conditionalFormatting>
  <conditionalFormatting sqref="G38:G39">
    <cfRule type="expression" dxfId="272" priority="69">
      <formula>MOD(ROW(),2)=0</formula>
    </cfRule>
  </conditionalFormatting>
  <conditionalFormatting sqref="G36:G37">
    <cfRule type="expression" dxfId="271" priority="68">
      <formula>MOD(ROW(),2)=0</formula>
    </cfRule>
  </conditionalFormatting>
  <conditionalFormatting sqref="G193:G194">
    <cfRule type="expression" dxfId="270" priority="67">
      <formula>MOD(ROW(),2)=0</formula>
    </cfRule>
  </conditionalFormatting>
  <conditionalFormatting sqref="G191:G192">
    <cfRule type="expression" dxfId="269" priority="66">
      <formula>MOD(ROW(),2)=0</formula>
    </cfRule>
  </conditionalFormatting>
  <conditionalFormatting sqref="G189:G190">
    <cfRule type="expression" dxfId="268" priority="65">
      <formula>MOD(ROW(),2)=0</formula>
    </cfRule>
  </conditionalFormatting>
  <conditionalFormatting sqref="G201:G202">
    <cfRule type="expression" dxfId="267" priority="64">
      <formula>MOD(ROW(),2)=0</formula>
    </cfRule>
  </conditionalFormatting>
  <conditionalFormatting sqref="G199:G200">
    <cfRule type="expression" dxfId="266" priority="63">
      <formula>MOD(ROW(),2)=0</formula>
    </cfRule>
  </conditionalFormatting>
  <conditionalFormatting sqref="G197:G198">
    <cfRule type="expression" dxfId="265" priority="62">
      <formula>MOD(ROW(),2)=0</formula>
    </cfRule>
  </conditionalFormatting>
  <conditionalFormatting sqref="G209:G210">
    <cfRule type="expression" dxfId="264" priority="61">
      <formula>MOD(ROW(),2)=0</formula>
    </cfRule>
  </conditionalFormatting>
  <conditionalFormatting sqref="G207:G208">
    <cfRule type="expression" dxfId="263" priority="60">
      <formula>MOD(ROW(),2)=0</formula>
    </cfRule>
  </conditionalFormatting>
  <conditionalFormatting sqref="G205:G206">
    <cfRule type="expression" dxfId="262" priority="59">
      <formula>MOD(ROW(),2)=0</formula>
    </cfRule>
  </conditionalFormatting>
  <conditionalFormatting sqref="G217:G218">
    <cfRule type="expression" dxfId="261" priority="58">
      <formula>MOD(ROW(),2)=0</formula>
    </cfRule>
  </conditionalFormatting>
  <conditionalFormatting sqref="G215:G216">
    <cfRule type="expression" dxfId="260" priority="57">
      <formula>MOD(ROW(),2)=0</formula>
    </cfRule>
  </conditionalFormatting>
  <conditionalFormatting sqref="G213:G214">
    <cfRule type="expression" dxfId="259" priority="56">
      <formula>MOD(ROW(),2)=0</formula>
    </cfRule>
  </conditionalFormatting>
  <conditionalFormatting sqref="G290:G291">
    <cfRule type="expression" dxfId="258" priority="55">
      <formula>MOD(ROW(),2)=0</formula>
    </cfRule>
  </conditionalFormatting>
  <conditionalFormatting sqref="G288:G289">
    <cfRule type="expression" dxfId="257" priority="54">
      <formula>MOD(ROW(),2)=0</formula>
    </cfRule>
  </conditionalFormatting>
  <conditionalFormatting sqref="G286:G287">
    <cfRule type="expression" dxfId="256" priority="53">
      <formula>MOD(ROW(),2)=0</formula>
    </cfRule>
  </conditionalFormatting>
  <conditionalFormatting sqref="G296:G297">
    <cfRule type="expression" dxfId="255" priority="52">
      <formula>MOD(ROW(),2)=0</formula>
    </cfRule>
  </conditionalFormatting>
  <conditionalFormatting sqref="G294:G295">
    <cfRule type="expression" dxfId="254" priority="51">
      <formula>MOD(ROW(),2)=0</formula>
    </cfRule>
  </conditionalFormatting>
  <conditionalFormatting sqref="G292:G293">
    <cfRule type="expression" dxfId="253" priority="50">
      <formula>MOD(ROW(),2)=0</formula>
    </cfRule>
  </conditionalFormatting>
  <conditionalFormatting sqref="G302:G303">
    <cfRule type="expression" dxfId="252" priority="49">
      <formula>MOD(ROW(),2)=0</formula>
    </cfRule>
  </conditionalFormatting>
  <conditionalFormatting sqref="G300:G301">
    <cfRule type="expression" dxfId="251" priority="48">
      <formula>MOD(ROW(),2)=0</formula>
    </cfRule>
  </conditionalFormatting>
  <conditionalFormatting sqref="G298:G299">
    <cfRule type="expression" dxfId="250" priority="47">
      <formula>MOD(ROW(),2)=0</formula>
    </cfRule>
  </conditionalFormatting>
  <conditionalFormatting sqref="G308:G309">
    <cfRule type="expression" dxfId="249" priority="46">
      <formula>MOD(ROW(),2)=0</formula>
    </cfRule>
  </conditionalFormatting>
  <conditionalFormatting sqref="G306:G307">
    <cfRule type="expression" dxfId="248" priority="45">
      <formula>MOD(ROW(),2)=0</formula>
    </cfRule>
  </conditionalFormatting>
  <conditionalFormatting sqref="G304:G305">
    <cfRule type="expression" dxfId="247" priority="44">
      <formula>MOD(ROW(),2)=0</formula>
    </cfRule>
  </conditionalFormatting>
  <conditionalFormatting sqref="E121">
    <cfRule type="expression" dxfId="246" priority="43">
      <formula>MOD(ROW(),2)=0</formula>
    </cfRule>
  </conditionalFormatting>
  <conditionalFormatting sqref="E122">
    <cfRule type="expression" dxfId="245" priority="42">
      <formula>MOD(ROW(),2)=0</formula>
    </cfRule>
  </conditionalFormatting>
  <conditionalFormatting sqref="E124">
    <cfRule type="expression" dxfId="244" priority="41">
      <formula>MOD(ROW(),2)=0</formula>
    </cfRule>
  </conditionalFormatting>
  <conditionalFormatting sqref="E126">
    <cfRule type="expression" dxfId="243" priority="40">
      <formula>MOD(ROW(),2)=0</formula>
    </cfRule>
  </conditionalFormatting>
  <conditionalFormatting sqref="E152">
    <cfRule type="expression" dxfId="242" priority="39">
      <formula>MOD(ROW(),2)=0</formula>
    </cfRule>
  </conditionalFormatting>
  <conditionalFormatting sqref="E153">
    <cfRule type="expression" dxfId="241" priority="38">
      <formula>MOD(ROW(),2)=0</formula>
    </cfRule>
  </conditionalFormatting>
  <conditionalFormatting sqref="E154">
    <cfRule type="expression" dxfId="240" priority="37">
      <formula>MOD(ROW(),2)=0</formula>
    </cfRule>
  </conditionalFormatting>
  <conditionalFormatting sqref="E155">
    <cfRule type="expression" dxfId="239" priority="36">
      <formula>MOD(ROW(),2)=0</formula>
    </cfRule>
  </conditionalFormatting>
  <conditionalFormatting sqref="E156">
    <cfRule type="expression" dxfId="238" priority="35">
      <formula>MOD(ROW(),2)=0</formula>
    </cfRule>
  </conditionalFormatting>
  <conditionalFormatting sqref="G153:G154">
    <cfRule type="expression" dxfId="237" priority="34">
      <formula>MOD(ROW(),2)=0</formula>
    </cfRule>
  </conditionalFormatting>
  <conditionalFormatting sqref="G156">
    <cfRule type="expression" dxfId="236" priority="33">
      <formula>MOD(ROW(),2)=0</formula>
    </cfRule>
  </conditionalFormatting>
  <conditionalFormatting sqref="G152">
    <cfRule type="expression" dxfId="235" priority="32">
      <formula>MOD(ROW(),2)=0</formula>
    </cfRule>
  </conditionalFormatting>
  <conditionalFormatting sqref="G124">
    <cfRule type="expression" dxfId="234" priority="31">
      <formula>MOD(ROW(),2)=0</formula>
    </cfRule>
  </conditionalFormatting>
  <conditionalFormatting sqref="G126">
    <cfRule type="expression" dxfId="233" priority="30">
      <formula>MOD(ROW(),2)=0</formula>
    </cfRule>
  </conditionalFormatting>
  <conditionalFormatting sqref="G121:G122">
    <cfRule type="expression" dxfId="232" priority="29">
      <formula>MOD(ROW(),2)=0</formula>
    </cfRule>
  </conditionalFormatting>
  <conditionalFormatting sqref="E221">
    <cfRule type="expression" dxfId="231" priority="28">
      <formula>MOD(ROW(),2)=0</formula>
    </cfRule>
  </conditionalFormatting>
  <conditionalFormatting sqref="E222">
    <cfRule type="expression" dxfId="230" priority="27">
      <formula>MOD(ROW(),2)=0</formula>
    </cfRule>
  </conditionalFormatting>
  <conditionalFormatting sqref="E226">
    <cfRule type="expression" dxfId="229" priority="26">
      <formula>MOD(ROW(),2)=0</formula>
    </cfRule>
  </conditionalFormatting>
  <conditionalFormatting sqref="E224">
    <cfRule type="expression" dxfId="228" priority="25">
      <formula>MOD(ROW(),2)=0</formula>
    </cfRule>
  </conditionalFormatting>
  <conditionalFormatting sqref="E245">
    <cfRule type="expression" dxfId="227" priority="24">
      <formula>MOD(ROW(),2)=0</formula>
    </cfRule>
  </conditionalFormatting>
  <conditionalFormatting sqref="E248">
    <cfRule type="expression" dxfId="226" priority="23">
      <formula>MOD(ROW(),2)=0</formula>
    </cfRule>
  </conditionalFormatting>
  <conditionalFormatting sqref="E249">
    <cfRule type="expression" dxfId="225" priority="22">
      <formula>MOD(ROW(),2)=0</formula>
    </cfRule>
  </conditionalFormatting>
  <conditionalFormatting sqref="G246:G247">
    <cfRule type="expression" dxfId="224" priority="21">
      <formula>MOD(ROW(),2)=0</formula>
    </cfRule>
  </conditionalFormatting>
  <conditionalFormatting sqref="G249">
    <cfRule type="expression" dxfId="223" priority="20">
      <formula>MOD(ROW(),2)=0</formula>
    </cfRule>
  </conditionalFormatting>
  <conditionalFormatting sqref="G245">
    <cfRule type="expression" dxfId="222" priority="19">
      <formula>MOD(ROW(),2)=0</formula>
    </cfRule>
  </conditionalFormatting>
  <conditionalFormatting sqref="G224">
    <cfRule type="expression" dxfId="221" priority="18">
      <formula>MOD(ROW(),2)=0</formula>
    </cfRule>
  </conditionalFormatting>
  <conditionalFormatting sqref="G226">
    <cfRule type="expression" dxfId="220" priority="17">
      <formula>MOD(ROW(),2)=0</formula>
    </cfRule>
  </conditionalFormatting>
  <conditionalFormatting sqref="G221:G222">
    <cfRule type="expression" dxfId="219" priority="16">
      <formula>MOD(ROW(),2)=0</formula>
    </cfRule>
  </conditionalFormatting>
  <conditionalFormatting sqref="E310">
    <cfRule type="expression" dxfId="218" priority="15">
      <formula>MOD(ROW(),2)=0</formula>
    </cfRule>
  </conditionalFormatting>
  <conditionalFormatting sqref="E311">
    <cfRule type="expression" dxfId="217" priority="14">
      <formula>MOD(ROW(),2)=0</formula>
    </cfRule>
  </conditionalFormatting>
  <conditionalFormatting sqref="E313">
    <cfRule type="expression" dxfId="216" priority="13">
      <formula>MOD(ROW(),2)=0</formula>
    </cfRule>
  </conditionalFormatting>
  <conditionalFormatting sqref="E315">
    <cfRule type="expression" dxfId="215" priority="12">
      <formula>MOD(ROW(),2)=0</formula>
    </cfRule>
  </conditionalFormatting>
  <conditionalFormatting sqref="E342">
    <cfRule type="expression" dxfId="214" priority="11">
      <formula>MOD(ROW(),2)=0</formula>
    </cfRule>
  </conditionalFormatting>
  <conditionalFormatting sqref="E343">
    <cfRule type="expression" dxfId="213" priority="10">
      <formula>MOD(ROW(),2)=0</formula>
    </cfRule>
  </conditionalFormatting>
  <conditionalFormatting sqref="E344">
    <cfRule type="expression" dxfId="212" priority="9">
      <formula>MOD(ROW(),2)=0</formula>
    </cfRule>
  </conditionalFormatting>
  <conditionalFormatting sqref="E345">
    <cfRule type="expression" dxfId="211" priority="8">
      <formula>MOD(ROW(),2)=0</formula>
    </cfRule>
  </conditionalFormatting>
  <conditionalFormatting sqref="E346">
    <cfRule type="expression" dxfId="210" priority="7">
      <formula>MOD(ROW(),2)=0</formula>
    </cfRule>
  </conditionalFormatting>
  <conditionalFormatting sqref="G343:G344">
    <cfRule type="expression" dxfId="209" priority="6">
      <formula>MOD(ROW(),2)=0</formula>
    </cfRule>
  </conditionalFormatting>
  <conditionalFormatting sqref="G346">
    <cfRule type="expression" dxfId="208" priority="5">
      <formula>MOD(ROW(),2)=0</formula>
    </cfRule>
  </conditionalFormatting>
  <conditionalFormatting sqref="G342">
    <cfRule type="expression" dxfId="207" priority="4">
      <formula>MOD(ROW(),2)=0</formula>
    </cfRule>
  </conditionalFormatting>
  <conditionalFormatting sqref="G313">
    <cfRule type="expression" dxfId="206" priority="3">
      <formula>MOD(ROW(),2)=0</formula>
    </cfRule>
  </conditionalFormatting>
  <conditionalFormatting sqref="G315">
    <cfRule type="expression" dxfId="205" priority="2">
      <formula>MOD(ROW(),2)=0</formula>
    </cfRule>
  </conditionalFormatting>
  <conditionalFormatting sqref="G310:G311">
    <cfRule type="expression" dxfId="204" priority="1">
      <formula>MOD(ROW(),2)=0</formula>
    </cfRule>
  </conditionalFormatting>
  <hyperlinks>
    <hyperlink ref="AL17" location="'0'!A1" tooltip="X stave 0, Front" display="'0'!A1"/>
    <hyperlink ref="AJ17" location="'1'!A1" tooltip="X stave 1, Back" display="'1'!A1"/>
    <hyperlink ref="AH17" location="'2'!A1" tooltip="Stereo stave 0, Back" display="'2'!A1"/>
    <hyperlink ref="AF17" location="'3'!A1" tooltip="Stereo stave 0, Front" display="'3'!A1"/>
    <hyperlink ref="AD17" location="'4'!A1" tooltip="X stave 1, Front" display="'4'!A1"/>
    <hyperlink ref="AB17" location="'5'!A1" tooltip="X stave 1, Back" display="'5'!A1"/>
    <hyperlink ref="Z17" location="'6'!A1" tooltip="Stereo stave 1, Back" display="'6'!A1"/>
    <hyperlink ref="X17" location="'7'!A1" tooltip="Stereo stave 1, Front" display="'7'!A1"/>
    <hyperlink ref="V17" location="'8'!A1" tooltip="X stave 2, Front" display="'8'!A1"/>
    <hyperlink ref="T17" location="'9'!A1" tooltip="X stave 2, Back" display="'9'!A1"/>
    <hyperlink ref="R17" location="'10'!A1" tooltip="Stereo stave 2, Back" display="'10'!A1"/>
    <hyperlink ref="P17" location="'11'!A1" tooltip="Stereo stave 2, Front" display="'11'!A1"/>
    <hyperlink ref="AL18" location="'0'!A1" tooltip="X stave 0, Front" display="'0'!A1"/>
    <hyperlink ref="AJ18" location="'1'!A1" tooltip="X stave 1, Back" display="'1'!A1"/>
    <hyperlink ref="AH18" location="'2'!A1" tooltip="Stereo stave 0, Back" display="'2'!A1"/>
    <hyperlink ref="AF18" location="'3'!A1" tooltip="Stereo stave 0, Front" display="'3'!A1"/>
    <hyperlink ref="AD18" location="'4'!A1" tooltip="X stave 1, Front" display="'4'!A1"/>
    <hyperlink ref="AB18" location="'5'!A1" tooltip="X stave 1, Back" display="'5'!A1"/>
    <hyperlink ref="Z18" location="'6'!A1" tooltip="Stereo stave 1, Back" display="'6'!A1"/>
    <hyperlink ref="X18" location="'7'!A1" tooltip="Stereo stave 1, Front" display="'7'!A1"/>
    <hyperlink ref="V18" location="'8'!A1" tooltip="X stave 2, Front" display="'8'!A1"/>
    <hyperlink ref="T18" location="'9'!A1" tooltip="X stave 2, Back" display="'9'!A1"/>
    <hyperlink ref="R18" location="'10'!A1" tooltip="Stereo stave 2, Back" display="'10'!A1"/>
    <hyperlink ref="P18" location="'11'!A1" tooltip="Stereo stave 2, Front" display="'11'!A1"/>
  </hyperlinks>
  <pageMargins left="0.75" right="0.75" top="1" bottom="1" header="0.5" footer="0.5"/>
  <pageSetup orientation="portrait" horizontalDpi="4294967292" verticalDpi="429496729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AR405"/>
  <sheetViews>
    <sheetView zoomScale="85" zoomScaleNormal="85" workbookViewId="0">
      <selection activeCell="T18" sqref="T18"/>
    </sheetView>
  </sheetViews>
  <sheetFormatPr defaultColWidth="11" defaultRowHeight="15.75"/>
  <cols>
    <col min="1" max="1" width="2.875" style="3" customWidth="1"/>
    <col min="2" max="2" width="6.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75" style="1" customWidth="1"/>
    <col min="7" max="7" width="7.875" style="1" bestFit="1" customWidth="1"/>
    <col min="8" max="10" width="7.875" style="1" customWidth="1"/>
    <col min="11" max="11" width="7.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5" thickBot="1"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/>
    </row>
    <row r="2" spans="2:44" s="4" customFormat="1" ht="16.5" customHeight="1">
      <c r="D2" s="43" t="s">
        <v>833</v>
      </c>
      <c r="E2" s="551" t="s">
        <v>957</v>
      </c>
      <c r="F2" s="551"/>
      <c r="G2" s="552" t="s">
        <v>859</v>
      </c>
      <c r="H2" s="552"/>
      <c r="I2" s="552"/>
      <c r="J2" s="40"/>
      <c r="L2" s="177"/>
      <c r="M2" s="178"/>
      <c r="N2" s="180"/>
      <c r="O2" s="179"/>
      <c r="P2" s="180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80"/>
      <c r="AM2" s="180"/>
      <c r="AN2" s="180"/>
      <c r="AO2" s="181"/>
      <c r="AP2" s="177"/>
      <c r="AQ2" s="182"/>
      <c r="AR2"/>
    </row>
    <row r="3" spans="2:44" s="1" customFormat="1">
      <c r="D3"/>
      <c r="E3" s="40"/>
      <c r="F3" s="40"/>
      <c r="G3" s="40"/>
      <c r="H3" s="40"/>
      <c r="I3" s="40"/>
      <c r="J3" s="40"/>
      <c r="L3" s="177"/>
      <c r="M3" s="183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5"/>
      <c r="AP3" s="177"/>
      <c r="AQ3" s="186"/>
      <c r="AR3"/>
    </row>
    <row r="4" spans="2:44" s="6" customFormat="1" ht="16.5" thickBot="1">
      <c r="B4" s="553" t="s">
        <v>722</v>
      </c>
      <c r="C4" s="554"/>
      <c r="D4" s="554"/>
      <c r="E4" s="554"/>
      <c r="F4" s="554"/>
      <c r="G4" s="554"/>
      <c r="H4" s="554"/>
      <c r="I4" s="554"/>
      <c r="J4" s="554"/>
      <c r="K4" s="555"/>
      <c r="L4" s="177"/>
      <c r="M4" s="187"/>
      <c r="N4" s="184"/>
      <c r="O4" s="184"/>
      <c r="P4" s="184"/>
      <c r="Q4" s="184"/>
      <c r="R4" s="16" t="s">
        <v>13</v>
      </c>
      <c r="S4" s="16"/>
      <c r="T4" s="16" t="s">
        <v>14</v>
      </c>
      <c r="U4" s="16"/>
      <c r="V4" s="16" t="s">
        <v>13</v>
      </c>
      <c r="W4" s="16"/>
      <c r="X4" s="16" t="s">
        <v>14</v>
      </c>
      <c r="Y4" s="16"/>
      <c r="Z4" s="16" t="s">
        <v>13</v>
      </c>
      <c r="AA4" s="16"/>
      <c r="AB4" s="16" t="s">
        <v>14</v>
      </c>
      <c r="AC4" s="16"/>
      <c r="AD4" s="16" t="s">
        <v>13</v>
      </c>
      <c r="AE4" s="16"/>
      <c r="AF4" s="16" t="s">
        <v>14</v>
      </c>
      <c r="AG4" s="16"/>
      <c r="AH4" s="16" t="s">
        <v>13</v>
      </c>
      <c r="AI4" s="16"/>
      <c r="AJ4" s="16" t="s">
        <v>14</v>
      </c>
      <c r="AK4" s="16"/>
      <c r="AL4" s="16" t="s">
        <v>13</v>
      </c>
      <c r="AM4" s="16"/>
      <c r="AN4" s="16" t="s">
        <v>14</v>
      </c>
      <c r="AO4" s="185"/>
      <c r="AP4" s="177"/>
      <c r="AQ4" s="182" t="s">
        <v>710</v>
      </c>
      <c r="AR4"/>
    </row>
    <row r="5" spans="2:44" s="12" customFormat="1" ht="32.25" thickBot="1">
      <c r="B5" s="41" t="s">
        <v>19</v>
      </c>
      <c r="C5" s="7" t="s">
        <v>442</v>
      </c>
      <c r="D5" s="8" t="s">
        <v>2</v>
      </c>
      <c r="E5" s="8" t="s">
        <v>1</v>
      </c>
      <c r="F5" s="9"/>
      <c r="G5" s="9" t="s">
        <v>953</v>
      </c>
      <c r="H5" s="10" t="s">
        <v>3</v>
      </c>
      <c r="I5" s="10"/>
      <c r="J5" s="10"/>
      <c r="K5" s="11"/>
      <c r="L5" s="177"/>
      <c r="M5" s="187"/>
      <c r="N5" s="184"/>
      <c r="O5" s="184"/>
      <c r="P5" s="184"/>
      <c r="Q5" s="188"/>
      <c r="R5" s="175">
        <v>5</v>
      </c>
      <c r="S5" s="175"/>
      <c r="T5" s="175">
        <v>5</v>
      </c>
      <c r="U5" s="175"/>
      <c r="V5" s="175">
        <v>4</v>
      </c>
      <c r="W5" s="175"/>
      <c r="X5" s="175">
        <v>4</v>
      </c>
      <c r="Y5" s="175"/>
      <c r="Z5" s="175">
        <v>3</v>
      </c>
      <c r="AA5" s="175"/>
      <c r="AB5" s="175">
        <v>3</v>
      </c>
      <c r="AC5" s="175"/>
      <c r="AD5" s="175">
        <v>2</v>
      </c>
      <c r="AE5" s="175"/>
      <c r="AF5" s="175">
        <v>2</v>
      </c>
      <c r="AG5" s="175"/>
      <c r="AH5" s="175">
        <v>1</v>
      </c>
      <c r="AI5" s="175"/>
      <c r="AJ5" s="175">
        <v>1</v>
      </c>
      <c r="AK5" s="175"/>
      <c r="AL5" s="175">
        <v>0</v>
      </c>
      <c r="AM5" s="175"/>
      <c r="AN5" s="175">
        <v>0</v>
      </c>
      <c r="AO5" s="185"/>
      <c r="AP5" s="177"/>
      <c r="AQ5" s="254" t="s">
        <v>711</v>
      </c>
      <c r="AR5"/>
    </row>
    <row r="6" spans="2:44" ht="16.5" thickBot="1">
      <c r="B6" s="42">
        <v>199</v>
      </c>
      <c r="C6" s="293" t="s">
        <v>118</v>
      </c>
      <c r="D6" s="294" t="s">
        <v>677</v>
      </c>
      <c r="E6" s="322" t="s">
        <v>876</v>
      </c>
      <c r="F6" s="322"/>
      <c r="G6" s="389" t="s">
        <v>1020</v>
      </c>
      <c r="H6" s="342" t="s">
        <v>926</v>
      </c>
      <c r="I6" s="296"/>
      <c r="J6" s="296"/>
      <c r="K6" s="297"/>
      <c r="L6" s="177"/>
      <c r="M6" s="187"/>
      <c r="N6" s="184"/>
      <c r="O6" s="184"/>
      <c r="P6" s="184"/>
      <c r="Q6" s="184"/>
      <c r="R6" s="265"/>
      <c r="S6" s="184"/>
      <c r="T6" s="189"/>
      <c r="U6" s="184"/>
      <c r="V6" s="189"/>
      <c r="W6" s="184"/>
      <c r="X6" s="189"/>
      <c r="Y6" s="184"/>
      <c r="Z6" s="189"/>
      <c r="AA6" s="184"/>
      <c r="AB6" s="189"/>
      <c r="AC6" s="184"/>
      <c r="AD6" s="189"/>
      <c r="AE6" s="184"/>
      <c r="AF6" s="189"/>
      <c r="AG6" s="184"/>
      <c r="AH6" s="189"/>
      <c r="AI6" s="184"/>
      <c r="AJ6" s="189"/>
      <c r="AK6" s="184"/>
      <c r="AL6" s="189"/>
      <c r="AM6" s="184"/>
      <c r="AN6" s="189"/>
      <c r="AO6" s="185"/>
      <c r="AP6" s="177"/>
      <c r="AQ6" s="186"/>
      <c r="AR6"/>
    </row>
    <row r="7" spans="2:44" ht="16.5" thickBot="1">
      <c r="B7" s="42">
        <v>200</v>
      </c>
      <c r="C7" s="21" t="s">
        <v>119</v>
      </c>
      <c r="D7" s="22" t="s">
        <v>699</v>
      </c>
      <c r="E7" s="323" t="s">
        <v>876</v>
      </c>
      <c r="F7" s="323"/>
      <c r="G7" s="389" t="s">
        <v>1021</v>
      </c>
      <c r="H7" s="317" t="s">
        <v>926</v>
      </c>
      <c r="I7" s="5"/>
      <c r="J7" s="5"/>
      <c r="K7" s="14"/>
      <c r="L7" s="177"/>
      <c r="M7" s="187"/>
      <c r="N7" s="184"/>
      <c r="O7" s="184"/>
      <c r="P7" s="184"/>
      <c r="Q7" s="184"/>
      <c r="R7" s="266"/>
      <c r="S7" s="184"/>
      <c r="T7" s="191"/>
      <c r="U7" s="184"/>
      <c r="V7" s="191"/>
      <c r="W7" s="184"/>
      <c r="X7" s="191"/>
      <c r="Y7" s="184"/>
      <c r="Z7" s="191"/>
      <c r="AA7" s="184"/>
      <c r="AB7" s="191"/>
      <c r="AC7" s="184"/>
      <c r="AD7" s="191"/>
      <c r="AE7" s="184"/>
      <c r="AF7" s="191"/>
      <c r="AG7" s="184"/>
      <c r="AH7" s="191"/>
      <c r="AI7" s="184"/>
      <c r="AJ7" s="191"/>
      <c r="AK7" s="184"/>
      <c r="AL7" s="191"/>
      <c r="AM7" s="184"/>
      <c r="AN7" s="191"/>
      <c r="AO7" s="185"/>
      <c r="AP7" s="177"/>
      <c r="AQ7" s="186"/>
      <c r="AR7"/>
    </row>
    <row r="8" spans="2:44" ht="16.5" thickBot="1">
      <c r="B8" s="42">
        <v>207</v>
      </c>
      <c r="C8" s="21" t="s">
        <v>126</v>
      </c>
      <c r="D8" s="22" t="s">
        <v>632</v>
      </c>
      <c r="E8" s="323" t="s">
        <v>876</v>
      </c>
      <c r="F8" s="323"/>
      <c r="G8" s="389" t="s">
        <v>1018</v>
      </c>
      <c r="H8" s="317" t="s">
        <v>926</v>
      </c>
      <c r="I8" s="5"/>
      <c r="J8" s="5"/>
      <c r="K8" s="14"/>
      <c r="L8" s="177"/>
      <c r="M8" s="187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5"/>
      <c r="AP8" s="177"/>
      <c r="AQ8" s="186"/>
      <c r="AR8"/>
    </row>
    <row r="9" spans="2:44" ht="16.5" thickBot="1">
      <c r="B9" s="42">
        <v>208</v>
      </c>
      <c r="C9" s="21" t="s">
        <v>127</v>
      </c>
      <c r="D9" s="22" t="s">
        <v>655</v>
      </c>
      <c r="E9" s="323" t="s">
        <v>876</v>
      </c>
      <c r="F9" s="323"/>
      <c r="G9" s="389" t="s">
        <v>1019</v>
      </c>
      <c r="H9" s="317" t="s">
        <v>926</v>
      </c>
      <c r="I9" s="5"/>
      <c r="J9" s="5"/>
      <c r="K9" s="14"/>
      <c r="L9" s="177"/>
      <c r="M9" s="187"/>
      <c r="N9" s="184"/>
      <c r="O9" s="184"/>
      <c r="P9" s="184"/>
      <c r="Q9" s="184"/>
      <c r="R9" s="265"/>
      <c r="S9" s="184"/>
      <c r="T9" s="189"/>
      <c r="U9" s="184"/>
      <c r="V9" s="189"/>
      <c r="W9" s="184"/>
      <c r="X9" s="189"/>
      <c r="Y9" s="184"/>
      <c r="Z9" s="189"/>
      <c r="AA9" s="184"/>
      <c r="AB9" s="189"/>
      <c r="AC9" s="184"/>
      <c r="AD9" s="189"/>
      <c r="AE9" s="184"/>
      <c r="AF9" s="189"/>
      <c r="AG9" s="184"/>
      <c r="AH9" s="189"/>
      <c r="AI9" s="184"/>
      <c r="AJ9" s="189"/>
      <c r="AK9" s="184"/>
      <c r="AL9" s="189"/>
      <c r="AM9" s="184"/>
      <c r="AN9" s="189"/>
      <c r="AO9" s="185"/>
      <c r="AP9" s="177"/>
      <c r="AQ9" s="186"/>
      <c r="AR9"/>
    </row>
    <row r="10" spans="2:44" ht="16.5" thickBot="1">
      <c r="B10" s="42">
        <v>228</v>
      </c>
      <c r="C10" s="21" t="s">
        <v>147</v>
      </c>
      <c r="D10" s="22" t="s">
        <v>657</v>
      </c>
      <c r="E10" s="323" t="s">
        <v>876</v>
      </c>
      <c r="F10" s="323"/>
      <c r="G10" s="389" t="s">
        <v>1016</v>
      </c>
      <c r="H10" s="317" t="s">
        <v>926</v>
      </c>
      <c r="I10" s="5"/>
      <c r="J10" s="5"/>
      <c r="K10" s="14"/>
      <c r="L10" s="177"/>
      <c r="M10" s="187"/>
      <c r="N10" s="184"/>
      <c r="O10" s="184"/>
      <c r="P10" s="184"/>
      <c r="Q10" s="184"/>
      <c r="R10" s="266"/>
      <c r="S10" s="184"/>
      <c r="T10" s="191"/>
      <c r="U10" s="184"/>
      <c r="V10" s="191"/>
      <c r="W10" s="184"/>
      <c r="X10" s="191"/>
      <c r="Y10" s="184"/>
      <c r="Z10" s="191"/>
      <c r="AA10" s="184"/>
      <c r="AB10" s="191"/>
      <c r="AC10" s="184"/>
      <c r="AD10" s="191"/>
      <c r="AE10" s="184"/>
      <c r="AF10" s="191"/>
      <c r="AG10" s="184"/>
      <c r="AH10" s="191"/>
      <c r="AI10" s="184"/>
      <c r="AJ10" s="191"/>
      <c r="AK10" s="184"/>
      <c r="AL10" s="190"/>
      <c r="AM10" s="184"/>
      <c r="AN10" s="191"/>
      <c r="AO10" s="192"/>
      <c r="AP10" s="177"/>
      <c r="AQ10" s="186"/>
      <c r="AR10"/>
    </row>
    <row r="11" spans="2:44" ht="16.5" thickBot="1">
      <c r="B11" s="42">
        <v>227</v>
      </c>
      <c r="C11" s="21" t="s">
        <v>146</v>
      </c>
      <c r="D11" s="22" t="s">
        <v>634</v>
      </c>
      <c r="E11" s="323" t="s">
        <v>876</v>
      </c>
      <c r="F11" s="323"/>
      <c r="G11" s="389" t="s">
        <v>1017</v>
      </c>
      <c r="H11" s="317" t="s">
        <v>926</v>
      </c>
      <c r="I11" s="5"/>
      <c r="J11" s="5"/>
      <c r="K11" s="14"/>
      <c r="L11" s="177"/>
      <c r="M11" s="187"/>
      <c r="N11" s="184"/>
      <c r="O11" s="184"/>
      <c r="P11" s="184"/>
      <c r="Q11" s="184"/>
      <c r="R11" s="556">
        <v>11</v>
      </c>
      <c r="S11" s="556"/>
      <c r="T11" s="556">
        <v>10</v>
      </c>
      <c r="U11" s="556"/>
      <c r="V11" s="184">
        <v>9</v>
      </c>
      <c r="W11" s="184"/>
      <c r="X11" s="184">
        <v>8</v>
      </c>
      <c r="Y11" s="184"/>
      <c r="Z11" s="184">
        <v>7</v>
      </c>
      <c r="AA11" s="184"/>
      <c r="AB11" s="184">
        <v>6</v>
      </c>
      <c r="AC11" s="184"/>
      <c r="AD11" s="184">
        <v>5</v>
      </c>
      <c r="AE11" s="184"/>
      <c r="AF11" s="184">
        <v>4</v>
      </c>
      <c r="AG11" s="184"/>
      <c r="AH11" s="249">
        <v>3</v>
      </c>
      <c r="AI11" s="249"/>
      <c r="AJ11" s="249">
        <v>2</v>
      </c>
      <c r="AK11" s="250"/>
      <c r="AL11" s="251">
        <v>1</v>
      </c>
      <c r="AM11" s="249"/>
      <c r="AN11" s="249">
        <v>0</v>
      </c>
      <c r="AO11" s="192"/>
      <c r="AP11" s="177"/>
      <c r="AQ11" s="186"/>
      <c r="AR11"/>
    </row>
    <row r="12" spans="2:44" ht="16.5" thickBot="1">
      <c r="B12" s="213">
        <v>189</v>
      </c>
      <c r="C12" s="214" t="s">
        <v>108</v>
      </c>
      <c r="D12" s="215" t="s">
        <v>676</v>
      </c>
      <c r="E12" s="359"/>
      <c r="F12" s="359"/>
      <c r="G12" s="359"/>
      <c r="H12" s="317"/>
      <c r="I12" s="216"/>
      <c r="J12" s="216"/>
      <c r="K12" s="217"/>
      <c r="L12" s="177"/>
      <c r="M12" s="187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92"/>
      <c r="AP12" s="193"/>
      <c r="AQ12" s="186"/>
      <c r="AR12"/>
    </row>
    <row r="13" spans="2:44" ht="16.5" thickBot="1">
      <c r="B13" s="213">
        <v>190</v>
      </c>
      <c r="C13" s="214" t="s">
        <v>109</v>
      </c>
      <c r="D13" s="215" t="s">
        <v>698</v>
      </c>
      <c r="E13" s="359"/>
      <c r="F13" s="359"/>
      <c r="G13" s="359"/>
      <c r="H13" s="317"/>
      <c r="I13" s="216"/>
      <c r="J13" s="216"/>
      <c r="K13" s="217"/>
      <c r="L13" s="177"/>
      <c r="M13" s="187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92"/>
      <c r="AP13" s="193"/>
      <c r="AQ13" s="186"/>
      <c r="AR13"/>
    </row>
    <row r="14" spans="2:44" ht="16.5" thickBot="1">
      <c r="B14" s="213">
        <v>179</v>
      </c>
      <c r="C14" s="214" t="s">
        <v>98</v>
      </c>
      <c r="D14" s="215" t="s">
        <v>675</v>
      </c>
      <c r="E14" s="359"/>
      <c r="F14" s="359"/>
      <c r="G14" s="359"/>
      <c r="H14" s="317"/>
      <c r="I14" s="216"/>
      <c r="J14" s="216"/>
      <c r="K14" s="217"/>
      <c r="L14" s="177"/>
      <c r="M14" s="187"/>
      <c r="N14" s="184"/>
      <c r="O14" s="184"/>
      <c r="P14" s="16" t="s">
        <v>13</v>
      </c>
      <c r="Q14" s="16"/>
      <c r="R14" s="16" t="s">
        <v>13</v>
      </c>
      <c r="S14" s="16"/>
      <c r="T14" s="16" t="s">
        <v>14</v>
      </c>
      <c r="U14" s="16"/>
      <c r="V14" s="16" t="s">
        <v>14</v>
      </c>
      <c r="W14" s="16"/>
      <c r="X14" s="16" t="s">
        <v>13</v>
      </c>
      <c r="Y14" s="16"/>
      <c r="Z14" s="16" t="s">
        <v>13</v>
      </c>
      <c r="AA14" s="16"/>
      <c r="AB14" s="16" t="s">
        <v>14</v>
      </c>
      <c r="AC14" s="16"/>
      <c r="AD14" s="16" t="s">
        <v>14</v>
      </c>
      <c r="AE14" s="16"/>
      <c r="AF14" s="16" t="s">
        <v>13</v>
      </c>
      <c r="AG14" s="16"/>
      <c r="AH14" s="16" t="s">
        <v>13</v>
      </c>
      <c r="AI14" s="16"/>
      <c r="AJ14" s="16" t="s">
        <v>14</v>
      </c>
      <c r="AK14" s="16"/>
      <c r="AL14" s="16" t="s">
        <v>14</v>
      </c>
      <c r="AM14" s="184"/>
      <c r="AN14" s="184"/>
      <c r="AO14" s="192"/>
      <c r="AP14" s="193"/>
      <c r="AQ14" s="182" t="s">
        <v>710</v>
      </c>
      <c r="AR14"/>
    </row>
    <row r="15" spans="2:44" ht="16.5" thickBot="1">
      <c r="B15" s="213">
        <v>180</v>
      </c>
      <c r="C15" s="214" t="s">
        <v>99</v>
      </c>
      <c r="D15" s="215" t="s">
        <v>697</v>
      </c>
      <c r="E15" s="359"/>
      <c r="F15" s="359"/>
      <c r="G15" s="359"/>
      <c r="H15" s="317"/>
      <c r="I15" s="216"/>
      <c r="J15" s="216"/>
      <c r="K15" s="217"/>
      <c r="L15" s="177"/>
      <c r="M15" s="187"/>
      <c r="N15" s="184"/>
      <c r="O15" s="184"/>
      <c r="P15" s="16">
        <v>2</v>
      </c>
      <c r="Q15" s="16"/>
      <c r="R15" s="16">
        <v>2</v>
      </c>
      <c r="S15" s="16"/>
      <c r="T15" s="16">
        <v>2</v>
      </c>
      <c r="U15" s="16"/>
      <c r="V15" s="16">
        <v>2</v>
      </c>
      <c r="W15" s="16"/>
      <c r="X15" s="16">
        <v>1</v>
      </c>
      <c r="Y15" s="16"/>
      <c r="Z15" s="16">
        <v>1</v>
      </c>
      <c r="AA15" s="16"/>
      <c r="AB15" s="16">
        <v>1</v>
      </c>
      <c r="AC15" s="16"/>
      <c r="AD15" s="16">
        <v>1</v>
      </c>
      <c r="AE15" s="16"/>
      <c r="AF15" s="16">
        <v>0</v>
      </c>
      <c r="AG15" s="16"/>
      <c r="AH15" s="16">
        <v>0</v>
      </c>
      <c r="AI15" s="16"/>
      <c r="AJ15" s="16">
        <v>0</v>
      </c>
      <c r="AK15" s="16"/>
      <c r="AL15" s="16">
        <v>0</v>
      </c>
      <c r="AM15" s="184"/>
      <c r="AN15" s="184"/>
      <c r="AO15" s="192"/>
      <c r="AP15" s="193"/>
      <c r="AQ15" s="182" t="s">
        <v>713</v>
      </c>
      <c r="AR15"/>
    </row>
    <row r="16" spans="2:44" ht="16.5" thickBot="1">
      <c r="B16" s="42">
        <v>197</v>
      </c>
      <c r="C16" s="21" t="s">
        <v>116</v>
      </c>
      <c r="D16" s="22" t="s">
        <v>631</v>
      </c>
      <c r="E16" s="323" t="s">
        <v>876</v>
      </c>
      <c r="F16" s="323"/>
      <c r="G16" s="389" t="s">
        <v>983</v>
      </c>
      <c r="H16" s="317" t="s">
        <v>926</v>
      </c>
      <c r="I16" s="5"/>
      <c r="J16" s="5"/>
      <c r="K16" s="14"/>
      <c r="L16" s="177"/>
      <c r="M16" s="187"/>
      <c r="N16" s="184"/>
      <c r="O16" s="184"/>
      <c r="P16" s="16" t="s">
        <v>17</v>
      </c>
      <c r="Q16" s="16"/>
      <c r="R16" s="16" t="s">
        <v>13</v>
      </c>
      <c r="S16" s="16"/>
      <c r="T16" s="16" t="s">
        <v>13</v>
      </c>
      <c r="U16" s="16"/>
      <c r="V16" s="16" t="s">
        <v>17</v>
      </c>
      <c r="W16" s="16"/>
      <c r="X16" s="16" t="s">
        <v>17</v>
      </c>
      <c r="Y16" s="16"/>
      <c r="Z16" s="16" t="s">
        <v>13</v>
      </c>
      <c r="AA16" s="16"/>
      <c r="AB16" s="16" t="s">
        <v>13</v>
      </c>
      <c r="AC16" s="16"/>
      <c r="AD16" s="16" t="s">
        <v>17</v>
      </c>
      <c r="AE16" s="16"/>
      <c r="AF16" s="16" t="s">
        <v>17</v>
      </c>
      <c r="AG16" s="16"/>
      <c r="AH16" s="16" t="s">
        <v>13</v>
      </c>
      <c r="AI16" s="16"/>
      <c r="AJ16" s="16" t="s">
        <v>13</v>
      </c>
      <c r="AK16" s="16"/>
      <c r="AL16" s="16" t="s">
        <v>17</v>
      </c>
      <c r="AM16" s="184"/>
      <c r="AN16" s="184"/>
      <c r="AO16" s="192"/>
      <c r="AP16" s="193"/>
      <c r="AQ16" s="182" t="s">
        <v>954</v>
      </c>
      <c r="AR16"/>
    </row>
    <row r="17" spans="2:44" ht="16.5" thickBot="1">
      <c r="B17" s="42">
        <v>198</v>
      </c>
      <c r="C17" s="21" t="s">
        <v>117</v>
      </c>
      <c r="D17" s="22" t="s">
        <v>654</v>
      </c>
      <c r="E17" s="323" t="s">
        <v>876</v>
      </c>
      <c r="F17" s="323"/>
      <c r="G17" s="389" t="s">
        <v>984</v>
      </c>
      <c r="H17" s="317" t="s">
        <v>926</v>
      </c>
      <c r="I17" s="5"/>
      <c r="J17" s="5"/>
      <c r="K17" s="14"/>
      <c r="L17" s="177"/>
      <c r="M17" s="187"/>
      <c r="N17" s="184"/>
      <c r="O17" s="16"/>
      <c r="P17" s="244">
        <v>11</v>
      </c>
      <c r="Q17" s="35"/>
      <c r="R17" s="255">
        <v>10</v>
      </c>
      <c r="S17" s="35"/>
      <c r="T17" s="244">
        <v>9</v>
      </c>
      <c r="U17" s="35"/>
      <c r="V17" s="244">
        <v>8</v>
      </c>
      <c r="W17" s="35"/>
      <c r="X17" s="244">
        <v>7</v>
      </c>
      <c r="Y17" s="35"/>
      <c r="Z17" s="244">
        <v>6</v>
      </c>
      <c r="AA17" s="35"/>
      <c r="AB17" s="244">
        <v>5</v>
      </c>
      <c r="AC17" s="35"/>
      <c r="AD17" s="244">
        <v>4</v>
      </c>
      <c r="AE17" s="35"/>
      <c r="AF17" s="244">
        <v>3</v>
      </c>
      <c r="AG17" s="35"/>
      <c r="AH17" s="244">
        <v>2</v>
      </c>
      <c r="AI17" s="35"/>
      <c r="AJ17" s="244">
        <v>1</v>
      </c>
      <c r="AK17" s="35"/>
      <c r="AL17" s="244">
        <v>0</v>
      </c>
      <c r="AM17" s="184"/>
      <c r="AN17" s="184"/>
      <c r="AO17" s="192"/>
      <c r="AP17" s="193"/>
      <c r="AQ17" s="182" t="s">
        <v>964</v>
      </c>
      <c r="AR17"/>
    </row>
    <row r="18" spans="2:44" s="1" customFormat="1" ht="16.5" thickBot="1">
      <c r="B18" s="42">
        <v>210</v>
      </c>
      <c r="C18" s="21" t="s">
        <v>129</v>
      </c>
      <c r="D18" s="22" t="s">
        <v>700</v>
      </c>
      <c r="E18" s="323" t="s">
        <v>876</v>
      </c>
      <c r="F18" s="323"/>
      <c r="G18" s="389" t="s">
        <v>981</v>
      </c>
      <c r="H18" s="317" t="s">
        <v>926</v>
      </c>
      <c r="I18" s="5"/>
      <c r="J18" s="5"/>
      <c r="K18" s="14"/>
      <c r="L18" s="177"/>
      <c r="M18" s="187"/>
      <c r="N18" s="184"/>
      <c r="O18" s="16"/>
      <c r="P18" s="246">
        <v>11</v>
      </c>
      <c r="Q18" s="35"/>
      <c r="R18" s="256">
        <v>10</v>
      </c>
      <c r="S18" s="35"/>
      <c r="T18" s="246">
        <v>9</v>
      </c>
      <c r="U18" s="35"/>
      <c r="V18" s="246">
        <v>8</v>
      </c>
      <c r="W18" s="35"/>
      <c r="X18" s="246">
        <v>7</v>
      </c>
      <c r="Y18" s="35"/>
      <c r="Z18" s="246">
        <v>6</v>
      </c>
      <c r="AA18" s="35"/>
      <c r="AB18" s="246">
        <v>5</v>
      </c>
      <c r="AC18" s="35"/>
      <c r="AD18" s="246">
        <v>4</v>
      </c>
      <c r="AE18" s="35"/>
      <c r="AF18" s="246">
        <v>3</v>
      </c>
      <c r="AG18" s="35"/>
      <c r="AH18" s="246">
        <v>2</v>
      </c>
      <c r="AI18" s="35"/>
      <c r="AJ18" s="246">
        <v>1</v>
      </c>
      <c r="AK18" s="35"/>
      <c r="AL18" s="246">
        <v>0</v>
      </c>
      <c r="AM18" s="184"/>
      <c r="AN18" s="184"/>
      <c r="AO18" s="192"/>
      <c r="AP18" s="193"/>
      <c r="AQ18" s="186"/>
      <c r="AR18"/>
    </row>
    <row r="19" spans="2:44" s="1" customFormat="1" ht="16.5" thickBot="1">
      <c r="B19" s="42">
        <v>209</v>
      </c>
      <c r="C19" s="21" t="s">
        <v>128</v>
      </c>
      <c r="D19" s="22" t="s">
        <v>678</v>
      </c>
      <c r="E19" s="323" t="s">
        <v>876</v>
      </c>
      <c r="F19" s="323"/>
      <c r="G19" s="389" t="s">
        <v>982</v>
      </c>
      <c r="H19" s="317" t="s">
        <v>926</v>
      </c>
      <c r="I19" s="5"/>
      <c r="J19" s="5"/>
      <c r="K19" s="14"/>
      <c r="L19" s="177"/>
      <c r="M19" s="194"/>
      <c r="N19" s="195"/>
      <c r="O19" s="195"/>
      <c r="P19" s="563">
        <v>11</v>
      </c>
      <c r="Q19" s="563"/>
      <c r="R19" s="563">
        <v>10</v>
      </c>
      <c r="S19" s="563"/>
      <c r="T19" s="195">
        <v>9</v>
      </c>
      <c r="U19" s="195"/>
      <c r="V19" s="195">
        <v>8</v>
      </c>
      <c r="W19" s="195"/>
      <c r="X19" s="195">
        <v>7</v>
      </c>
      <c r="Y19" s="195"/>
      <c r="Z19" s="195">
        <v>6</v>
      </c>
      <c r="AA19" s="195"/>
      <c r="AB19" s="195">
        <v>5</v>
      </c>
      <c r="AC19" s="195"/>
      <c r="AD19" s="195">
        <v>4</v>
      </c>
      <c r="AE19" s="195"/>
      <c r="AF19" s="195">
        <v>3</v>
      </c>
      <c r="AG19" s="195"/>
      <c r="AH19" s="195">
        <v>2</v>
      </c>
      <c r="AI19" s="195"/>
      <c r="AJ19" s="253">
        <v>1</v>
      </c>
      <c r="AK19" s="253"/>
      <c r="AL19" s="253">
        <v>0</v>
      </c>
      <c r="AM19" s="253"/>
      <c r="AN19" s="195"/>
      <c r="AO19" s="196"/>
      <c r="AP19" s="193"/>
      <c r="AQ19" s="186"/>
      <c r="AR19"/>
    </row>
    <row r="20" spans="2:44" s="1" customFormat="1" ht="16.5" thickBot="1">
      <c r="B20" s="42">
        <v>217</v>
      </c>
      <c r="C20" s="21" t="s">
        <v>136</v>
      </c>
      <c r="D20" s="22" t="s">
        <v>633</v>
      </c>
      <c r="E20" s="323" t="s">
        <v>876</v>
      </c>
      <c r="F20" s="323"/>
      <c r="G20" s="389" t="s">
        <v>980</v>
      </c>
      <c r="H20" s="317" t="s">
        <v>926</v>
      </c>
      <c r="I20" s="5"/>
      <c r="J20" s="5"/>
      <c r="K20" s="14"/>
      <c r="L20" s="558" t="s">
        <v>864</v>
      </c>
      <c r="M20" s="559"/>
      <c r="N20" s="559"/>
      <c r="O20" s="559"/>
      <c r="P20" s="559"/>
      <c r="Q20" s="559"/>
      <c r="R20" s="559"/>
      <c r="S20" s="559"/>
      <c r="T20" s="559"/>
      <c r="U20" s="559"/>
      <c r="V20" s="559"/>
      <c r="W20" s="559"/>
      <c r="X20" s="559"/>
      <c r="Y20" s="559"/>
      <c r="Z20" s="559"/>
      <c r="AA20" s="559"/>
      <c r="AB20" s="559"/>
      <c r="AC20" s="559"/>
      <c r="AD20" s="559"/>
      <c r="AE20" s="559"/>
      <c r="AF20" s="559"/>
      <c r="AG20" s="559"/>
      <c r="AH20" s="559"/>
      <c r="AI20" s="559"/>
      <c r="AJ20" s="559"/>
      <c r="AK20" s="559"/>
      <c r="AL20" s="559"/>
      <c r="AM20" s="559"/>
      <c r="AN20" s="559"/>
      <c r="AO20" s="559"/>
      <c r="AP20" s="559"/>
      <c r="AQ20" s="186"/>
      <c r="AR20"/>
    </row>
    <row r="21" spans="2:44" s="1" customFormat="1" ht="16.5" thickBot="1">
      <c r="B21" s="42">
        <v>218</v>
      </c>
      <c r="C21" s="21" t="s">
        <v>137</v>
      </c>
      <c r="D21" s="22" t="s">
        <v>656</v>
      </c>
      <c r="E21" s="323" t="s">
        <v>876</v>
      </c>
      <c r="F21" s="323"/>
      <c r="G21" s="389" t="s">
        <v>4</v>
      </c>
      <c r="H21" s="317" t="s">
        <v>926</v>
      </c>
      <c r="I21" s="5"/>
      <c r="J21" s="5"/>
      <c r="K21" s="14"/>
      <c r="L21" s="560" t="s">
        <v>721</v>
      </c>
      <c r="M21" s="561"/>
      <c r="N21" s="561"/>
      <c r="O21" s="561"/>
      <c r="P21" s="561"/>
      <c r="Q21" s="561"/>
      <c r="R21" s="561"/>
      <c r="S21" s="561"/>
      <c r="T21" s="561"/>
      <c r="U21" s="561"/>
      <c r="V21" s="561"/>
      <c r="W21" s="561"/>
      <c r="X21" s="561"/>
      <c r="Y21" s="561"/>
      <c r="Z21" s="561"/>
      <c r="AA21" s="561"/>
      <c r="AB21" s="561"/>
      <c r="AC21" s="561"/>
      <c r="AD21" s="561"/>
      <c r="AE21" s="561"/>
      <c r="AF21" s="561"/>
      <c r="AG21" s="561"/>
      <c r="AH21" s="561"/>
      <c r="AI21" s="561"/>
      <c r="AJ21" s="561"/>
      <c r="AK21" s="561"/>
      <c r="AL21" s="561"/>
      <c r="AM21" s="561"/>
      <c r="AN21" s="561"/>
      <c r="AO21" s="561"/>
      <c r="AP21" s="561"/>
      <c r="AQ21" s="193"/>
      <c r="AR21"/>
    </row>
    <row r="22" spans="2:44" s="1" customFormat="1" ht="16.5" thickBot="1">
      <c r="B22" s="213">
        <v>177</v>
      </c>
      <c r="C22" s="214" t="s">
        <v>96</v>
      </c>
      <c r="D22" s="215" t="s">
        <v>629</v>
      </c>
      <c r="E22" s="359"/>
      <c r="F22" s="359"/>
      <c r="G22" s="359"/>
      <c r="H22" s="317"/>
      <c r="I22" s="216"/>
      <c r="J22" s="216"/>
      <c r="K22" s="217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 ht="16.5" thickBot="1">
      <c r="B23" s="213">
        <v>187</v>
      </c>
      <c r="C23" s="214" t="s">
        <v>106</v>
      </c>
      <c r="D23" s="215" t="s">
        <v>630</v>
      </c>
      <c r="E23" s="359"/>
      <c r="F23" s="359"/>
      <c r="G23" s="359"/>
      <c r="H23" s="317"/>
      <c r="I23" s="216"/>
      <c r="J23" s="216"/>
      <c r="K23" s="217"/>
      <c r="L23"/>
      <c r="M23" s="562" t="s">
        <v>836</v>
      </c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2"/>
      <c r="AP23"/>
      <c r="AQ23"/>
      <c r="AR23"/>
    </row>
    <row r="24" spans="2:44" s="1" customFormat="1" ht="16.5" thickBot="1">
      <c r="B24" s="213">
        <v>178</v>
      </c>
      <c r="C24" s="214" t="s">
        <v>97</v>
      </c>
      <c r="D24" s="215" t="s">
        <v>652</v>
      </c>
      <c r="E24" s="359"/>
      <c r="F24" s="359"/>
      <c r="G24" s="359"/>
      <c r="H24" s="317"/>
      <c r="I24" s="216"/>
      <c r="J24" s="216"/>
      <c r="K24" s="217"/>
      <c r="L24"/>
      <c r="M24" s="557" t="s">
        <v>883</v>
      </c>
      <c r="N24" s="557"/>
      <c r="O24" s="557"/>
      <c r="P24" s="557"/>
      <c r="Q24" s="557"/>
      <c r="R24" s="557"/>
      <c r="S24" s="557"/>
      <c r="T24" s="557"/>
      <c r="U24" s="557"/>
      <c r="V24" s="557"/>
      <c r="W24" s="557"/>
      <c r="X24" s="557"/>
      <c r="Y24" s="557"/>
      <c r="Z24" s="557"/>
      <c r="AA24" s="557"/>
      <c r="AB24" s="557"/>
      <c r="AC24" s="557"/>
      <c r="AD24" s="557"/>
      <c r="AE24" s="557"/>
      <c r="AF24" s="557"/>
      <c r="AG24" s="557"/>
      <c r="AH24" s="557"/>
      <c r="AI24" s="557"/>
      <c r="AJ24" s="557"/>
      <c r="AK24" s="557"/>
      <c r="AL24" s="557"/>
      <c r="AM24" s="557"/>
      <c r="AN24" s="557"/>
      <c r="AO24" s="557"/>
      <c r="AP24"/>
      <c r="AQ24"/>
      <c r="AR24"/>
    </row>
    <row r="25" spans="2:44" s="1" customFormat="1" ht="16.5" thickBot="1">
      <c r="B25" s="213">
        <v>188</v>
      </c>
      <c r="C25" s="214" t="s">
        <v>107</v>
      </c>
      <c r="D25" s="215" t="s">
        <v>653</v>
      </c>
      <c r="E25" s="359"/>
      <c r="F25" s="359"/>
      <c r="G25" s="359"/>
      <c r="H25" s="317"/>
      <c r="I25" s="216"/>
      <c r="J25" s="216"/>
      <c r="K25" s="217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 ht="16.5" thickBot="1">
      <c r="B26" s="42">
        <v>277</v>
      </c>
      <c r="C26" s="21" t="s">
        <v>196</v>
      </c>
      <c r="D26" s="22" t="s">
        <v>635</v>
      </c>
      <c r="E26" s="323" t="s">
        <v>876</v>
      </c>
      <c r="F26" s="323"/>
      <c r="G26" s="389" t="s">
        <v>987</v>
      </c>
      <c r="H26" s="317" t="s">
        <v>926</v>
      </c>
      <c r="I26" s="5"/>
      <c r="J26" s="5"/>
      <c r="K26" s="14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 ht="16.5" thickBot="1">
      <c r="B27" s="42">
        <v>278</v>
      </c>
      <c r="C27" s="21" t="s">
        <v>197</v>
      </c>
      <c r="D27" s="22" t="s">
        <v>658</v>
      </c>
      <c r="E27" s="323" t="s">
        <v>876</v>
      </c>
      <c r="F27" s="323"/>
      <c r="G27" s="389" t="s">
        <v>988</v>
      </c>
      <c r="H27" s="317" t="s">
        <v>926</v>
      </c>
      <c r="I27" s="5"/>
      <c r="J27" s="5"/>
      <c r="K27" s="14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 ht="16.5" thickBot="1">
      <c r="B28" s="42">
        <v>287</v>
      </c>
      <c r="C28" s="21" t="s">
        <v>206</v>
      </c>
      <c r="D28" s="22" t="s">
        <v>636</v>
      </c>
      <c r="E28" s="323" t="s">
        <v>876</v>
      </c>
      <c r="F28" s="323"/>
      <c r="G28" s="389" t="s">
        <v>1022</v>
      </c>
      <c r="H28" s="317" t="s">
        <v>926</v>
      </c>
      <c r="I28" s="5"/>
      <c r="J28" s="5"/>
      <c r="K28" s="14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 ht="16.5" thickBot="1">
      <c r="B29" s="42">
        <v>288</v>
      </c>
      <c r="C29" s="21" t="s">
        <v>207</v>
      </c>
      <c r="D29" s="22" t="s">
        <v>659</v>
      </c>
      <c r="E29" s="323" t="s">
        <v>876</v>
      </c>
      <c r="F29" s="323"/>
      <c r="G29" s="389" t="s">
        <v>6</v>
      </c>
      <c r="H29" s="317" t="s">
        <v>926</v>
      </c>
      <c r="I29" s="5"/>
      <c r="J29" s="5"/>
      <c r="K29" s="14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 ht="16.5" thickBot="1">
      <c r="B30" s="42">
        <v>297</v>
      </c>
      <c r="C30" s="21" t="s">
        <v>216</v>
      </c>
      <c r="D30" s="22" t="s">
        <v>637</v>
      </c>
      <c r="E30" s="323" t="s">
        <v>876</v>
      </c>
      <c r="F30" s="323"/>
      <c r="G30" s="389" t="s">
        <v>985</v>
      </c>
      <c r="H30" s="317" t="s">
        <v>926</v>
      </c>
      <c r="I30" s="5"/>
      <c r="J30" s="5"/>
      <c r="K30" s="14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 ht="16.5" thickBot="1">
      <c r="B31" s="42">
        <v>298</v>
      </c>
      <c r="C31" s="21" t="s">
        <v>217</v>
      </c>
      <c r="D31" s="22" t="s">
        <v>660</v>
      </c>
      <c r="E31" s="323" t="s">
        <v>876</v>
      </c>
      <c r="F31" s="323"/>
      <c r="G31" s="389" t="s">
        <v>986</v>
      </c>
      <c r="H31" s="317" t="s">
        <v>926</v>
      </c>
      <c r="I31" s="5"/>
      <c r="J31" s="5"/>
      <c r="K31" s="14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 ht="16.5" thickBot="1">
      <c r="B32" s="213">
        <v>307</v>
      </c>
      <c r="C32" s="214" t="s">
        <v>226</v>
      </c>
      <c r="D32" s="215" t="s">
        <v>638</v>
      </c>
      <c r="E32" s="359"/>
      <c r="F32" s="359"/>
      <c r="G32" s="359"/>
      <c r="H32" s="317"/>
      <c r="I32" s="216"/>
      <c r="J32" s="216"/>
      <c r="K32" s="217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 ht="16.5" thickBot="1">
      <c r="B33" s="213">
        <v>308</v>
      </c>
      <c r="C33" s="214" t="s">
        <v>227</v>
      </c>
      <c r="D33" s="215" t="s">
        <v>661</v>
      </c>
      <c r="E33" s="359"/>
      <c r="F33" s="359"/>
      <c r="G33" s="359"/>
      <c r="H33" s="317"/>
      <c r="I33" s="216"/>
      <c r="J33" s="216"/>
      <c r="K33" s="217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 ht="16.5" thickBot="1">
      <c r="B34" s="213">
        <v>317</v>
      </c>
      <c r="C34" s="214" t="s">
        <v>236</v>
      </c>
      <c r="D34" s="215" t="s">
        <v>639</v>
      </c>
      <c r="E34" s="359"/>
      <c r="F34" s="359"/>
      <c r="G34" s="359"/>
      <c r="H34" s="317"/>
      <c r="I34" s="216"/>
      <c r="J34" s="216"/>
      <c r="K34" s="217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 ht="16.5" thickBot="1">
      <c r="B35" s="213">
        <v>318</v>
      </c>
      <c r="C35" s="214" t="s">
        <v>237</v>
      </c>
      <c r="D35" s="215" t="s">
        <v>662</v>
      </c>
      <c r="E35" s="359"/>
      <c r="F35" s="359"/>
      <c r="G35" s="359"/>
      <c r="H35" s="317"/>
      <c r="I35" s="216"/>
      <c r="J35" s="216"/>
      <c r="K35" s="217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 ht="16.5" thickBot="1">
      <c r="B36" s="42">
        <v>279</v>
      </c>
      <c r="C36" s="21" t="s">
        <v>198</v>
      </c>
      <c r="D36" s="22" t="s">
        <v>679</v>
      </c>
      <c r="E36" s="323" t="s">
        <v>876</v>
      </c>
      <c r="F36" s="323"/>
      <c r="G36" s="389" t="s">
        <v>993</v>
      </c>
      <c r="H36" s="317" t="s">
        <v>926</v>
      </c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 ht="16.5" thickBot="1">
      <c r="B37" s="42">
        <v>280</v>
      </c>
      <c r="C37" s="21" t="s">
        <v>199</v>
      </c>
      <c r="D37" s="22" t="s">
        <v>701</v>
      </c>
      <c r="E37" s="323" t="s">
        <v>876</v>
      </c>
      <c r="F37" s="323"/>
      <c r="G37" s="389" t="s">
        <v>8</v>
      </c>
      <c r="H37" s="317" t="s">
        <v>926</v>
      </c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 ht="16.5" thickBot="1">
      <c r="B38" s="42">
        <v>289</v>
      </c>
      <c r="C38" s="21" t="s">
        <v>208</v>
      </c>
      <c r="D38" s="22" t="s">
        <v>680</v>
      </c>
      <c r="E38" s="323" t="s">
        <v>876</v>
      </c>
      <c r="F38" s="323"/>
      <c r="G38" s="389" t="s">
        <v>991</v>
      </c>
      <c r="H38" s="317" t="s">
        <v>926</v>
      </c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 ht="16.5" thickBot="1">
      <c r="B39" s="42">
        <v>290</v>
      </c>
      <c r="C39" s="21" t="s">
        <v>209</v>
      </c>
      <c r="D39" s="22" t="s">
        <v>702</v>
      </c>
      <c r="E39" s="323" t="s">
        <v>876</v>
      </c>
      <c r="F39" s="323"/>
      <c r="G39" s="389" t="s">
        <v>992</v>
      </c>
      <c r="H39" s="317" t="s">
        <v>926</v>
      </c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 ht="16.5" thickBot="1">
      <c r="B40" s="42">
        <v>299</v>
      </c>
      <c r="C40" s="21" t="s">
        <v>218</v>
      </c>
      <c r="D40" s="22" t="s">
        <v>681</v>
      </c>
      <c r="E40" s="323" t="s">
        <v>876</v>
      </c>
      <c r="F40" s="323"/>
      <c r="G40" s="389" t="s">
        <v>989</v>
      </c>
      <c r="H40" s="317" t="s">
        <v>926</v>
      </c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42">
        <v>300</v>
      </c>
      <c r="C41" s="21" t="s">
        <v>219</v>
      </c>
      <c r="D41" s="22" t="s">
        <v>703</v>
      </c>
      <c r="E41" s="323" t="s">
        <v>876</v>
      </c>
      <c r="F41" s="323"/>
      <c r="G41" s="389" t="s">
        <v>990</v>
      </c>
      <c r="H41" s="317" t="s">
        <v>926</v>
      </c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13">
        <v>309</v>
      </c>
      <c r="C42" s="214" t="s">
        <v>228</v>
      </c>
      <c r="D42" s="215" t="s">
        <v>682</v>
      </c>
      <c r="E42" s="199"/>
      <c r="F42" s="216"/>
      <c r="G42" s="216"/>
      <c r="H42" s="199"/>
      <c r="I42" s="216"/>
      <c r="J42" s="216"/>
      <c r="K42" s="217"/>
      <c r="L42" s="3"/>
    </row>
    <row r="43" spans="2:44" s="1" customFormat="1">
      <c r="B43" s="213">
        <v>310</v>
      </c>
      <c r="C43" s="214" t="s">
        <v>229</v>
      </c>
      <c r="D43" s="215" t="s">
        <v>704</v>
      </c>
      <c r="E43" s="199"/>
      <c r="F43" s="216"/>
      <c r="G43" s="216"/>
      <c r="H43" s="199"/>
      <c r="I43" s="216"/>
      <c r="J43" s="216"/>
      <c r="K43" s="217"/>
      <c r="L43" s="3"/>
    </row>
    <row r="44" spans="2:44" s="1" customFormat="1">
      <c r="B44" s="213">
        <v>319</v>
      </c>
      <c r="C44" s="214" t="s">
        <v>238</v>
      </c>
      <c r="D44" s="215" t="s">
        <v>683</v>
      </c>
      <c r="E44" s="199"/>
      <c r="F44" s="216"/>
      <c r="G44" s="216"/>
      <c r="H44" s="199"/>
      <c r="I44" s="216"/>
      <c r="J44" s="216"/>
      <c r="K44" s="217"/>
      <c r="L44" s="3"/>
    </row>
    <row r="45" spans="2:44" s="1" customFormat="1">
      <c r="B45" s="213">
        <v>320</v>
      </c>
      <c r="C45" s="214" t="s">
        <v>239</v>
      </c>
      <c r="D45" s="215" t="s">
        <v>705</v>
      </c>
      <c r="E45" s="199"/>
      <c r="F45" s="216"/>
      <c r="G45" s="216"/>
      <c r="H45" s="199"/>
      <c r="I45" s="216"/>
      <c r="J45" s="216"/>
      <c r="K45" s="217"/>
      <c r="L45" s="3"/>
    </row>
    <row r="46" spans="2:44" s="1" customFormat="1">
      <c r="B46" s="213">
        <v>37</v>
      </c>
      <c r="C46" s="214" t="s">
        <v>373</v>
      </c>
      <c r="D46" s="215" t="s">
        <v>622</v>
      </c>
      <c r="E46" s="199"/>
      <c r="F46" s="216"/>
      <c r="G46" s="216"/>
      <c r="H46" s="199"/>
      <c r="I46" s="216"/>
      <c r="J46" s="216"/>
      <c r="K46" s="217"/>
      <c r="L46" s="3"/>
    </row>
    <row r="47" spans="2:44" s="1" customFormat="1">
      <c r="B47" s="213">
        <v>27</v>
      </c>
      <c r="C47" s="214" t="s">
        <v>363</v>
      </c>
      <c r="D47" s="215" t="s">
        <v>623</v>
      </c>
      <c r="E47" s="199"/>
      <c r="F47" s="216"/>
      <c r="G47" s="216"/>
      <c r="H47" s="199"/>
      <c r="I47" s="216"/>
      <c r="J47" s="216"/>
      <c r="K47" s="217"/>
      <c r="L47" s="3"/>
    </row>
    <row r="48" spans="2:44">
      <c r="B48" s="213">
        <v>18</v>
      </c>
      <c r="C48" s="214" t="s">
        <v>354</v>
      </c>
      <c r="D48" s="215" t="s">
        <v>643</v>
      </c>
      <c r="E48" s="199"/>
      <c r="F48" s="216"/>
      <c r="G48" s="216"/>
      <c r="H48" s="199"/>
      <c r="I48" s="216"/>
      <c r="J48" s="216"/>
      <c r="K48" s="217"/>
    </row>
    <row r="49" spans="2:11">
      <c r="B49" s="213">
        <v>8</v>
      </c>
      <c r="C49" s="214" t="s">
        <v>344</v>
      </c>
      <c r="D49" s="215" t="s">
        <v>644</v>
      </c>
      <c r="E49" s="199"/>
      <c r="F49" s="216"/>
      <c r="G49" s="216"/>
      <c r="H49" s="199"/>
      <c r="I49" s="216"/>
      <c r="J49" s="216"/>
      <c r="K49" s="217"/>
    </row>
    <row r="50" spans="2:11">
      <c r="B50" s="213">
        <v>10</v>
      </c>
      <c r="C50" s="214" t="s">
        <v>346</v>
      </c>
      <c r="D50" s="215" t="s">
        <v>666</v>
      </c>
      <c r="E50" s="199"/>
      <c r="F50" s="216"/>
      <c r="G50" s="216"/>
      <c r="H50" s="199"/>
      <c r="I50" s="216"/>
      <c r="J50" s="216"/>
      <c r="K50" s="217"/>
    </row>
    <row r="51" spans="2:11">
      <c r="B51" s="213">
        <v>9</v>
      </c>
      <c r="C51" s="214" t="s">
        <v>345</v>
      </c>
      <c r="D51" s="215" t="s">
        <v>688</v>
      </c>
      <c r="E51" s="199"/>
      <c r="F51" s="216"/>
      <c r="G51" s="216"/>
      <c r="H51" s="199"/>
      <c r="I51" s="216"/>
      <c r="J51" s="216"/>
      <c r="K51" s="217"/>
    </row>
    <row r="52" spans="2:11">
      <c r="B52" s="213">
        <v>7</v>
      </c>
      <c r="C52" s="214" t="s">
        <v>343</v>
      </c>
      <c r="D52" s="215" t="s">
        <v>621</v>
      </c>
      <c r="E52" s="199"/>
      <c r="F52" s="216"/>
      <c r="G52" s="216"/>
      <c r="H52" s="199"/>
      <c r="I52" s="216"/>
      <c r="J52" s="216"/>
      <c r="K52" s="217"/>
    </row>
    <row r="53" spans="2:11">
      <c r="B53" s="213">
        <v>17</v>
      </c>
      <c r="C53" s="214" t="s">
        <v>353</v>
      </c>
      <c r="D53" s="215" t="s">
        <v>620</v>
      </c>
      <c r="E53" s="199"/>
      <c r="F53" s="216"/>
      <c r="G53" s="216"/>
      <c r="H53" s="199"/>
      <c r="I53" s="216"/>
      <c r="J53" s="216"/>
      <c r="K53" s="217"/>
    </row>
    <row r="54" spans="2:11">
      <c r="B54" s="213">
        <v>6</v>
      </c>
      <c r="C54" s="214" t="s">
        <v>342</v>
      </c>
      <c r="D54" s="215" t="s">
        <v>611</v>
      </c>
      <c r="E54" s="199"/>
      <c r="F54" s="216"/>
      <c r="G54" s="216"/>
      <c r="H54" s="199"/>
      <c r="I54" s="216"/>
      <c r="J54" s="216"/>
      <c r="K54" s="217"/>
    </row>
    <row r="55" spans="2:11">
      <c r="B55" s="213">
        <v>16</v>
      </c>
      <c r="C55" s="214" t="s">
        <v>352</v>
      </c>
      <c r="D55" s="215" t="s">
        <v>610</v>
      </c>
      <c r="E55" s="199"/>
      <c r="F55" s="216"/>
      <c r="G55" s="216"/>
      <c r="H55" s="199"/>
      <c r="I55" s="216"/>
      <c r="J55" s="216"/>
      <c r="K55" s="217"/>
    </row>
    <row r="56" spans="2:11">
      <c r="B56" s="213">
        <v>60</v>
      </c>
      <c r="C56" s="214" t="s">
        <v>396</v>
      </c>
      <c r="D56" s="259" t="s">
        <v>669</v>
      </c>
      <c r="E56" s="199"/>
      <c r="F56" s="216"/>
      <c r="G56" s="216"/>
      <c r="H56" s="199"/>
      <c r="I56" s="216"/>
      <c r="J56" s="216"/>
      <c r="K56" s="217"/>
    </row>
    <row r="57" spans="2:11">
      <c r="B57" s="213">
        <v>59</v>
      </c>
      <c r="C57" s="214" t="s">
        <v>395</v>
      </c>
      <c r="D57" s="259" t="s">
        <v>691</v>
      </c>
      <c r="E57" s="199"/>
      <c r="F57" s="216"/>
      <c r="G57" s="216"/>
      <c r="H57" s="199"/>
      <c r="I57" s="216"/>
      <c r="J57" s="216"/>
      <c r="K57" s="217"/>
    </row>
    <row r="58" spans="2:11">
      <c r="B58" s="213">
        <v>28</v>
      </c>
      <c r="C58" s="214" t="s">
        <v>364</v>
      </c>
      <c r="D58" s="215" t="s">
        <v>646</v>
      </c>
      <c r="E58" s="199"/>
      <c r="F58" s="216"/>
      <c r="G58" s="216"/>
      <c r="H58" s="199"/>
      <c r="I58" s="216"/>
      <c r="J58" s="216"/>
      <c r="K58" s="217"/>
    </row>
    <row r="59" spans="2:11">
      <c r="B59" s="213">
        <v>38</v>
      </c>
      <c r="C59" s="214" t="s">
        <v>374</v>
      </c>
      <c r="D59" s="215" t="s">
        <v>645</v>
      </c>
      <c r="E59" s="199"/>
      <c r="F59" s="216"/>
      <c r="G59" s="216"/>
      <c r="H59" s="199"/>
      <c r="I59" s="216"/>
      <c r="J59" s="216"/>
      <c r="K59" s="217"/>
    </row>
    <row r="60" spans="2:11">
      <c r="B60" s="213">
        <v>49</v>
      </c>
      <c r="C60" s="214" t="s">
        <v>385</v>
      </c>
      <c r="D60" s="259" t="s">
        <v>690</v>
      </c>
      <c r="E60" s="199"/>
      <c r="F60" s="216"/>
      <c r="G60" s="216"/>
      <c r="H60" s="199"/>
      <c r="I60" s="216"/>
      <c r="J60" s="216"/>
      <c r="K60" s="217"/>
    </row>
    <row r="61" spans="2:11">
      <c r="B61" s="213">
        <v>50</v>
      </c>
      <c r="C61" s="214" t="s">
        <v>386</v>
      </c>
      <c r="D61" s="259" t="s">
        <v>668</v>
      </c>
      <c r="E61" s="199"/>
      <c r="F61" s="216"/>
      <c r="G61" s="216"/>
      <c r="H61" s="199"/>
      <c r="I61" s="216"/>
      <c r="J61" s="216"/>
      <c r="K61" s="217"/>
    </row>
    <row r="62" spans="2:11">
      <c r="B62" s="213">
        <v>19</v>
      </c>
      <c r="C62" s="214" t="s">
        <v>355</v>
      </c>
      <c r="D62" s="215" t="s">
        <v>689</v>
      </c>
      <c r="E62" s="199"/>
      <c r="F62" s="216"/>
      <c r="G62" s="216"/>
      <c r="H62" s="199"/>
      <c r="I62" s="216"/>
      <c r="J62" s="216"/>
      <c r="K62" s="217"/>
    </row>
    <row r="63" spans="2:11">
      <c r="B63" s="213">
        <v>20</v>
      </c>
      <c r="C63" s="214" t="s">
        <v>356</v>
      </c>
      <c r="D63" s="215" t="s">
        <v>667</v>
      </c>
      <c r="E63" s="199"/>
      <c r="F63" s="216"/>
      <c r="G63" s="216"/>
      <c r="H63" s="199"/>
      <c r="I63" s="216"/>
      <c r="J63" s="216"/>
      <c r="K63" s="217"/>
    </row>
    <row r="64" spans="2:11">
      <c r="B64" s="213">
        <v>26</v>
      </c>
      <c r="C64" s="214" t="s">
        <v>362</v>
      </c>
      <c r="D64" s="215" t="s">
        <v>613</v>
      </c>
      <c r="E64" s="199"/>
      <c r="F64" s="216"/>
      <c r="G64" s="216"/>
      <c r="H64" s="199"/>
      <c r="I64" s="216"/>
      <c r="J64" s="216"/>
      <c r="K64" s="217"/>
    </row>
    <row r="65" spans="2:11">
      <c r="B65" s="213">
        <v>36</v>
      </c>
      <c r="C65" s="214" t="s">
        <v>372</v>
      </c>
      <c r="D65" s="215" t="s">
        <v>612</v>
      </c>
      <c r="E65" s="199"/>
      <c r="F65" s="216"/>
      <c r="G65" s="216"/>
      <c r="H65" s="199"/>
      <c r="I65" s="216"/>
      <c r="J65" s="216"/>
      <c r="K65" s="217"/>
    </row>
    <row r="66" spans="2:11">
      <c r="B66" s="213">
        <v>118</v>
      </c>
      <c r="C66" s="214" t="s">
        <v>37</v>
      </c>
      <c r="D66" s="215" t="s">
        <v>624</v>
      </c>
      <c r="E66" s="199"/>
      <c r="F66" s="216"/>
      <c r="G66" s="216"/>
      <c r="H66" s="199"/>
      <c r="I66" s="216"/>
      <c r="J66" s="216"/>
      <c r="K66" s="217"/>
    </row>
    <row r="67" spans="2:11">
      <c r="B67" s="213">
        <v>117</v>
      </c>
      <c r="C67" s="214" t="s">
        <v>36</v>
      </c>
      <c r="D67" s="215" t="s">
        <v>647</v>
      </c>
      <c r="E67" s="199"/>
      <c r="F67" s="216"/>
      <c r="G67" s="216"/>
      <c r="H67" s="199"/>
      <c r="I67" s="216"/>
      <c r="J67" s="216"/>
      <c r="K67" s="217"/>
    </row>
    <row r="68" spans="2:11">
      <c r="B68" s="213">
        <v>148</v>
      </c>
      <c r="C68" s="214" t="s">
        <v>67</v>
      </c>
      <c r="D68" s="215" t="s">
        <v>626</v>
      </c>
      <c r="E68" s="199"/>
      <c r="F68" s="216"/>
      <c r="G68" s="216"/>
      <c r="H68" s="199"/>
      <c r="I68" s="216"/>
      <c r="J68" s="216"/>
      <c r="K68" s="217"/>
    </row>
    <row r="69" spans="2:11">
      <c r="B69" s="213">
        <v>147</v>
      </c>
      <c r="C69" s="214" t="s">
        <v>66</v>
      </c>
      <c r="D69" s="215" t="s">
        <v>649</v>
      </c>
      <c r="E69" s="199"/>
      <c r="F69" s="216"/>
      <c r="G69" s="216"/>
      <c r="H69" s="199"/>
      <c r="I69" s="216"/>
      <c r="J69" s="216"/>
      <c r="K69" s="217"/>
    </row>
    <row r="70" spans="2:11">
      <c r="B70" s="213">
        <v>168</v>
      </c>
      <c r="C70" s="214" t="s">
        <v>87</v>
      </c>
      <c r="D70" s="215" t="s">
        <v>628</v>
      </c>
      <c r="E70" s="199"/>
      <c r="F70" s="216"/>
      <c r="G70" s="216"/>
      <c r="H70" s="199"/>
      <c r="I70" s="216"/>
      <c r="J70" s="216"/>
      <c r="K70" s="217"/>
    </row>
    <row r="71" spans="2:11">
      <c r="B71" s="213">
        <v>167</v>
      </c>
      <c r="C71" s="214" t="s">
        <v>86</v>
      </c>
      <c r="D71" s="215" t="s">
        <v>651</v>
      </c>
      <c r="E71" s="199"/>
      <c r="F71" s="216"/>
      <c r="G71" s="216"/>
      <c r="H71" s="199"/>
      <c r="I71" s="216"/>
      <c r="J71" s="216"/>
      <c r="K71" s="217"/>
    </row>
    <row r="72" spans="2:11">
      <c r="B72" s="213">
        <v>170</v>
      </c>
      <c r="C72" s="214" t="s">
        <v>89</v>
      </c>
      <c r="D72" s="215" t="s">
        <v>674</v>
      </c>
      <c r="E72" s="199"/>
      <c r="F72" s="216"/>
      <c r="G72" s="216"/>
      <c r="H72" s="199"/>
      <c r="I72" s="216"/>
      <c r="J72" s="216"/>
      <c r="K72" s="217"/>
    </row>
    <row r="73" spans="2:11">
      <c r="B73" s="213">
        <v>169</v>
      </c>
      <c r="C73" s="214" t="s">
        <v>88</v>
      </c>
      <c r="D73" s="215" t="s">
        <v>696</v>
      </c>
      <c r="E73" s="199"/>
      <c r="F73" s="216"/>
      <c r="G73" s="216"/>
      <c r="H73" s="199"/>
      <c r="I73" s="216"/>
      <c r="J73" s="216"/>
      <c r="K73" s="217"/>
    </row>
    <row r="74" spans="2:11">
      <c r="B74" s="213">
        <v>158</v>
      </c>
      <c r="C74" s="214" t="s">
        <v>77</v>
      </c>
      <c r="D74" s="215" t="s">
        <v>627</v>
      </c>
      <c r="E74" s="199"/>
      <c r="F74" s="216"/>
      <c r="G74" s="216"/>
      <c r="H74" s="199"/>
      <c r="I74" s="216"/>
      <c r="J74" s="216"/>
      <c r="K74" s="217"/>
    </row>
    <row r="75" spans="2:11">
      <c r="B75" s="213">
        <v>157</v>
      </c>
      <c r="C75" s="214" t="s">
        <v>76</v>
      </c>
      <c r="D75" s="215" t="s">
        <v>650</v>
      </c>
      <c r="E75" s="199"/>
      <c r="F75" s="216"/>
      <c r="G75" s="216"/>
      <c r="H75" s="199"/>
      <c r="I75" s="216"/>
      <c r="J75" s="216"/>
      <c r="K75" s="217"/>
    </row>
    <row r="76" spans="2:11">
      <c r="B76" s="213">
        <v>129</v>
      </c>
      <c r="C76" s="214" t="s">
        <v>48</v>
      </c>
      <c r="D76" s="215" t="s">
        <v>692</v>
      </c>
      <c r="E76" s="199"/>
      <c r="F76" s="216"/>
      <c r="G76" s="216"/>
      <c r="H76" s="199"/>
      <c r="I76" s="216"/>
      <c r="J76" s="216"/>
      <c r="K76" s="217"/>
    </row>
    <row r="77" spans="2:11">
      <c r="B77" s="213">
        <v>130</v>
      </c>
      <c r="C77" s="214" t="s">
        <v>49</v>
      </c>
      <c r="D77" s="215" t="s">
        <v>670</v>
      </c>
      <c r="E77" s="199"/>
      <c r="F77" s="216"/>
      <c r="G77" s="216"/>
      <c r="H77" s="199"/>
      <c r="I77" s="216"/>
      <c r="J77" s="216"/>
      <c r="K77" s="217"/>
    </row>
    <row r="78" spans="2:11">
      <c r="B78" s="213">
        <v>139</v>
      </c>
      <c r="C78" s="214" t="s">
        <v>58</v>
      </c>
      <c r="D78" s="215" t="s">
        <v>693</v>
      </c>
      <c r="E78" s="199"/>
      <c r="F78" s="216"/>
      <c r="G78" s="216"/>
      <c r="H78" s="199"/>
      <c r="I78" s="216"/>
      <c r="J78" s="216"/>
      <c r="K78" s="217"/>
    </row>
    <row r="79" spans="2:11">
      <c r="B79" s="213">
        <v>140</v>
      </c>
      <c r="C79" s="214" t="s">
        <v>59</v>
      </c>
      <c r="D79" s="215" t="s">
        <v>671</v>
      </c>
      <c r="E79" s="199"/>
      <c r="F79" s="216"/>
      <c r="G79" s="216"/>
      <c r="H79" s="199"/>
      <c r="I79" s="216"/>
      <c r="J79" s="216"/>
      <c r="K79" s="217"/>
    </row>
    <row r="80" spans="2:11">
      <c r="B80" s="213">
        <v>138</v>
      </c>
      <c r="C80" s="214" t="s">
        <v>57</v>
      </c>
      <c r="D80" s="215" t="s">
        <v>625</v>
      </c>
      <c r="E80" s="199"/>
      <c r="F80" s="216"/>
      <c r="G80" s="216"/>
      <c r="H80" s="199"/>
      <c r="I80" s="216"/>
      <c r="J80" s="216"/>
      <c r="K80" s="217"/>
    </row>
    <row r="81" spans="2:11">
      <c r="B81" s="213">
        <v>137</v>
      </c>
      <c r="C81" s="214" t="s">
        <v>56</v>
      </c>
      <c r="D81" s="215" t="s">
        <v>648</v>
      </c>
      <c r="E81" s="199"/>
      <c r="F81" s="216"/>
      <c r="G81" s="216"/>
      <c r="H81" s="199"/>
      <c r="I81" s="216"/>
      <c r="J81" s="216"/>
      <c r="K81" s="217"/>
    </row>
    <row r="82" spans="2:11">
      <c r="B82" s="213">
        <v>150</v>
      </c>
      <c r="C82" s="214" t="s">
        <v>69</v>
      </c>
      <c r="D82" s="215" t="s">
        <v>672</v>
      </c>
      <c r="E82" s="199"/>
      <c r="F82" s="216"/>
      <c r="G82" s="216"/>
      <c r="H82" s="199"/>
      <c r="I82" s="216"/>
      <c r="J82" s="216"/>
      <c r="K82" s="217"/>
    </row>
    <row r="83" spans="2:11">
      <c r="B83" s="213">
        <v>149</v>
      </c>
      <c r="C83" s="214" t="s">
        <v>68</v>
      </c>
      <c r="D83" s="215" t="s">
        <v>694</v>
      </c>
      <c r="E83" s="199"/>
      <c r="F83" s="216"/>
      <c r="G83" s="216"/>
      <c r="H83" s="199"/>
      <c r="I83" s="216"/>
      <c r="J83" s="216"/>
      <c r="K83" s="217"/>
    </row>
    <row r="84" spans="2:11">
      <c r="B84" s="213">
        <v>160</v>
      </c>
      <c r="C84" s="214" t="s">
        <v>79</v>
      </c>
      <c r="D84" s="215" t="s">
        <v>673</v>
      </c>
      <c r="E84" s="199"/>
      <c r="F84" s="216"/>
      <c r="G84" s="216"/>
      <c r="H84" s="199"/>
      <c r="I84" s="216"/>
      <c r="J84" s="216"/>
      <c r="K84" s="217"/>
    </row>
    <row r="85" spans="2:11">
      <c r="B85" s="213">
        <v>159</v>
      </c>
      <c r="C85" s="214" t="s">
        <v>78</v>
      </c>
      <c r="D85" s="215" t="s">
        <v>695</v>
      </c>
      <c r="E85" s="199"/>
      <c r="F85" s="216"/>
      <c r="G85" s="216"/>
      <c r="H85" s="199"/>
      <c r="I85" s="216"/>
      <c r="J85" s="216"/>
      <c r="K85" s="217"/>
    </row>
    <row r="86" spans="2:11">
      <c r="B86" s="213">
        <v>128</v>
      </c>
      <c r="C86" s="214" t="s">
        <v>47</v>
      </c>
      <c r="D86" s="215" t="s">
        <v>507</v>
      </c>
      <c r="E86" s="199"/>
      <c r="F86" s="216"/>
      <c r="G86" s="216"/>
      <c r="H86" s="199"/>
      <c r="I86" s="216"/>
      <c r="J86" s="216"/>
      <c r="K86" s="217"/>
    </row>
    <row r="87" spans="2:11">
      <c r="B87" s="213">
        <v>127</v>
      </c>
      <c r="C87" s="214" t="s">
        <v>46</v>
      </c>
      <c r="D87" s="215" t="s">
        <v>497</v>
      </c>
      <c r="E87" s="199"/>
      <c r="F87" s="216"/>
      <c r="G87" s="216"/>
      <c r="H87" s="199"/>
      <c r="I87" s="216"/>
      <c r="J87" s="216"/>
      <c r="K87" s="217"/>
    </row>
    <row r="88" spans="2:11">
      <c r="B88" s="213">
        <v>79</v>
      </c>
      <c r="C88" s="214" t="s">
        <v>415</v>
      </c>
      <c r="D88" s="259" t="s">
        <v>490</v>
      </c>
      <c r="E88" s="199"/>
      <c r="F88" s="216"/>
      <c r="G88" s="216"/>
      <c r="H88" s="199"/>
      <c r="I88" s="216"/>
      <c r="J88" s="216"/>
      <c r="K88" s="217"/>
    </row>
    <row r="89" spans="2:11">
      <c r="B89" s="213">
        <v>78</v>
      </c>
      <c r="C89" s="214" t="s">
        <v>414</v>
      </c>
      <c r="D89" s="259" t="s">
        <v>498</v>
      </c>
      <c r="E89" s="199"/>
      <c r="F89" s="216"/>
      <c r="G89" s="216"/>
      <c r="H89" s="199"/>
      <c r="I89" s="216"/>
      <c r="J89" s="216"/>
      <c r="K89" s="217"/>
    </row>
    <row r="90" spans="2:11">
      <c r="B90" s="213">
        <v>88</v>
      </c>
      <c r="C90" s="214" t="s">
        <v>424</v>
      </c>
      <c r="D90" s="215" t="s">
        <v>499</v>
      </c>
      <c r="E90" s="199"/>
      <c r="F90" s="216"/>
      <c r="G90" s="216"/>
      <c r="H90" s="199"/>
      <c r="I90" s="216"/>
      <c r="J90" s="216"/>
      <c r="K90" s="217"/>
    </row>
    <row r="91" spans="2:11">
      <c r="B91" s="213">
        <v>89</v>
      </c>
      <c r="C91" s="214" t="s">
        <v>425</v>
      </c>
      <c r="D91" s="215" t="s">
        <v>491</v>
      </c>
      <c r="E91" s="199"/>
      <c r="F91" s="216"/>
      <c r="G91" s="216"/>
      <c r="H91" s="199"/>
      <c r="I91" s="216"/>
      <c r="J91" s="216"/>
      <c r="K91" s="217"/>
    </row>
    <row r="92" spans="2:11">
      <c r="B92" s="213">
        <v>47</v>
      </c>
      <c r="C92" s="214" t="s">
        <v>383</v>
      </c>
      <c r="D92" s="259" t="s">
        <v>474</v>
      </c>
      <c r="E92" s="199"/>
      <c r="F92" s="216"/>
      <c r="G92" s="216"/>
      <c r="H92" s="199"/>
      <c r="I92" s="216"/>
      <c r="J92" s="216"/>
      <c r="K92" s="217"/>
    </row>
    <row r="93" spans="2:11">
      <c r="B93" s="213">
        <v>57</v>
      </c>
      <c r="C93" s="214" t="s">
        <v>393</v>
      </c>
      <c r="D93" s="259" t="s">
        <v>474</v>
      </c>
      <c r="E93" s="199"/>
      <c r="F93" s="216"/>
      <c r="G93" s="216"/>
      <c r="H93" s="199"/>
      <c r="I93" s="216"/>
      <c r="J93" s="216"/>
      <c r="K93" s="217"/>
    </row>
    <row r="94" spans="2:11">
      <c r="B94" s="213">
        <v>67</v>
      </c>
      <c r="C94" s="214" t="s">
        <v>403</v>
      </c>
      <c r="D94" s="259" t="s">
        <v>474</v>
      </c>
      <c r="E94" s="199"/>
      <c r="F94" s="216"/>
      <c r="G94" s="216"/>
      <c r="H94" s="199"/>
      <c r="I94" s="216"/>
      <c r="J94" s="216"/>
      <c r="K94" s="217"/>
    </row>
    <row r="95" spans="2:11">
      <c r="B95" s="213">
        <v>77</v>
      </c>
      <c r="C95" s="214" t="s">
        <v>413</v>
      </c>
      <c r="D95" s="259" t="s">
        <v>474</v>
      </c>
      <c r="E95" s="199"/>
      <c r="F95" s="216"/>
      <c r="G95" s="216"/>
      <c r="H95" s="199"/>
      <c r="I95" s="216"/>
      <c r="J95" s="216"/>
      <c r="K95" s="217"/>
    </row>
    <row r="96" spans="2:11">
      <c r="B96" s="213">
        <v>87</v>
      </c>
      <c r="C96" s="214" t="s">
        <v>423</v>
      </c>
      <c r="D96" s="215" t="s">
        <v>474</v>
      </c>
      <c r="E96" s="199"/>
      <c r="F96" s="216"/>
      <c r="G96" s="216"/>
      <c r="H96" s="199"/>
      <c r="I96" s="216"/>
      <c r="J96" s="216"/>
      <c r="K96" s="217"/>
    </row>
    <row r="97" spans="2:11">
      <c r="B97" s="213">
        <v>48</v>
      </c>
      <c r="C97" s="214" t="s">
        <v>384</v>
      </c>
      <c r="D97" s="259" t="s">
        <v>474</v>
      </c>
      <c r="E97" s="199"/>
      <c r="F97" s="216"/>
      <c r="G97" s="216"/>
      <c r="H97" s="199"/>
      <c r="I97" s="216"/>
      <c r="J97" s="216"/>
      <c r="K97" s="217"/>
    </row>
    <row r="98" spans="2:11">
      <c r="B98" s="213">
        <v>58</v>
      </c>
      <c r="C98" s="214" t="s">
        <v>394</v>
      </c>
      <c r="D98" s="259" t="s">
        <v>474</v>
      </c>
      <c r="E98" s="199"/>
      <c r="F98" s="216"/>
      <c r="G98" s="216"/>
      <c r="H98" s="199"/>
      <c r="I98" s="216"/>
      <c r="J98" s="216"/>
      <c r="K98" s="217"/>
    </row>
    <row r="99" spans="2:11">
      <c r="B99" s="213">
        <v>68</v>
      </c>
      <c r="C99" s="214" t="s">
        <v>404</v>
      </c>
      <c r="D99" s="259" t="s">
        <v>474</v>
      </c>
      <c r="E99" s="199"/>
      <c r="F99" s="216"/>
      <c r="G99" s="216"/>
      <c r="H99" s="199"/>
      <c r="I99" s="216"/>
      <c r="J99" s="216"/>
      <c r="K99" s="217"/>
    </row>
    <row r="100" spans="2:11">
      <c r="B100" s="213">
        <v>69</v>
      </c>
      <c r="C100" s="214" t="s">
        <v>405</v>
      </c>
      <c r="D100" s="259" t="s">
        <v>474</v>
      </c>
      <c r="E100" s="199"/>
      <c r="F100" s="216"/>
      <c r="G100" s="216"/>
      <c r="H100" s="199"/>
      <c r="I100" s="216"/>
      <c r="J100" s="216"/>
      <c r="K100" s="217"/>
    </row>
    <row r="101" spans="2:11">
      <c r="B101" s="213">
        <v>70</v>
      </c>
      <c r="C101" s="214" t="s">
        <v>406</v>
      </c>
      <c r="D101" s="259" t="s">
        <v>508</v>
      </c>
      <c r="E101" s="199"/>
      <c r="F101" s="216"/>
      <c r="G101" s="216"/>
      <c r="H101" s="199"/>
      <c r="I101" s="216"/>
      <c r="J101" s="216"/>
      <c r="K101" s="217"/>
    </row>
    <row r="102" spans="2:11">
      <c r="B102" s="213">
        <v>80</v>
      </c>
      <c r="C102" s="214" t="s">
        <v>416</v>
      </c>
      <c r="D102" s="259" t="s">
        <v>510</v>
      </c>
      <c r="E102" s="199"/>
      <c r="F102" s="216"/>
      <c r="G102" s="216"/>
      <c r="H102" s="199"/>
      <c r="I102" s="216"/>
      <c r="J102" s="216"/>
      <c r="K102" s="217"/>
    </row>
    <row r="103" spans="2:11">
      <c r="B103" s="213">
        <v>90</v>
      </c>
      <c r="C103" s="214" t="s">
        <v>426</v>
      </c>
      <c r="D103" s="215" t="s">
        <v>509</v>
      </c>
      <c r="E103" s="199"/>
      <c r="F103" s="216"/>
      <c r="G103" s="216"/>
      <c r="H103" s="199"/>
      <c r="I103" s="216"/>
      <c r="J103" s="216"/>
      <c r="K103" s="217"/>
    </row>
    <row r="104" spans="2:11">
      <c r="B104" s="213">
        <v>106</v>
      </c>
      <c r="C104" s="214" t="s">
        <v>25</v>
      </c>
      <c r="D104" s="215" t="s">
        <v>482</v>
      </c>
      <c r="E104" s="199"/>
      <c r="F104" s="216"/>
      <c r="G104" s="216"/>
      <c r="H104" s="199"/>
      <c r="I104" s="216"/>
      <c r="J104" s="216"/>
      <c r="K104" s="217"/>
    </row>
    <row r="105" spans="2:11">
      <c r="B105" s="213">
        <v>116</v>
      </c>
      <c r="C105" s="214" t="s">
        <v>35</v>
      </c>
      <c r="D105" s="215" t="s">
        <v>482</v>
      </c>
      <c r="E105" s="199"/>
      <c r="F105" s="216"/>
      <c r="G105" s="216"/>
      <c r="H105" s="199"/>
      <c r="I105" s="216"/>
      <c r="J105" s="216"/>
      <c r="K105" s="217"/>
    </row>
    <row r="106" spans="2:11">
      <c r="B106" s="213">
        <v>126</v>
      </c>
      <c r="C106" s="214" t="s">
        <v>45</v>
      </c>
      <c r="D106" s="215" t="s">
        <v>482</v>
      </c>
      <c r="E106" s="199"/>
      <c r="F106" s="216"/>
      <c r="G106" s="216"/>
      <c r="H106" s="199"/>
      <c r="I106" s="216"/>
      <c r="J106" s="216"/>
      <c r="K106" s="217"/>
    </row>
    <row r="107" spans="2:11">
      <c r="B107" s="213">
        <v>136</v>
      </c>
      <c r="C107" s="214" t="s">
        <v>55</v>
      </c>
      <c r="D107" s="215" t="s">
        <v>482</v>
      </c>
      <c r="E107" s="199"/>
      <c r="F107" s="216"/>
      <c r="G107" s="216"/>
      <c r="H107" s="199"/>
      <c r="I107" s="216"/>
      <c r="J107" s="216"/>
      <c r="K107" s="217"/>
    </row>
    <row r="108" spans="2:11">
      <c r="B108" s="213">
        <v>97</v>
      </c>
      <c r="C108" s="214" t="s">
        <v>9</v>
      </c>
      <c r="D108" s="215" t="s">
        <v>482</v>
      </c>
      <c r="E108" s="199"/>
      <c r="F108" s="216"/>
      <c r="G108" s="216"/>
      <c r="H108" s="199"/>
      <c r="I108" s="216"/>
      <c r="J108" s="216"/>
      <c r="K108" s="217"/>
    </row>
    <row r="109" spans="2:11">
      <c r="B109" s="213">
        <v>107</v>
      </c>
      <c r="C109" s="214" t="s">
        <v>26</v>
      </c>
      <c r="D109" s="215" t="s">
        <v>482</v>
      </c>
      <c r="E109" s="199"/>
      <c r="F109" s="216"/>
      <c r="G109" s="216"/>
      <c r="H109" s="199"/>
      <c r="I109" s="216"/>
      <c r="J109" s="216"/>
      <c r="K109" s="217"/>
    </row>
    <row r="110" spans="2:11">
      <c r="B110" s="213">
        <v>98</v>
      </c>
      <c r="C110" s="214" t="s">
        <v>10</v>
      </c>
      <c r="D110" s="215" t="s">
        <v>482</v>
      </c>
      <c r="E110" s="199"/>
      <c r="F110" s="216"/>
      <c r="G110" s="216"/>
      <c r="H110" s="199"/>
      <c r="I110" s="216"/>
      <c r="J110" s="216"/>
      <c r="K110" s="217"/>
    </row>
    <row r="111" spans="2:11">
      <c r="B111" s="213">
        <v>108</v>
      </c>
      <c r="C111" s="214" t="s">
        <v>27</v>
      </c>
      <c r="D111" s="215" t="s">
        <v>482</v>
      </c>
      <c r="E111" s="199"/>
      <c r="F111" s="216"/>
      <c r="G111" s="216"/>
      <c r="H111" s="199"/>
      <c r="I111" s="216"/>
      <c r="J111" s="216"/>
      <c r="K111" s="217"/>
    </row>
    <row r="112" spans="2:11">
      <c r="B112" s="213">
        <v>109</v>
      </c>
      <c r="C112" s="214" t="s">
        <v>28</v>
      </c>
      <c r="D112" s="215" t="s">
        <v>482</v>
      </c>
      <c r="E112" s="199"/>
      <c r="F112" s="216"/>
      <c r="G112" s="216"/>
      <c r="H112" s="199"/>
      <c r="I112" s="216"/>
      <c r="J112" s="216"/>
      <c r="K112" s="217"/>
    </row>
    <row r="113" spans="2:11">
      <c r="B113" s="213">
        <v>100</v>
      </c>
      <c r="C113" s="214" t="s">
        <v>12</v>
      </c>
      <c r="D113" s="215" t="s">
        <v>482</v>
      </c>
      <c r="E113" s="199"/>
      <c r="F113" s="216"/>
      <c r="G113" s="216"/>
      <c r="H113" s="199"/>
      <c r="I113" s="216"/>
      <c r="J113" s="216"/>
      <c r="K113" s="217"/>
    </row>
    <row r="114" spans="2:11">
      <c r="B114" s="213">
        <v>110</v>
      </c>
      <c r="C114" s="214" t="s">
        <v>29</v>
      </c>
      <c r="D114" s="215" t="s">
        <v>482</v>
      </c>
      <c r="E114" s="199"/>
      <c r="F114" s="216"/>
      <c r="G114" s="216"/>
      <c r="H114" s="199"/>
      <c r="I114" s="216"/>
      <c r="J114" s="216"/>
      <c r="K114" s="217"/>
    </row>
    <row r="115" spans="2:11">
      <c r="B115" s="213">
        <v>30</v>
      </c>
      <c r="C115" s="214" t="s">
        <v>366</v>
      </c>
      <c r="D115" s="215" t="s">
        <v>511</v>
      </c>
      <c r="E115" s="199"/>
      <c r="F115" s="216"/>
      <c r="G115" s="216"/>
      <c r="H115" s="199"/>
      <c r="I115" s="216"/>
      <c r="J115" s="216"/>
      <c r="K115" s="217"/>
    </row>
    <row r="116" spans="2:11">
      <c r="B116" s="213">
        <v>29</v>
      </c>
      <c r="C116" s="214" t="s">
        <v>365</v>
      </c>
      <c r="D116" s="215" t="s">
        <v>500</v>
      </c>
      <c r="E116" s="199"/>
      <c r="F116" s="216"/>
      <c r="G116" s="216"/>
      <c r="H116" s="199"/>
      <c r="I116" s="216"/>
      <c r="J116" s="216"/>
      <c r="K116" s="217"/>
    </row>
    <row r="117" spans="2:11">
      <c r="B117" s="213">
        <v>39</v>
      </c>
      <c r="C117" s="214" t="s">
        <v>375</v>
      </c>
      <c r="D117" s="215" t="s">
        <v>483</v>
      </c>
      <c r="E117" s="199"/>
      <c r="F117" s="216"/>
      <c r="G117" s="216"/>
      <c r="H117" s="199"/>
      <c r="I117" s="216"/>
      <c r="J117" s="216"/>
      <c r="K117" s="217"/>
    </row>
    <row r="118" spans="2:11">
      <c r="B118" s="213">
        <v>40</v>
      </c>
      <c r="C118" s="214" t="s">
        <v>376</v>
      </c>
      <c r="D118" s="215" t="s">
        <v>492</v>
      </c>
      <c r="E118" s="199"/>
      <c r="F118" s="216"/>
      <c r="G118" s="216"/>
      <c r="H118" s="199"/>
      <c r="I118" s="216"/>
      <c r="J118" s="216"/>
      <c r="K118" s="217"/>
    </row>
    <row r="119" spans="2:11">
      <c r="B119" s="213">
        <v>119</v>
      </c>
      <c r="C119" s="214" t="s">
        <v>38</v>
      </c>
      <c r="D119" s="215" t="s">
        <v>506</v>
      </c>
      <c r="E119" s="199"/>
      <c r="F119" s="216"/>
      <c r="G119" s="216"/>
      <c r="H119" s="199"/>
      <c r="I119" s="216"/>
      <c r="J119" s="216"/>
      <c r="K119" s="217"/>
    </row>
    <row r="120" spans="2:11">
      <c r="B120" s="213">
        <v>120</v>
      </c>
      <c r="C120" s="214" t="s">
        <v>39</v>
      </c>
      <c r="D120" s="215" t="s">
        <v>496</v>
      </c>
      <c r="E120" s="199"/>
      <c r="F120" s="216"/>
      <c r="G120" s="216"/>
      <c r="H120" s="199"/>
      <c r="I120" s="216"/>
      <c r="J120" s="216"/>
      <c r="K120" s="217"/>
    </row>
    <row r="121" spans="2:11">
      <c r="B121" s="42">
        <v>267</v>
      </c>
      <c r="C121" s="21" t="s">
        <v>186</v>
      </c>
      <c r="D121" s="327" t="s">
        <v>485</v>
      </c>
      <c r="E121" s="323" t="s">
        <v>876</v>
      </c>
      <c r="F121" s="5"/>
      <c r="G121" s="387" t="s">
        <v>226</v>
      </c>
      <c r="H121" s="5"/>
      <c r="I121" s="5"/>
      <c r="J121" s="5"/>
      <c r="K121" s="14"/>
    </row>
    <row r="122" spans="2:11">
      <c r="B122" s="42">
        <v>268</v>
      </c>
      <c r="C122" s="21" t="s">
        <v>187</v>
      </c>
      <c r="D122" s="327" t="s">
        <v>494</v>
      </c>
      <c r="E122" s="323" t="s">
        <v>876</v>
      </c>
      <c r="F122" s="5"/>
      <c r="G122" s="387" t="s">
        <v>236</v>
      </c>
      <c r="H122" s="5"/>
      <c r="I122" s="5"/>
      <c r="J122" s="5"/>
      <c r="K122" s="14"/>
    </row>
    <row r="123" spans="2:11">
      <c r="B123" s="42">
        <v>258</v>
      </c>
      <c r="C123" s="21" t="s">
        <v>177</v>
      </c>
      <c r="D123" s="22" t="s">
        <v>493</v>
      </c>
      <c r="E123" s="5"/>
      <c r="F123" s="5"/>
      <c r="G123" s="5"/>
      <c r="H123" s="5"/>
      <c r="I123" s="5"/>
      <c r="J123" s="5"/>
      <c r="K123" s="14"/>
    </row>
    <row r="124" spans="2:11">
      <c r="B124" s="42">
        <v>257</v>
      </c>
      <c r="C124" s="21" t="s">
        <v>176</v>
      </c>
      <c r="D124" s="327" t="s">
        <v>484</v>
      </c>
      <c r="E124" s="323" t="s">
        <v>876</v>
      </c>
      <c r="F124" s="323"/>
      <c r="G124" s="387" t="s">
        <v>1034</v>
      </c>
      <c r="H124" s="5"/>
      <c r="I124" s="5"/>
      <c r="J124" s="5"/>
      <c r="K124" s="14"/>
    </row>
    <row r="125" spans="2:11">
      <c r="B125" s="42">
        <v>260</v>
      </c>
      <c r="C125" s="21" t="s">
        <v>179</v>
      </c>
      <c r="D125" s="22" t="s">
        <v>516</v>
      </c>
      <c r="E125" s="5"/>
      <c r="F125" s="5"/>
      <c r="G125" s="5"/>
      <c r="H125" s="5"/>
      <c r="I125" s="5"/>
      <c r="J125" s="5"/>
      <c r="K125" s="14"/>
    </row>
    <row r="126" spans="2:11">
      <c r="B126" s="42">
        <v>259</v>
      </c>
      <c r="C126" s="21" t="s">
        <v>178</v>
      </c>
      <c r="D126" s="327" t="s">
        <v>504</v>
      </c>
      <c r="E126" s="323" t="s">
        <v>876</v>
      </c>
      <c r="F126" s="323"/>
      <c r="G126" s="387" t="s">
        <v>1035</v>
      </c>
      <c r="H126" s="5"/>
      <c r="I126" s="5"/>
      <c r="J126" s="5"/>
      <c r="K126" s="14"/>
    </row>
    <row r="127" spans="2:11">
      <c r="B127" s="42">
        <v>206</v>
      </c>
      <c r="C127" s="21" t="s">
        <v>125</v>
      </c>
      <c r="D127" s="22" t="s">
        <v>475</v>
      </c>
      <c r="E127" s="5"/>
      <c r="F127" s="5"/>
      <c r="G127" s="5"/>
      <c r="H127" s="5"/>
      <c r="I127" s="5"/>
      <c r="J127" s="5"/>
      <c r="K127" s="14"/>
    </row>
    <row r="128" spans="2:11">
      <c r="B128" s="42">
        <v>216</v>
      </c>
      <c r="C128" s="21" t="s">
        <v>135</v>
      </c>
      <c r="D128" s="22" t="s">
        <v>475</v>
      </c>
      <c r="E128" s="5"/>
      <c r="F128" s="5"/>
      <c r="G128" s="5"/>
      <c r="H128" s="5"/>
      <c r="I128" s="5"/>
      <c r="J128" s="5"/>
      <c r="K128" s="14"/>
    </row>
    <row r="129" spans="2:11">
      <c r="B129" s="42">
        <v>226</v>
      </c>
      <c r="C129" s="21" t="s">
        <v>145</v>
      </c>
      <c r="D129" s="22" t="s">
        <v>475</v>
      </c>
      <c r="E129" s="5"/>
      <c r="F129" s="5"/>
      <c r="G129" s="5"/>
      <c r="H129" s="5"/>
      <c r="I129" s="5"/>
      <c r="J129" s="5"/>
      <c r="K129" s="14"/>
    </row>
    <row r="130" spans="2:11">
      <c r="B130" s="42">
        <v>236</v>
      </c>
      <c r="C130" s="21" t="s">
        <v>155</v>
      </c>
      <c r="D130" s="22" t="s">
        <v>475</v>
      </c>
      <c r="E130" s="5"/>
      <c r="F130" s="5"/>
      <c r="G130" s="5"/>
      <c r="H130" s="5"/>
      <c r="I130" s="5"/>
      <c r="J130" s="5"/>
      <c r="K130" s="14"/>
    </row>
    <row r="131" spans="2:11">
      <c r="B131" s="42">
        <v>246</v>
      </c>
      <c r="C131" s="21" t="s">
        <v>165</v>
      </c>
      <c r="D131" s="22" t="s">
        <v>475</v>
      </c>
      <c r="E131" s="5"/>
      <c r="F131" s="5"/>
      <c r="G131" s="5"/>
      <c r="H131" s="5"/>
      <c r="I131" s="5"/>
      <c r="J131" s="5"/>
      <c r="K131" s="14"/>
    </row>
    <row r="132" spans="2:11">
      <c r="B132" s="42">
        <v>256</v>
      </c>
      <c r="C132" s="21" t="s">
        <v>175</v>
      </c>
      <c r="D132" s="22" t="s">
        <v>475</v>
      </c>
      <c r="E132" s="5"/>
      <c r="F132" s="5"/>
      <c r="G132" s="5"/>
      <c r="H132" s="5"/>
      <c r="I132" s="5"/>
      <c r="J132" s="5"/>
      <c r="K132" s="14"/>
    </row>
    <row r="133" spans="2:11">
      <c r="B133" s="42">
        <v>237</v>
      </c>
      <c r="C133" s="21" t="s">
        <v>156</v>
      </c>
      <c r="D133" s="22" t="s">
        <v>475</v>
      </c>
      <c r="E133" s="5"/>
      <c r="F133" s="5"/>
      <c r="G133" s="5"/>
      <c r="H133" s="5"/>
      <c r="I133" s="5"/>
      <c r="J133" s="5"/>
      <c r="K133" s="14"/>
    </row>
    <row r="134" spans="2:11">
      <c r="B134" s="42">
        <v>247</v>
      </c>
      <c r="C134" s="21" t="s">
        <v>166</v>
      </c>
      <c r="D134" s="22" t="s">
        <v>475</v>
      </c>
      <c r="E134" s="5"/>
      <c r="F134" s="5"/>
      <c r="G134" s="5"/>
      <c r="H134" s="5"/>
      <c r="I134" s="5"/>
      <c r="J134" s="5"/>
      <c r="K134" s="14"/>
    </row>
    <row r="135" spans="2:11">
      <c r="B135" s="42">
        <v>238</v>
      </c>
      <c r="C135" s="21" t="s">
        <v>157</v>
      </c>
      <c r="D135" s="22" t="s">
        <v>475</v>
      </c>
      <c r="E135" s="5"/>
      <c r="F135" s="5"/>
      <c r="G135" s="5"/>
      <c r="H135" s="5"/>
      <c r="I135" s="5"/>
      <c r="J135" s="5"/>
      <c r="K135" s="14"/>
    </row>
    <row r="136" spans="2:11">
      <c r="B136" s="42">
        <v>248</v>
      </c>
      <c r="C136" s="21" t="s">
        <v>167</v>
      </c>
      <c r="D136" s="22" t="s">
        <v>475</v>
      </c>
      <c r="E136" s="5"/>
      <c r="F136" s="5"/>
      <c r="G136" s="5"/>
      <c r="H136" s="5"/>
      <c r="I136" s="5"/>
      <c r="J136" s="5"/>
      <c r="K136" s="14"/>
    </row>
    <row r="137" spans="2:11">
      <c r="B137" s="42">
        <v>239</v>
      </c>
      <c r="C137" s="21" t="s">
        <v>158</v>
      </c>
      <c r="D137" s="22" t="s">
        <v>475</v>
      </c>
      <c r="E137" s="5"/>
      <c r="F137" s="5"/>
      <c r="G137" s="5"/>
      <c r="H137" s="5"/>
      <c r="I137" s="5"/>
      <c r="J137" s="5"/>
      <c r="K137" s="14"/>
    </row>
    <row r="138" spans="2:11">
      <c r="B138" s="42">
        <v>240</v>
      </c>
      <c r="C138" s="21" t="s">
        <v>159</v>
      </c>
      <c r="D138" s="22" t="s">
        <v>514</v>
      </c>
      <c r="E138" s="5"/>
      <c r="F138" s="5"/>
      <c r="G138" s="5"/>
      <c r="H138" s="5"/>
      <c r="I138" s="5"/>
      <c r="J138" s="5"/>
      <c r="K138" s="14"/>
    </row>
    <row r="139" spans="2:11">
      <c r="B139" s="42">
        <v>250</v>
      </c>
      <c r="C139" s="21" t="s">
        <v>169</v>
      </c>
      <c r="D139" s="22" t="s">
        <v>515</v>
      </c>
      <c r="E139" s="5"/>
      <c r="F139" s="5"/>
      <c r="G139" s="5"/>
      <c r="H139" s="5"/>
      <c r="I139" s="5"/>
      <c r="J139" s="5"/>
      <c r="K139" s="14"/>
    </row>
    <row r="140" spans="2:11">
      <c r="B140" s="42">
        <v>249</v>
      </c>
      <c r="C140" s="21" t="s">
        <v>168</v>
      </c>
      <c r="D140" s="22" t="s">
        <v>503</v>
      </c>
      <c r="E140" s="5"/>
      <c r="F140" s="5"/>
      <c r="G140" s="5"/>
      <c r="H140" s="5"/>
      <c r="I140" s="5"/>
      <c r="J140" s="5"/>
      <c r="K140" s="14"/>
    </row>
    <row r="141" spans="2:11">
      <c r="B141" s="42">
        <v>266</v>
      </c>
      <c r="C141" s="21" t="s">
        <v>185</v>
      </c>
      <c r="D141" s="22" t="s">
        <v>476</v>
      </c>
      <c r="E141" s="5"/>
      <c r="F141" s="5"/>
      <c r="G141" s="5"/>
      <c r="H141" s="5"/>
      <c r="I141" s="5"/>
      <c r="J141" s="5"/>
      <c r="K141" s="14"/>
    </row>
    <row r="142" spans="2:11">
      <c r="B142" s="42">
        <v>276</v>
      </c>
      <c r="C142" s="21" t="s">
        <v>195</v>
      </c>
      <c r="D142" s="22" t="s">
        <v>476</v>
      </c>
      <c r="E142" s="5"/>
      <c r="F142" s="5"/>
      <c r="G142" s="5"/>
      <c r="H142" s="5"/>
      <c r="I142" s="5"/>
      <c r="J142" s="5"/>
      <c r="K142" s="14"/>
    </row>
    <row r="143" spans="2:11">
      <c r="B143" s="42">
        <v>286</v>
      </c>
      <c r="C143" s="21" t="s">
        <v>205</v>
      </c>
      <c r="D143" s="22" t="s">
        <v>476</v>
      </c>
      <c r="E143" s="5"/>
      <c r="F143" s="5"/>
      <c r="G143" s="5"/>
      <c r="H143" s="5"/>
      <c r="I143" s="5"/>
      <c r="J143" s="5"/>
      <c r="K143" s="14"/>
    </row>
    <row r="144" spans="2:11">
      <c r="B144" s="42">
        <v>296</v>
      </c>
      <c r="C144" s="21" t="s">
        <v>215</v>
      </c>
      <c r="D144" s="22" t="s">
        <v>476</v>
      </c>
      <c r="E144" s="5"/>
      <c r="F144" s="5"/>
      <c r="G144" s="5"/>
      <c r="H144" s="5"/>
      <c r="I144" s="5"/>
      <c r="J144" s="5"/>
      <c r="K144" s="14"/>
    </row>
    <row r="145" spans="2:11">
      <c r="B145" s="42">
        <v>306</v>
      </c>
      <c r="C145" s="21" t="s">
        <v>225</v>
      </c>
      <c r="D145" s="22" t="s">
        <v>476</v>
      </c>
      <c r="E145" s="5"/>
      <c r="F145" s="5"/>
      <c r="G145" s="5"/>
      <c r="H145" s="5"/>
      <c r="I145" s="5"/>
      <c r="J145" s="5"/>
      <c r="K145" s="14"/>
    </row>
    <row r="146" spans="2:11">
      <c r="B146" s="42">
        <v>316</v>
      </c>
      <c r="C146" s="21" t="s">
        <v>235</v>
      </c>
      <c r="D146" s="22" t="s">
        <v>476</v>
      </c>
      <c r="E146" s="5"/>
      <c r="F146" s="5"/>
      <c r="G146" s="5"/>
      <c r="H146" s="5"/>
      <c r="I146" s="5"/>
      <c r="J146" s="5"/>
      <c r="K146" s="14"/>
    </row>
    <row r="147" spans="2:11">
      <c r="B147" s="42">
        <v>326</v>
      </c>
      <c r="C147" s="21" t="s">
        <v>245</v>
      </c>
      <c r="D147" s="22" t="s">
        <v>476</v>
      </c>
      <c r="E147" s="5"/>
      <c r="F147" s="5"/>
      <c r="G147" s="5"/>
      <c r="H147" s="5"/>
      <c r="I147" s="5"/>
      <c r="J147" s="5"/>
      <c r="K147" s="14"/>
    </row>
    <row r="148" spans="2:11">
      <c r="B148" s="42">
        <v>328</v>
      </c>
      <c r="C148" s="21" t="s">
        <v>247</v>
      </c>
      <c r="D148" s="22" t="s">
        <v>476</v>
      </c>
      <c r="E148" s="5"/>
      <c r="F148" s="5"/>
      <c r="G148" s="5"/>
      <c r="H148" s="5"/>
      <c r="I148" s="5"/>
      <c r="J148" s="5"/>
      <c r="K148" s="14"/>
    </row>
    <row r="149" spans="2:11">
      <c r="B149" s="42">
        <v>329</v>
      </c>
      <c r="C149" s="21" t="s">
        <v>248</v>
      </c>
      <c r="D149" s="22" t="s">
        <v>476</v>
      </c>
      <c r="E149" s="5"/>
      <c r="F149" s="5"/>
      <c r="G149" s="5"/>
      <c r="H149" s="5"/>
      <c r="I149" s="5"/>
      <c r="J149" s="5"/>
      <c r="K149" s="14"/>
    </row>
    <row r="150" spans="2:11">
      <c r="B150" s="42">
        <v>330</v>
      </c>
      <c r="C150" s="21" t="s">
        <v>249</v>
      </c>
      <c r="D150" s="22" t="s">
        <v>476</v>
      </c>
      <c r="E150" s="5"/>
      <c r="F150" s="5"/>
      <c r="G150" s="5"/>
      <c r="H150" s="5"/>
      <c r="I150" s="5"/>
      <c r="J150" s="5"/>
      <c r="K150" s="14"/>
    </row>
    <row r="151" spans="2:11">
      <c r="B151" s="42">
        <v>219</v>
      </c>
      <c r="C151" s="21" t="s">
        <v>138</v>
      </c>
      <c r="D151" s="22" t="s">
        <v>501</v>
      </c>
      <c r="E151" s="5"/>
      <c r="F151" s="5"/>
      <c r="G151" s="5"/>
      <c r="H151" s="5"/>
      <c r="I151" s="5"/>
      <c r="J151" s="5"/>
      <c r="K151" s="14"/>
    </row>
    <row r="152" spans="2:11">
      <c r="B152" s="42">
        <v>220</v>
      </c>
      <c r="C152" s="21" t="s">
        <v>139</v>
      </c>
      <c r="D152" s="327" t="s">
        <v>512</v>
      </c>
      <c r="E152" s="323" t="s">
        <v>876</v>
      </c>
      <c r="F152" s="5"/>
      <c r="G152" s="387" t="s">
        <v>147</v>
      </c>
      <c r="H152" s="5"/>
      <c r="I152" s="5"/>
      <c r="J152" s="5"/>
      <c r="K152" s="14"/>
    </row>
    <row r="153" spans="2:11">
      <c r="B153" s="42">
        <v>229</v>
      </c>
      <c r="C153" s="21" t="s">
        <v>148</v>
      </c>
      <c r="D153" s="327" t="s">
        <v>502</v>
      </c>
      <c r="E153" s="323" t="s">
        <v>876</v>
      </c>
      <c r="F153" s="13"/>
      <c r="G153" s="324" t="s">
        <v>247</v>
      </c>
      <c r="H153" s="5"/>
      <c r="I153" s="5"/>
      <c r="J153" s="5"/>
      <c r="K153" s="14"/>
    </row>
    <row r="154" spans="2:11">
      <c r="B154" s="42">
        <v>230</v>
      </c>
      <c r="C154" s="21" t="s">
        <v>149</v>
      </c>
      <c r="D154" s="327" t="s">
        <v>513</v>
      </c>
      <c r="E154" s="323" t="s">
        <v>876</v>
      </c>
      <c r="F154" s="13"/>
      <c r="G154" s="324" t="s">
        <v>257</v>
      </c>
      <c r="H154" s="5"/>
      <c r="I154" s="5"/>
      <c r="J154" s="5"/>
      <c r="K154" s="14"/>
    </row>
    <row r="155" spans="2:11">
      <c r="B155" s="42">
        <v>269</v>
      </c>
      <c r="C155" s="21" t="s">
        <v>188</v>
      </c>
      <c r="D155" s="327" t="s">
        <v>517</v>
      </c>
      <c r="E155" s="323" t="s">
        <v>876</v>
      </c>
      <c r="F155" s="5"/>
      <c r="G155" s="320" t="s">
        <v>317</v>
      </c>
      <c r="H155" s="5"/>
      <c r="I155" s="5"/>
      <c r="J155" s="5"/>
      <c r="K155" s="14"/>
    </row>
    <row r="156" spans="2:11">
      <c r="B156" s="42">
        <v>270</v>
      </c>
      <c r="C156" s="21" t="s">
        <v>189</v>
      </c>
      <c r="D156" s="327" t="s">
        <v>505</v>
      </c>
      <c r="E156" s="323" t="s">
        <v>876</v>
      </c>
      <c r="F156" s="5"/>
      <c r="G156" s="387" t="s">
        <v>1033</v>
      </c>
      <c r="H156" s="5"/>
      <c r="I156" s="5"/>
      <c r="J156" s="5"/>
      <c r="K156" s="14"/>
    </row>
    <row r="157" spans="2:11">
      <c r="B157" s="197">
        <v>400</v>
      </c>
      <c r="C157" s="198" t="s">
        <v>319</v>
      </c>
      <c r="D157" s="292" t="s">
        <v>709</v>
      </c>
      <c r="E157" s="199"/>
      <c r="F157" s="199"/>
      <c r="G157" s="199"/>
      <c r="H157" s="199"/>
      <c r="I157" s="199"/>
      <c r="J157" s="199"/>
      <c r="K157" s="200"/>
    </row>
    <row r="158" spans="2:11">
      <c r="B158" s="197">
        <v>399</v>
      </c>
      <c r="C158" s="198" t="s">
        <v>318</v>
      </c>
      <c r="D158" s="292" t="s">
        <v>687</v>
      </c>
      <c r="E158" s="199"/>
      <c r="F158" s="199"/>
      <c r="G158" s="199"/>
      <c r="H158" s="199"/>
      <c r="I158" s="199"/>
      <c r="J158" s="199"/>
      <c r="K158" s="200"/>
    </row>
    <row r="159" spans="2:11">
      <c r="B159" s="197">
        <v>398</v>
      </c>
      <c r="C159" s="198" t="s">
        <v>317</v>
      </c>
      <c r="D159" s="292" t="s">
        <v>665</v>
      </c>
      <c r="E159" s="199"/>
      <c r="F159" s="199"/>
      <c r="G159" s="199"/>
      <c r="H159" s="199"/>
      <c r="I159" s="199"/>
      <c r="J159" s="199"/>
      <c r="K159" s="200"/>
    </row>
    <row r="160" spans="2:11">
      <c r="B160" s="197">
        <v>397</v>
      </c>
      <c r="C160" s="198" t="s">
        <v>316</v>
      </c>
      <c r="D160" s="292" t="s">
        <v>642</v>
      </c>
      <c r="E160" s="199"/>
      <c r="F160" s="199"/>
      <c r="G160" s="199"/>
      <c r="H160" s="199"/>
      <c r="I160" s="199"/>
      <c r="J160" s="199"/>
      <c r="K160" s="200"/>
    </row>
    <row r="161" spans="2:11">
      <c r="B161" s="197">
        <v>366</v>
      </c>
      <c r="C161" s="198" t="s">
        <v>285</v>
      </c>
      <c r="D161" s="292" t="s">
        <v>618</v>
      </c>
      <c r="E161" s="199"/>
      <c r="F161" s="199"/>
      <c r="G161" s="199"/>
      <c r="H161" s="199"/>
      <c r="I161" s="199"/>
      <c r="J161" s="199"/>
      <c r="K161" s="200"/>
    </row>
    <row r="162" spans="2:11">
      <c r="B162" s="197">
        <v>376</v>
      </c>
      <c r="C162" s="198" t="s">
        <v>295</v>
      </c>
      <c r="D162" s="292" t="s">
        <v>619</v>
      </c>
      <c r="E162" s="199"/>
      <c r="F162" s="199"/>
      <c r="G162" s="199"/>
      <c r="H162" s="199"/>
      <c r="I162" s="199"/>
      <c r="J162" s="199"/>
      <c r="K162" s="200"/>
    </row>
    <row r="163" spans="2:11">
      <c r="B163" s="197">
        <v>390</v>
      </c>
      <c r="C163" s="198" t="s">
        <v>309</v>
      </c>
      <c r="D163" s="292" t="s">
        <v>708</v>
      </c>
      <c r="E163" s="199"/>
      <c r="F163" s="199"/>
      <c r="G163" s="199"/>
      <c r="H163" s="199"/>
      <c r="I163" s="199"/>
      <c r="J163" s="199"/>
      <c r="K163" s="200"/>
    </row>
    <row r="164" spans="2:11">
      <c r="B164" s="197">
        <v>389</v>
      </c>
      <c r="C164" s="198" t="s">
        <v>308</v>
      </c>
      <c r="D164" s="292" t="s">
        <v>686</v>
      </c>
      <c r="E164" s="199"/>
      <c r="F164" s="199"/>
      <c r="G164" s="199"/>
      <c r="H164" s="199"/>
      <c r="I164" s="199"/>
      <c r="J164" s="199"/>
      <c r="K164" s="200"/>
    </row>
    <row r="165" spans="2:11">
      <c r="B165" s="197">
        <v>370</v>
      </c>
      <c r="C165" s="198" t="s">
        <v>289</v>
      </c>
      <c r="D165" s="292" t="s">
        <v>706</v>
      </c>
      <c r="E165" s="199"/>
      <c r="F165" s="199"/>
      <c r="G165" s="199"/>
      <c r="H165" s="199"/>
      <c r="I165" s="199"/>
      <c r="J165" s="199"/>
      <c r="K165" s="200"/>
    </row>
    <row r="166" spans="2:11">
      <c r="B166" s="197">
        <v>369</v>
      </c>
      <c r="C166" s="198" t="s">
        <v>288</v>
      </c>
      <c r="D166" s="292" t="s">
        <v>684</v>
      </c>
      <c r="E166" s="199"/>
      <c r="F166" s="199"/>
      <c r="G166" s="199"/>
      <c r="H166" s="199"/>
      <c r="I166" s="199"/>
      <c r="J166" s="199"/>
      <c r="K166" s="200"/>
    </row>
    <row r="167" spans="2:11">
      <c r="B167" s="197">
        <v>377</v>
      </c>
      <c r="C167" s="198" t="s">
        <v>296</v>
      </c>
      <c r="D167" s="292" t="s">
        <v>641</v>
      </c>
      <c r="E167" s="199"/>
      <c r="F167" s="199"/>
      <c r="G167" s="199"/>
      <c r="H167" s="199"/>
      <c r="I167" s="199"/>
      <c r="J167" s="199"/>
      <c r="K167" s="200"/>
    </row>
    <row r="168" spans="2:11">
      <c r="B168" s="197">
        <v>378</v>
      </c>
      <c r="C168" s="198" t="s">
        <v>297</v>
      </c>
      <c r="D168" s="292" t="s">
        <v>664</v>
      </c>
      <c r="E168" s="199"/>
      <c r="F168" s="199"/>
      <c r="G168" s="199"/>
      <c r="H168" s="199"/>
      <c r="I168" s="199"/>
      <c r="J168" s="199"/>
      <c r="K168" s="200"/>
    </row>
    <row r="169" spans="2:11">
      <c r="B169" s="197">
        <v>367</v>
      </c>
      <c r="C169" s="198" t="s">
        <v>286</v>
      </c>
      <c r="D169" s="292" t="s">
        <v>640</v>
      </c>
      <c r="E169" s="199"/>
      <c r="F169" s="199"/>
      <c r="G169" s="199"/>
      <c r="H169" s="199"/>
      <c r="I169" s="199"/>
      <c r="J169" s="199"/>
      <c r="K169" s="200"/>
    </row>
    <row r="170" spans="2:11">
      <c r="B170" s="197">
        <v>368</v>
      </c>
      <c r="C170" s="198" t="s">
        <v>287</v>
      </c>
      <c r="D170" s="292" t="s">
        <v>663</v>
      </c>
      <c r="E170" s="199"/>
      <c r="F170" s="199"/>
      <c r="G170" s="199"/>
      <c r="H170" s="199"/>
      <c r="I170" s="199"/>
      <c r="J170" s="199"/>
      <c r="K170" s="200"/>
    </row>
    <row r="171" spans="2:11">
      <c r="B171" s="197">
        <v>380</v>
      </c>
      <c r="C171" s="198" t="s">
        <v>299</v>
      </c>
      <c r="D171" s="292" t="s">
        <v>707</v>
      </c>
      <c r="E171" s="199"/>
      <c r="F171" s="199"/>
      <c r="G171" s="199"/>
      <c r="H171" s="199"/>
      <c r="I171" s="199"/>
      <c r="J171" s="199"/>
      <c r="K171" s="200"/>
    </row>
    <row r="172" spans="2:11">
      <c r="B172" s="197">
        <v>379</v>
      </c>
      <c r="C172" s="198" t="s">
        <v>298</v>
      </c>
      <c r="D172" s="292" t="s">
        <v>685</v>
      </c>
      <c r="E172" s="199"/>
      <c r="F172" s="199"/>
      <c r="G172" s="199"/>
      <c r="H172" s="199"/>
      <c r="I172" s="199"/>
      <c r="J172" s="199"/>
      <c r="K172" s="200"/>
    </row>
    <row r="173" spans="2:11">
      <c r="B173" s="197">
        <v>394</v>
      </c>
      <c r="C173" s="198" t="s">
        <v>313</v>
      </c>
      <c r="D173" s="292" t="s">
        <v>599</v>
      </c>
      <c r="E173" s="199"/>
      <c r="F173" s="199"/>
      <c r="G173" s="199"/>
      <c r="H173" s="199"/>
      <c r="I173" s="199"/>
      <c r="J173" s="199"/>
      <c r="K173" s="200"/>
    </row>
    <row r="174" spans="2:11">
      <c r="B174" s="197">
        <v>384</v>
      </c>
      <c r="C174" s="198" t="s">
        <v>303</v>
      </c>
      <c r="D174" s="292" t="s">
        <v>598</v>
      </c>
      <c r="E174" s="199"/>
      <c r="F174" s="199"/>
      <c r="G174" s="199"/>
      <c r="H174" s="199"/>
      <c r="I174" s="199"/>
      <c r="J174" s="199"/>
      <c r="K174" s="200"/>
    </row>
    <row r="175" spans="2:11">
      <c r="B175" s="197">
        <v>374</v>
      </c>
      <c r="C175" s="198" t="s">
        <v>293</v>
      </c>
      <c r="D175" s="292" t="s">
        <v>597</v>
      </c>
      <c r="E175" s="199"/>
      <c r="F175" s="199"/>
      <c r="G175" s="199"/>
      <c r="H175" s="199"/>
      <c r="I175" s="199"/>
      <c r="J175" s="199"/>
      <c r="K175" s="200"/>
    </row>
    <row r="176" spans="2:11">
      <c r="B176" s="197">
        <v>364</v>
      </c>
      <c r="C176" s="198" t="s">
        <v>283</v>
      </c>
      <c r="D176" s="292" t="s">
        <v>596</v>
      </c>
      <c r="E176" s="199"/>
      <c r="F176" s="199"/>
      <c r="G176" s="199"/>
      <c r="H176" s="199"/>
      <c r="I176" s="199"/>
      <c r="J176" s="199"/>
      <c r="K176" s="200"/>
    </row>
    <row r="177" spans="2:11">
      <c r="B177" s="197">
        <v>375</v>
      </c>
      <c r="C177" s="198" t="s">
        <v>294</v>
      </c>
      <c r="D177" s="292" t="s">
        <v>609</v>
      </c>
      <c r="E177" s="199"/>
      <c r="F177" s="199"/>
      <c r="G177" s="199"/>
      <c r="H177" s="199"/>
      <c r="I177" s="199"/>
      <c r="J177" s="199"/>
      <c r="K177" s="200"/>
    </row>
    <row r="178" spans="2:11">
      <c r="B178" s="197">
        <v>365</v>
      </c>
      <c r="C178" s="198" t="s">
        <v>284</v>
      </c>
      <c r="D178" s="292" t="s">
        <v>608</v>
      </c>
      <c r="E178" s="199"/>
      <c r="F178" s="199"/>
      <c r="G178" s="199"/>
      <c r="H178" s="199"/>
      <c r="I178" s="199"/>
      <c r="J178" s="199"/>
      <c r="K178" s="200"/>
    </row>
    <row r="179" spans="2:11">
      <c r="B179" s="197">
        <v>373</v>
      </c>
      <c r="C179" s="198" t="s">
        <v>292</v>
      </c>
      <c r="D179" s="292" t="s">
        <v>576</v>
      </c>
      <c r="E179" s="199"/>
      <c r="F179" s="199"/>
      <c r="G179" s="199"/>
      <c r="H179" s="199"/>
      <c r="I179" s="199"/>
      <c r="J179" s="199"/>
      <c r="K179" s="200"/>
    </row>
    <row r="180" spans="2:11">
      <c r="B180" s="197">
        <v>363</v>
      </c>
      <c r="C180" s="198" t="s">
        <v>282</v>
      </c>
      <c r="D180" s="292" t="s">
        <v>575</v>
      </c>
      <c r="E180" s="199"/>
      <c r="F180" s="199"/>
      <c r="G180" s="199"/>
      <c r="H180" s="199"/>
      <c r="I180" s="199"/>
      <c r="J180" s="199"/>
      <c r="K180" s="200"/>
    </row>
    <row r="181" spans="2:11">
      <c r="B181" s="197">
        <v>391</v>
      </c>
      <c r="C181" s="198" t="s">
        <v>310</v>
      </c>
      <c r="D181" s="292" t="s">
        <v>533</v>
      </c>
      <c r="E181" s="199"/>
      <c r="F181" s="199"/>
      <c r="G181" s="199"/>
      <c r="H181" s="199"/>
      <c r="I181" s="199"/>
      <c r="J181" s="199"/>
      <c r="K181" s="200"/>
    </row>
    <row r="182" spans="2:11">
      <c r="B182" s="197">
        <v>381</v>
      </c>
      <c r="C182" s="198" t="s">
        <v>300</v>
      </c>
      <c r="D182" s="292" t="s">
        <v>532</v>
      </c>
      <c r="E182" s="199"/>
      <c r="F182" s="199"/>
      <c r="G182" s="199"/>
      <c r="H182" s="199"/>
      <c r="I182" s="199"/>
      <c r="J182" s="199"/>
      <c r="K182" s="200"/>
    </row>
    <row r="183" spans="2:11">
      <c r="B183" s="197">
        <v>371</v>
      </c>
      <c r="C183" s="198" t="s">
        <v>290</v>
      </c>
      <c r="D183" s="292" t="s">
        <v>531</v>
      </c>
      <c r="E183" s="199"/>
      <c r="F183" s="199"/>
      <c r="G183" s="199"/>
      <c r="H183" s="199"/>
      <c r="I183" s="199"/>
      <c r="J183" s="199"/>
      <c r="K183" s="200"/>
    </row>
    <row r="184" spans="2:11">
      <c r="B184" s="197">
        <v>361</v>
      </c>
      <c r="C184" s="198" t="s">
        <v>280</v>
      </c>
      <c r="D184" s="292" t="s">
        <v>530</v>
      </c>
      <c r="E184" s="199"/>
      <c r="F184" s="199"/>
      <c r="G184" s="199"/>
      <c r="H184" s="199"/>
      <c r="I184" s="199"/>
      <c r="J184" s="199"/>
      <c r="K184" s="200"/>
    </row>
    <row r="185" spans="2:11">
      <c r="B185" s="197">
        <v>372</v>
      </c>
      <c r="C185" s="198" t="s">
        <v>291</v>
      </c>
      <c r="D185" s="292" t="s">
        <v>551</v>
      </c>
      <c r="E185" s="199"/>
      <c r="F185" s="199"/>
      <c r="G185" s="199"/>
      <c r="H185" s="199"/>
      <c r="I185" s="199"/>
      <c r="J185" s="199"/>
      <c r="K185" s="200"/>
    </row>
    <row r="186" spans="2:11">
      <c r="B186" s="197">
        <v>362</v>
      </c>
      <c r="C186" s="198" t="s">
        <v>281</v>
      </c>
      <c r="D186" s="292" t="s">
        <v>550</v>
      </c>
      <c r="E186" s="199"/>
      <c r="F186" s="199"/>
      <c r="G186" s="199"/>
      <c r="H186" s="199"/>
      <c r="I186" s="199"/>
      <c r="J186" s="199"/>
      <c r="K186" s="200"/>
    </row>
    <row r="187" spans="2:11">
      <c r="B187" s="197">
        <v>354</v>
      </c>
      <c r="C187" s="198" t="s">
        <v>273</v>
      </c>
      <c r="D187" s="292" t="s">
        <v>595</v>
      </c>
      <c r="E187" s="199"/>
      <c r="F187" s="199"/>
      <c r="G187" s="199"/>
      <c r="H187" s="199"/>
      <c r="I187" s="199"/>
      <c r="J187" s="199"/>
      <c r="K187" s="200"/>
    </row>
    <row r="188" spans="2:11">
      <c r="B188" s="213">
        <v>353</v>
      </c>
      <c r="C188" s="214" t="s">
        <v>272</v>
      </c>
      <c r="D188" s="215" t="s">
        <v>574</v>
      </c>
      <c r="E188" s="199"/>
      <c r="F188" s="216"/>
      <c r="G188" s="216"/>
      <c r="H188" s="199"/>
      <c r="I188" s="216"/>
      <c r="J188" s="216"/>
      <c r="K188" s="217"/>
    </row>
    <row r="189" spans="2:11">
      <c r="B189" s="42">
        <v>93</v>
      </c>
      <c r="C189" s="258" t="s">
        <v>5</v>
      </c>
      <c r="D189" s="257" t="s">
        <v>558</v>
      </c>
      <c r="E189" s="324" t="s">
        <v>876</v>
      </c>
      <c r="F189" s="13"/>
      <c r="G189" s="389" t="s">
        <v>1027</v>
      </c>
      <c r="H189" s="341" t="s">
        <v>917</v>
      </c>
      <c r="I189" s="13"/>
      <c r="J189" s="13"/>
      <c r="K189" s="20"/>
    </row>
    <row r="190" spans="2:11">
      <c r="B190" s="42">
        <v>94</v>
      </c>
      <c r="C190" s="258" t="s">
        <v>6</v>
      </c>
      <c r="D190" s="257" t="s">
        <v>583</v>
      </c>
      <c r="E190" s="324" t="s">
        <v>876</v>
      </c>
      <c r="F190" s="13"/>
      <c r="G190" s="389" t="s">
        <v>1028</v>
      </c>
      <c r="H190" s="312" t="s">
        <v>917</v>
      </c>
      <c r="I190" s="13"/>
      <c r="J190" s="13"/>
      <c r="K190" s="20"/>
    </row>
    <row r="191" spans="2:11">
      <c r="B191" s="42">
        <v>103</v>
      </c>
      <c r="C191" s="258" t="s">
        <v>22</v>
      </c>
      <c r="D191" s="257" t="s">
        <v>559</v>
      </c>
      <c r="E191" s="324" t="s">
        <v>876</v>
      </c>
      <c r="F191" s="13"/>
      <c r="G191" s="389" t="s">
        <v>1025</v>
      </c>
      <c r="H191" s="312" t="s">
        <v>917</v>
      </c>
      <c r="I191" s="13"/>
      <c r="J191" s="13"/>
      <c r="K191" s="20"/>
    </row>
    <row r="192" spans="2:11">
      <c r="B192" s="42">
        <v>104</v>
      </c>
      <c r="C192" s="258" t="s">
        <v>23</v>
      </c>
      <c r="D192" s="257" t="s">
        <v>584</v>
      </c>
      <c r="E192" s="324" t="s">
        <v>876</v>
      </c>
      <c r="F192" s="13"/>
      <c r="G192" s="389" t="s">
        <v>1026</v>
      </c>
      <c r="H192" s="312" t="s">
        <v>917</v>
      </c>
      <c r="I192" s="13"/>
      <c r="J192" s="13"/>
      <c r="K192" s="20"/>
    </row>
    <row r="193" spans="2:11">
      <c r="B193" s="42">
        <v>101</v>
      </c>
      <c r="C193" s="258" t="s">
        <v>20</v>
      </c>
      <c r="D193" s="257" t="s">
        <v>522</v>
      </c>
      <c r="E193" s="324" t="s">
        <v>876</v>
      </c>
      <c r="F193" s="13"/>
      <c r="G193" s="389" t="s">
        <v>1023</v>
      </c>
      <c r="H193" s="312" t="s">
        <v>917</v>
      </c>
      <c r="I193" s="13"/>
      <c r="J193" s="13"/>
      <c r="K193" s="20"/>
    </row>
    <row r="194" spans="2:11">
      <c r="B194" s="42">
        <v>102</v>
      </c>
      <c r="C194" s="258" t="s">
        <v>21</v>
      </c>
      <c r="D194" s="257" t="s">
        <v>538</v>
      </c>
      <c r="E194" s="324" t="s">
        <v>876</v>
      </c>
      <c r="F194" s="13"/>
      <c r="G194" s="389" t="s">
        <v>1024</v>
      </c>
      <c r="H194" s="312" t="s">
        <v>917</v>
      </c>
      <c r="I194" s="13"/>
      <c r="J194" s="13"/>
      <c r="K194" s="20"/>
    </row>
    <row r="195" spans="2:11">
      <c r="B195" s="213">
        <v>95</v>
      </c>
      <c r="C195" s="214" t="s">
        <v>7</v>
      </c>
      <c r="D195" s="215" t="s">
        <v>602</v>
      </c>
      <c r="E195" s="359"/>
      <c r="F195" s="216"/>
      <c r="G195" s="359"/>
      <c r="H195" s="312"/>
      <c r="I195" s="216"/>
      <c r="J195" s="216"/>
      <c r="K195" s="217"/>
    </row>
    <row r="196" spans="2:11">
      <c r="B196" s="213">
        <v>96</v>
      </c>
      <c r="C196" s="214" t="s">
        <v>8</v>
      </c>
      <c r="D196" s="215" t="s">
        <v>616</v>
      </c>
      <c r="E196" s="359"/>
      <c r="F196" s="216"/>
      <c r="G196" s="359"/>
      <c r="H196" s="312"/>
      <c r="I196" s="216"/>
      <c r="J196" s="216"/>
      <c r="K196" s="217"/>
    </row>
    <row r="197" spans="2:11">
      <c r="B197" s="42">
        <v>86</v>
      </c>
      <c r="C197" s="258" t="s">
        <v>422</v>
      </c>
      <c r="D197" s="257" t="s">
        <v>615</v>
      </c>
      <c r="E197" s="324" t="s">
        <v>876</v>
      </c>
      <c r="F197" s="13"/>
      <c r="G197" s="389" t="s">
        <v>998</v>
      </c>
      <c r="H197" s="312" t="s">
        <v>917</v>
      </c>
      <c r="I197" s="13"/>
      <c r="J197" s="13"/>
      <c r="K197" s="20"/>
    </row>
    <row r="198" spans="2:11">
      <c r="B198" s="42">
        <v>85</v>
      </c>
      <c r="C198" s="258" t="s">
        <v>421</v>
      </c>
      <c r="D198" s="257" t="s">
        <v>601</v>
      </c>
      <c r="E198" s="324" t="s">
        <v>876</v>
      </c>
      <c r="F198" s="13"/>
      <c r="G198" s="389" t="s">
        <v>999</v>
      </c>
      <c r="H198" s="312" t="s">
        <v>917</v>
      </c>
      <c r="I198" s="13"/>
      <c r="J198" s="13"/>
      <c r="K198" s="20"/>
    </row>
    <row r="199" spans="2:11">
      <c r="B199" s="42">
        <v>76</v>
      </c>
      <c r="C199" s="258" t="s">
        <v>412</v>
      </c>
      <c r="D199" s="271" t="s">
        <v>614</v>
      </c>
      <c r="E199" s="324" t="s">
        <v>876</v>
      </c>
      <c r="F199" s="13"/>
      <c r="G199" s="389" t="s">
        <v>996</v>
      </c>
      <c r="H199" s="312" t="s">
        <v>917</v>
      </c>
      <c r="I199" s="13"/>
      <c r="J199" s="13"/>
      <c r="K199" s="20"/>
    </row>
    <row r="200" spans="2:11">
      <c r="B200" s="42">
        <v>75</v>
      </c>
      <c r="C200" s="258" t="s">
        <v>411</v>
      </c>
      <c r="D200" s="271" t="s">
        <v>600</v>
      </c>
      <c r="E200" s="324" t="s">
        <v>876</v>
      </c>
      <c r="F200" s="13"/>
      <c r="G200" s="389" t="s">
        <v>997</v>
      </c>
      <c r="H200" s="312" t="s">
        <v>917</v>
      </c>
      <c r="I200" s="13"/>
      <c r="J200" s="13"/>
      <c r="K200" s="20"/>
    </row>
    <row r="201" spans="2:11">
      <c r="B201" s="42">
        <v>74</v>
      </c>
      <c r="C201" s="258" t="s">
        <v>410</v>
      </c>
      <c r="D201" s="271" t="s">
        <v>581</v>
      </c>
      <c r="E201" s="324" t="s">
        <v>876</v>
      </c>
      <c r="F201" s="13"/>
      <c r="G201" s="389" t="s">
        <v>994</v>
      </c>
      <c r="H201" s="312" t="s">
        <v>917</v>
      </c>
      <c r="I201" s="13"/>
      <c r="J201" s="13"/>
      <c r="K201" s="20"/>
    </row>
    <row r="202" spans="2:11">
      <c r="B202" s="42">
        <v>73</v>
      </c>
      <c r="C202" s="258" t="s">
        <v>409</v>
      </c>
      <c r="D202" s="271" t="s">
        <v>556</v>
      </c>
      <c r="E202" s="324" t="s">
        <v>876</v>
      </c>
      <c r="F202" s="13"/>
      <c r="G202" s="389" t="s">
        <v>995</v>
      </c>
      <c r="H202" s="312" t="s">
        <v>917</v>
      </c>
      <c r="I202" s="13"/>
      <c r="J202" s="13"/>
      <c r="K202" s="20"/>
    </row>
    <row r="203" spans="2:11">
      <c r="B203" s="213">
        <v>83</v>
      </c>
      <c r="C203" s="214" t="s">
        <v>419</v>
      </c>
      <c r="D203" s="215" t="s">
        <v>557</v>
      </c>
      <c r="E203" s="359"/>
      <c r="F203" s="216"/>
      <c r="G203" s="359"/>
      <c r="H203" s="312"/>
      <c r="I203" s="216"/>
      <c r="J203" s="216"/>
      <c r="K203" s="217"/>
    </row>
    <row r="204" spans="2:11">
      <c r="B204" s="213">
        <v>84</v>
      </c>
      <c r="C204" s="214" t="s">
        <v>420</v>
      </c>
      <c r="D204" s="215" t="s">
        <v>582</v>
      </c>
      <c r="E204" s="359"/>
      <c r="F204" s="216"/>
      <c r="G204" s="359"/>
      <c r="H204" s="312"/>
      <c r="I204" s="216"/>
      <c r="J204" s="216"/>
      <c r="K204" s="217"/>
    </row>
    <row r="205" spans="2:11">
      <c r="B205" s="42">
        <v>24</v>
      </c>
      <c r="C205" s="258" t="s">
        <v>360</v>
      </c>
      <c r="D205" s="257" t="s">
        <v>579</v>
      </c>
      <c r="E205" s="324" t="s">
        <v>876</v>
      </c>
      <c r="F205" s="13"/>
      <c r="G205" s="389" t="s">
        <v>1006</v>
      </c>
      <c r="H205" s="312" t="s">
        <v>917</v>
      </c>
      <c r="I205" s="13"/>
      <c r="J205" s="13"/>
      <c r="K205" s="20"/>
    </row>
    <row r="206" spans="2:11">
      <c r="B206" s="42">
        <v>34</v>
      </c>
      <c r="C206" s="258" t="s">
        <v>370</v>
      </c>
      <c r="D206" s="257" t="s">
        <v>580</v>
      </c>
      <c r="E206" s="324" t="s">
        <v>876</v>
      </c>
      <c r="F206" s="13"/>
      <c r="G206" s="389" t="s">
        <v>1007</v>
      </c>
      <c r="H206" s="312" t="s">
        <v>917</v>
      </c>
      <c r="I206" s="13"/>
      <c r="J206" s="13"/>
      <c r="K206" s="20"/>
    </row>
    <row r="207" spans="2:11">
      <c r="B207" s="42">
        <v>14</v>
      </c>
      <c r="C207" s="258" t="s">
        <v>350</v>
      </c>
      <c r="D207" s="257" t="s">
        <v>578</v>
      </c>
      <c r="E207" s="324" t="s">
        <v>876</v>
      </c>
      <c r="F207" s="13"/>
      <c r="G207" s="389" t="s">
        <v>1029</v>
      </c>
      <c r="H207" s="312" t="s">
        <v>917</v>
      </c>
      <c r="I207" s="13"/>
      <c r="J207" s="13"/>
      <c r="K207" s="20"/>
    </row>
    <row r="208" spans="2:11">
      <c r="B208" s="42">
        <v>4</v>
      </c>
      <c r="C208" s="258" t="s">
        <v>340</v>
      </c>
      <c r="D208" s="257" t="s">
        <v>577</v>
      </c>
      <c r="E208" s="324" t="s">
        <v>876</v>
      </c>
      <c r="F208" s="13"/>
      <c r="G208" s="389" t="s">
        <v>1030</v>
      </c>
      <c r="H208" s="312" t="s">
        <v>917</v>
      </c>
      <c r="I208" s="13"/>
      <c r="J208" s="13"/>
      <c r="K208" s="20"/>
    </row>
    <row r="209" spans="2:11">
      <c r="B209" s="42">
        <v>13</v>
      </c>
      <c r="C209" s="258" t="s">
        <v>349</v>
      </c>
      <c r="D209" s="257" t="s">
        <v>553</v>
      </c>
      <c r="E209" s="324" t="s">
        <v>876</v>
      </c>
      <c r="F209" s="13"/>
      <c r="G209" s="389" t="s">
        <v>1000</v>
      </c>
      <c r="H209" s="312" t="s">
        <v>917</v>
      </c>
      <c r="I209" s="13"/>
      <c r="J209" s="13"/>
      <c r="K209" s="20"/>
    </row>
    <row r="210" spans="2:11">
      <c r="B210" s="42">
        <v>3</v>
      </c>
      <c r="C210" s="258" t="s">
        <v>339</v>
      </c>
      <c r="D210" s="257" t="s">
        <v>552</v>
      </c>
      <c r="E210" s="324" t="s">
        <v>876</v>
      </c>
      <c r="F210" s="13"/>
      <c r="G210" s="389" t="s">
        <v>1001</v>
      </c>
      <c r="H210" s="312" t="s">
        <v>917</v>
      </c>
      <c r="I210" s="13"/>
      <c r="J210" s="13"/>
      <c r="K210" s="20"/>
    </row>
    <row r="211" spans="2:11">
      <c r="B211" s="213">
        <v>33</v>
      </c>
      <c r="C211" s="214" t="s">
        <v>369</v>
      </c>
      <c r="D211" s="215" t="s">
        <v>555</v>
      </c>
      <c r="E211" s="359"/>
      <c r="F211" s="216"/>
      <c r="G211" s="359"/>
      <c r="H211" s="312"/>
      <c r="I211" s="216"/>
      <c r="J211" s="216"/>
      <c r="K211" s="217"/>
    </row>
    <row r="212" spans="2:11">
      <c r="B212" s="213">
        <v>23</v>
      </c>
      <c r="C212" s="214" t="s">
        <v>359</v>
      </c>
      <c r="D212" s="215" t="s">
        <v>554</v>
      </c>
      <c r="E212" s="359"/>
      <c r="F212" s="216"/>
      <c r="G212" s="359"/>
      <c r="H212" s="312"/>
      <c r="I212" s="216"/>
      <c r="J212" s="216"/>
      <c r="K212" s="217"/>
    </row>
    <row r="213" spans="2:11">
      <c r="B213" s="42">
        <v>31</v>
      </c>
      <c r="C213" s="258" t="s">
        <v>367</v>
      </c>
      <c r="D213" s="257" t="s">
        <v>521</v>
      </c>
      <c r="E213" s="324" t="s">
        <v>876</v>
      </c>
      <c r="F213" s="13"/>
      <c r="G213" s="389" t="s">
        <v>1002</v>
      </c>
      <c r="H213" s="312" t="s">
        <v>917</v>
      </c>
      <c r="I213" s="13"/>
      <c r="J213" s="13"/>
      <c r="K213" s="20"/>
    </row>
    <row r="214" spans="2:11">
      <c r="B214" s="42">
        <v>32</v>
      </c>
      <c r="C214" s="258" t="s">
        <v>368</v>
      </c>
      <c r="D214" s="257" t="s">
        <v>537</v>
      </c>
      <c r="E214" s="324" t="s">
        <v>876</v>
      </c>
      <c r="F214" s="13"/>
      <c r="G214" s="389" t="s">
        <v>1003</v>
      </c>
      <c r="H214" s="312" t="s">
        <v>917</v>
      </c>
      <c r="I214" s="13"/>
      <c r="J214" s="13"/>
      <c r="K214" s="20"/>
    </row>
    <row r="215" spans="2:11">
      <c r="B215" s="42">
        <v>21</v>
      </c>
      <c r="C215" s="258" t="s">
        <v>357</v>
      </c>
      <c r="D215" s="257" t="s">
        <v>520</v>
      </c>
      <c r="E215" s="324" t="s">
        <v>876</v>
      </c>
      <c r="F215" s="13"/>
      <c r="G215" s="389" t="s">
        <v>1004</v>
      </c>
      <c r="H215" s="312" t="s">
        <v>917</v>
      </c>
      <c r="I215" s="13"/>
      <c r="J215" s="13"/>
      <c r="K215" s="20"/>
    </row>
    <row r="216" spans="2:11">
      <c r="B216" s="42">
        <v>22</v>
      </c>
      <c r="C216" s="258" t="s">
        <v>358</v>
      </c>
      <c r="D216" s="257" t="s">
        <v>536</v>
      </c>
      <c r="E216" s="324" t="s">
        <v>876</v>
      </c>
      <c r="F216" s="13"/>
      <c r="G216" s="389" t="s">
        <v>1005</v>
      </c>
      <c r="H216" s="312" t="s">
        <v>917</v>
      </c>
      <c r="I216" s="13"/>
      <c r="J216" s="13"/>
      <c r="K216" s="20"/>
    </row>
    <row r="217" spans="2:11">
      <c r="B217" s="42">
        <v>11</v>
      </c>
      <c r="C217" s="258" t="s">
        <v>347</v>
      </c>
      <c r="D217" s="257" t="s">
        <v>519</v>
      </c>
      <c r="E217" s="324" t="s">
        <v>876</v>
      </c>
      <c r="F217" s="13"/>
      <c r="G217" s="389" t="s">
        <v>1008</v>
      </c>
      <c r="H217" s="312" t="s">
        <v>917</v>
      </c>
      <c r="I217" s="13"/>
      <c r="J217" s="13"/>
      <c r="K217" s="20"/>
    </row>
    <row r="218" spans="2:11">
      <c r="B218" s="42">
        <v>12</v>
      </c>
      <c r="C218" s="258" t="s">
        <v>348</v>
      </c>
      <c r="D218" s="257" t="s">
        <v>535</v>
      </c>
      <c r="E218" s="324" t="s">
        <v>876</v>
      </c>
      <c r="F218" s="13"/>
      <c r="G218" s="389" t="s">
        <v>1009</v>
      </c>
      <c r="H218" s="312" t="s">
        <v>917</v>
      </c>
      <c r="I218" s="13"/>
      <c r="J218" s="13"/>
      <c r="K218" s="20"/>
    </row>
    <row r="219" spans="2:11">
      <c r="B219" s="213">
        <v>1</v>
      </c>
      <c r="C219" s="214" t="s">
        <v>337</v>
      </c>
      <c r="D219" s="215" t="s">
        <v>518</v>
      </c>
      <c r="E219" s="199"/>
      <c r="F219" s="216"/>
      <c r="G219" s="216"/>
      <c r="H219" s="199"/>
      <c r="I219" s="216"/>
      <c r="J219" s="216"/>
      <c r="K219" s="217"/>
    </row>
    <row r="220" spans="2:11">
      <c r="B220" s="213">
        <v>2</v>
      </c>
      <c r="C220" s="214" t="s">
        <v>338</v>
      </c>
      <c r="D220" s="215" t="s">
        <v>534</v>
      </c>
      <c r="E220" s="199"/>
      <c r="F220" s="216"/>
      <c r="G220" s="216"/>
      <c r="H220" s="199"/>
      <c r="I220" s="216"/>
      <c r="J220" s="216"/>
      <c r="K220" s="217"/>
    </row>
    <row r="221" spans="2:11">
      <c r="B221" s="42">
        <v>43</v>
      </c>
      <c r="C221" s="258" t="s">
        <v>379</v>
      </c>
      <c r="D221" s="330" t="s">
        <v>447</v>
      </c>
      <c r="E221" s="324" t="s">
        <v>876</v>
      </c>
      <c r="F221" s="13"/>
      <c r="G221" s="387" t="s">
        <v>186</v>
      </c>
      <c r="H221" s="13"/>
      <c r="I221" s="13"/>
      <c r="J221" s="13"/>
      <c r="K221" s="20"/>
    </row>
    <row r="222" spans="2:11">
      <c r="B222" s="42">
        <v>44</v>
      </c>
      <c r="C222" s="258" t="s">
        <v>380</v>
      </c>
      <c r="D222" s="330" t="s">
        <v>455</v>
      </c>
      <c r="E222" s="324" t="s">
        <v>876</v>
      </c>
      <c r="F222" s="13"/>
      <c r="G222" s="387" t="s">
        <v>196</v>
      </c>
      <c r="H222" s="13"/>
      <c r="I222" s="13"/>
      <c r="J222" s="13"/>
      <c r="K222" s="20"/>
    </row>
    <row r="223" spans="2:11">
      <c r="B223" s="42">
        <v>62</v>
      </c>
      <c r="C223" s="258" t="s">
        <v>398</v>
      </c>
      <c r="D223" s="271" t="s">
        <v>428</v>
      </c>
      <c r="E223" s="13"/>
      <c r="F223" s="13"/>
      <c r="G223" s="13"/>
      <c r="H223" s="13"/>
      <c r="I223" s="13"/>
      <c r="J223" s="13"/>
      <c r="K223" s="20"/>
    </row>
    <row r="224" spans="2:11">
      <c r="B224" s="42">
        <v>61</v>
      </c>
      <c r="C224" s="258" t="s">
        <v>397</v>
      </c>
      <c r="D224" s="330" t="s">
        <v>322</v>
      </c>
      <c r="E224" s="324" t="s">
        <v>876</v>
      </c>
      <c r="F224" s="324"/>
      <c r="G224" s="388" t="s">
        <v>167</v>
      </c>
      <c r="H224" s="13"/>
      <c r="I224" s="13"/>
      <c r="J224" s="13"/>
      <c r="K224" s="20"/>
    </row>
    <row r="225" spans="2:11">
      <c r="B225" s="42">
        <v>71</v>
      </c>
      <c r="C225" s="258" t="s">
        <v>407</v>
      </c>
      <c r="D225" s="271" t="s">
        <v>323</v>
      </c>
      <c r="E225" s="13"/>
      <c r="F225" s="13"/>
      <c r="G225" s="13"/>
      <c r="H225" s="13"/>
      <c r="I225" s="13"/>
      <c r="J225" s="13"/>
      <c r="K225" s="20"/>
    </row>
    <row r="226" spans="2:11">
      <c r="B226" s="42">
        <v>72</v>
      </c>
      <c r="C226" s="258" t="s">
        <v>408</v>
      </c>
      <c r="D226" s="330" t="s">
        <v>429</v>
      </c>
      <c r="E226" s="324" t="s">
        <v>876</v>
      </c>
      <c r="F226" s="324"/>
      <c r="G226" s="387" t="s">
        <v>177</v>
      </c>
      <c r="H226" s="13"/>
      <c r="I226" s="13"/>
      <c r="J226" s="13"/>
      <c r="K226" s="20"/>
    </row>
    <row r="227" spans="2:11">
      <c r="B227" s="42">
        <v>51</v>
      </c>
      <c r="C227" s="258" t="s">
        <v>387</v>
      </c>
      <c r="D227" s="271" t="s">
        <v>464</v>
      </c>
      <c r="E227" s="13"/>
      <c r="F227" s="13"/>
      <c r="G227" s="13"/>
      <c r="H227" s="13"/>
      <c r="I227" s="13"/>
      <c r="J227" s="13"/>
      <c r="K227" s="20"/>
    </row>
    <row r="228" spans="2:11">
      <c r="B228" s="42">
        <v>52</v>
      </c>
      <c r="C228" s="258" t="s">
        <v>388</v>
      </c>
      <c r="D228" s="271" t="s">
        <v>464</v>
      </c>
      <c r="E228" s="13"/>
      <c r="F228" s="13"/>
      <c r="G228" s="13"/>
      <c r="H228" s="13"/>
      <c r="I228" s="13"/>
      <c r="J228" s="13"/>
      <c r="K228" s="20"/>
    </row>
    <row r="229" spans="2:11">
      <c r="B229" s="42">
        <v>53</v>
      </c>
      <c r="C229" s="258" t="s">
        <v>389</v>
      </c>
      <c r="D229" s="271" t="s">
        <v>464</v>
      </c>
      <c r="E229" s="13"/>
      <c r="F229" s="13"/>
      <c r="G229" s="13"/>
      <c r="H229" s="13"/>
      <c r="I229" s="13"/>
      <c r="J229" s="13"/>
      <c r="K229" s="20"/>
    </row>
    <row r="230" spans="2:11">
      <c r="B230" s="42">
        <v>63</v>
      </c>
      <c r="C230" s="258" t="s">
        <v>399</v>
      </c>
      <c r="D230" s="271" t="s">
        <v>464</v>
      </c>
      <c r="E230" s="13"/>
      <c r="F230" s="13"/>
      <c r="G230" s="13"/>
      <c r="H230" s="13"/>
      <c r="I230" s="13"/>
      <c r="J230" s="13"/>
      <c r="K230" s="20"/>
    </row>
    <row r="231" spans="2:11">
      <c r="B231" s="42">
        <v>54</v>
      </c>
      <c r="C231" s="258" t="s">
        <v>390</v>
      </c>
      <c r="D231" s="271" t="s">
        <v>464</v>
      </c>
      <c r="E231" s="13"/>
      <c r="F231" s="13"/>
      <c r="G231" s="13"/>
      <c r="H231" s="13"/>
      <c r="I231" s="13"/>
      <c r="J231" s="13"/>
      <c r="K231" s="20"/>
    </row>
    <row r="232" spans="2:11">
      <c r="B232" s="42">
        <v>64</v>
      </c>
      <c r="C232" s="258" t="s">
        <v>400</v>
      </c>
      <c r="D232" s="271" t="s">
        <v>464</v>
      </c>
      <c r="E232" s="13"/>
      <c r="F232" s="13"/>
      <c r="G232" s="13"/>
      <c r="H232" s="13"/>
      <c r="I232" s="13"/>
      <c r="J232" s="13"/>
      <c r="K232" s="20"/>
    </row>
    <row r="233" spans="2:11">
      <c r="B233" s="42">
        <v>105</v>
      </c>
      <c r="C233" s="258" t="s">
        <v>24</v>
      </c>
      <c r="D233" s="257" t="s">
        <v>464</v>
      </c>
      <c r="E233" s="13"/>
      <c r="F233" s="13"/>
      <c r="G233" s="13"/>
      <c r="H233" s="13"/>
      <c r="I233" s="13"/>
      <c r="J233" s="13"/>
      <c r="K233" s="20"/>
    </row>
    <row r="234" spans="2:11">
      <c r="B234" s="42">
        <v>46</v>
      </c>
      <c r="C234" s="258" t="s">
        <v>382</v>
      </c>
      <c r="D234" s="271" t="s">
        <v>471</v>
      </c>
      <c r="E234" s="13"/>
      <c r="F234" s="13"/>
      <c r="G234" s="13"/>
      <c r="H234" s="13"/>
      <c r="I234" s="13"/>
      <c r="J234" s="13"/>
      <c r="K234" s="20"/>
    </row>
    <row r="235" spans="2:11">
      <c r="B235" s="42">
        <v>66</v>
      </c>
      <c r="C235" s="258" t="s">
        <v>402</v>
      </c>
      <c r="D235" s="271" t="s">
        <v>473</v>
      </c>
      <c r="E235" s="13"/>
      <c r="F235" s="13"/>
      <c r="G235" s="13"/>
      <c r="H235" s="13"/>
      <c r="I235" s="13"/>
      <c r="J235" s="13"/>
      <c r="K235" s="20"/>
    </row>
    <row r="236" spans="2:11">
      <c r="B236" s="42">
        <v>56</v>
      </c>
      <c r="C236" s="258" t="s">
        <v>392</v>
      </c>
      <c r="D236" s="271" t="s">
        <v>472</v>
      </c>
      <c r="E236" s="13"/>
      <c r="F236" s="13"/>
      <c r="G236" s="13"/>
      <c r="H236" s="13"/>
      <c r="I236" s="13"/>
      <c r="J236" s="13"/>
      <c r="K236" s="20"/>
    </row>
    <row r="237" spans="2:11">
      <c r="B237" s="42">
        <v>5</v>
      </c>
      <c r="C237" s="258" t="s">
        <v>341</v>
      </c>
      <c r="D237" s="257" t="s">
        <v>321</v>
      </c>
      <c r="E237" s="13"/>
      <c r="F237" s="13"/>
      <c r="G237" s="13"/>
      <c r="H237" s="13"/>
      <c r="I237" s="13"/>
      <c r="J237" s="13"/>
      <c r="K237" s="20"/>
    </row>
    <row r="238" spans="2:11">
      <c r="B238" s="42">
        <v>15</v>
      </c>
      <c r="C238" s="258" t="s">
        <v>351</v>
      </c>
      <c r="D238" s="257" t="s">
        <v>321</v>
      </c>
      <c r="E238" s="13"/>
      <c r="F238" s="13"/>
      <c r="G238" s="13"/>
      <c r="H238" s="13"/>
      <c r="I238" s="13"/>
      <c r="J238" s="13"/>
      <c r="K238" s="20"/>
    </row>
    <row r="239" spans="2:11">
      <c r="B239" s="42">
        <v>25</v>
      </c>
      <c r="C239" s="258" t="s">
        <v>361</v>
      </c>
      <c r="D239" s="257" t="s">
        <v>321</v>
      </c>
      <c r="E239" s="13"/>
      <c r="F239" s="13"/>
      <c r="G239" s="13"/>
      <c r="H239" s="13"/>
      <c r="I239" s="13"/>
      <c r="J239" s="13"/>
      <c r="K239" s="20"/>
    </row>
    <row r="240" spans="2:11">
      <c r="B240" s="42">
        <v>35</v>
      </c>
      <c r="C240" s="258" t="s">
        <v>371</v>
      </c>
      <c r="D240" s="257" t="s">
        <v>321</v>
      </c>
      <c r="E240" s="13"/>
      <c r="F240" s="13"/>
      <c r="G240" s="13"/>
      <c r="H240" s="13"/>
      <c r="I240" s="13"/>
      <c r="J240" s="13"/>
      <c r="K240" s="20"/>
    </row>
    <row r="241" spans="2:11">
      <c r="B241" s="42">
        <v>45</v>
      </c>
      <c r="C241" s="258" t="s">
        <v>381</v>
      </c>
      <c r="D241" s="271" t="s">
        <v>321</v>
      </c>
      <c r="E241" s="13"/>
      <c r="F241" s="13"/>
      <c r="G241" s="13"/>
      <c r="H241" s="13"/>
      <c r="I241" s="13"/>
      <c r="J241" s="13"/>
      <c r="K241" s="20"/>
    </row>
    <row r="242" spans="2:11">
      <c r="B242" s="42">
        <v>55</v>
      </c>
      <c r="C242" s="258" t="s">
        <v>391</v>
      </c>
      <c r="D242" s="271" t="s">
        <v>321</v>
      </c>
      <c r="E242" s="13"/>
      <c r="F242" s="13"/>
      <c r="G242" s="13"/>
      <c r="H242" s="13"/>
      <c r="I242" s="13"/>
      <c r="J242" s="13"/>
      <c r="K242" s="20"/>
    </row>
    <row r="243" spans="2:11">
      <c r="B243" s="42">
        <v>65</v>
      </c>
      <c r="C243" s="258" t="s">
        <v>401</v>
      </c>
      <c r="D243" s="271" t="s">
        <v>321</v>
      </c>
      <c r="E243" s="13"/>
      <c r="F243" s="13"/>
      <c r="G243" s="13"/>
      <c r="H243" s="13"/>
      <c r="I243" s="13"/>
      <c r="J243" s="13"/>
      <c r="K243" s="20"/>
    </row>
    <row r="244" spans="2:11">
      <c r="B244" s="42">
        <v>92</v>
      </c>
      <c r="C244" s="258" t="s">
        <v>4</v>
      </c>
      <c r="D244" s="257" t="s">
        <v>431</v>
      </c>
      <c r="E244" s="13"/>
      <c r="F244" s="13"/>
      <c r="G244" s="13"/>
      <c r="H244" s="13"/>
      <c r="I244" s="13"/>
      <c r="J244" s="13"/>
      <c r="K244" s="20"/>
    </row>
    <row r="245" spans="2:11">
      <c r="B245" s="42">
        <v>91</v>
      </c>
      <c r="C245" s="258" t="s">
        <v>0</v>
      </c>
      <c r="D245" s="328" t="s">
        <v>325</v>
      </c>
      <c r="E245" s="324" t="s">
        <v>876</v>
      </c>
      <c r="F245" s="13"/>
      <c r="G245" s="387" t="s">
        <v>107</v>
      </c>
      <c r="H245" s="13"/>
      <c r="I245" s="13"/>
      <c r="J245" s="13"/>
      <c r="K245" s="20"/>
    </row>
    <row r="246" spans="2:11">
      <c r="B246" s="42">
        <v>81</v>
      </c>
      <c r="C246" s="258" t="s">
        <v>417</v>
      </c>
      <c r="D246" s="328" t="s">
        <v>324</v>
      </c>
      <c r="E246" s="324" t="s">
        <v>876</v>
      </c>
      <c r="F246" s="5"/>
      <c r="G246" s="387" t="s">
        <v>207</v>
      </c>
      <c r="H246" s="13"/>
      <c r="I246" s="13"/>
      <c r="J246" s="13"/>
      <c r="K246" s="20"/>
    </row>
    <row r="247" spans="2:11">
      <c r="B247" s="42">
        <v>82</v>
      </c>
      <c r="C247" s="258" t="s">
        <v>418</v>
      </c>
      <c r="D247" s="328" t="s">
        <v>430</v>
      </c>
      <c r="E247" s="324" t="s">
        <v>876</v>
      </c>
      <c r="F247" s="5"/>
      <c r="G247" s="387" t="s">
        <v>217</v>
      </c>
      <c r="H247" s="13"/>
      <c r="I247" s="13"/>
      <c r="J247" s="13"/>
      <c r="K247" s="20"/>
    </row>
    <row r="248" spans="2:11">
      <c r="B248" s="42">
        <v>41</v>
      </c>
      <c r="C248" s="258" t="s">
        <v>377</v>
      </c>
      <c r="D248" s="330" t="s">
        <v>427</v>
      </c>
      <c r="E248" s="324" t="s">
        <v>876</v>
      </c>
      <c r="F248" s="5"/>
      <c r="G248" s="320" t="s">
        <v>317</v>
      </c>
      <c r="H248" s="13"/>
      <c r="I248" s="13"/>
      <c r="J248" s="13"/>
      <c r="K248" s="20"/>
    </row>
    <row r="249" spans="2:11">
      <c r="B249" s="42">
        <v>42</v>
      </c>
      <c r="C249" s="258" t="s">
        <v>378</v>
      </c>
      <c r="D249" s="330" t="s">
        <v>320</v>
      </c>
      <c r="E249" s="324" t="s">
        <v>876</v>
      </c>
      <c r="F249" s="13"/>
      <c r="G249" s="387" t="s">
        <v>1036</v>
      </c>
      <c r="H249" s="13"/>
      <c r="I249" s="13"/>
      <c r="J249" s="13"/>
      <c r="K249" s="20"/>
    </row>
    <row r="250" spans="2:11">
      <c r="B250" s="197">
        <v>393</v>
      </c>
      <c r="C250" s="198" t="s">
        <v>312</v>
      </c>
      <c r="D250" s="292" t="s">
        <v>453</v>
      </c>
      <c r="E250" s="199"/>
      <c r="F250" s="199"/>
      <c r="G250" s="199"/>
      <c r="H250" s="199"/>
      <c r="I250" s="199"/>
      <c r="J250" s="199"/>
      <c r="K250" s="200"/>
    </row>
    <row r="251" spans="2:11">
      <c r="B251" s="197">
        <v>383</v>
      </c>
      <c r="C251" s="198" t="s">
        <v>302</v>
      </c>
      <c r="D251" s="292" t="s">
        <v>452</v>
      </c>
      <c r="E251" s="199"/>
      <c r="F251" s="199"/>
      <c r="G251" s="199"/>
      <c r="H251" s="199"/>
      <c r="I251" s="199"/>
      <c r="J251" s="199"/>
      <c r="K251" s="200"/>
    </row>
    <row r="252" spans="2:11">
      <c r="B252" s="197">
        <v>337</v>
      </c>
      <c r="C252" s="198" t="s">
        <v>256</v>
      </c>
      <c r="D252" s="292" t="s">
        <v>487</v>
      </c>
      <c r="E252" s="199"/>
      <c r="F252" s="199"/>
      <c r="G252" s="199"/>
      <c r="H252" s="199"/>
      <c r="I252" s="199"/>
      <c r="J252" s="199"/>
      <c r="K252" s="200"/>
    </row>
    <row r="253" spans="2:11">
      <c r="B253" s="197">
        <v>327</v>
      </c>
      <c r="C253" s="198" t="s">
        <v>246</v>
      </c>
      <c r="D253" s="292" t="s">
        <v>486</v>
      </c>
      <c r="E253" s="199"/>
      <c r="F253" s="199"/>
      <c r="G253" s="199"/>
      <c r="H253" s="199"/>
      <c r="I253" s="199"/>
      <c r="J253" s="199"/>
      <c r="K253" s="200"/>
    </row>
    <row r="254" spans="2:11">
      <c r="B254" s="197">
        <v>346</v>
      </c>
      <c r="C254" s="198" t="s">
        <v>265</v>
      </c>
      <c r="D254" s="292" t="s">
        <v>478</v>
      </c>
      <c r="E254" s="199"/>
      <c r="F254" s="199"/>
      <c r="G254" s="199"/>
      <c r="H254" s="199"/>
      <c r="I254" s="199"/>
      <c r="J254" s="199"/>
      <c r="K254" s="200"/>
    </row>
    <row r="255" spans="2:11">
      <c r="B255" s="197">
        <v>336</v>
      </c>
      <c r="C255" s="198" t="s">
        <v>255</v>
      </c>
      <c r="D255" s="292" t="s">
        <v>477</v>
      </c>
      <c r="E255" s="199"/>
      <c r="F255" s="199"/>
      <c r="G255" s="199"/>
      <c r="H255" s="199"/>
      <c r="I255" s="199"/>
      <c r="J255" s="199"/>
      <c r="K255" s="200"/>
    </row>
    <row r="256" spans="2:11">
      <c r="B256" s="197">
        <v>347</v>
      </c>
      <c r="C256" s="198" t="s">
        <v>266</v>
      </c>
      <c r="D256" s="292" t="s">
        <v>488</v>
      </c>
      <c r="E256" s="199"/>
      <c r="F256" s="199"/>
      <c r="G256" s="199"/>
      <c r="H256" s="199"/>
      <c r="I256" s="199"/>
      <c r="J256" s="199"/>
      <c r="K256" s="200"/>
    </row>
    <row r="257" spans="2:11">
      <c r="B257" s="197">
        <v>357</v>
      </c>
      <c r="C257" s="198" t="s">
        <v>276</v>
      </c>
      <c r="D257" s="292" t="s">
        <v>488</v>
      </c>
      <c r="E257" s="199"/>
      <c r="F257" s="199"/>
      <c r="G257" s="199"/>
      <c r="H257" s="199"/>
      <c r="I257" s="199"/>
      <c r="J257" s="199"/>
      <c r="K257" s="200"/>
    </row>
    <row r="258" spans="2:11">
      <c r="B258" s="197">
        <v>338</v>
      </c>
      <c r="C258" s="198" t="s">
        <v>257</v>
      </c>
      <c r="D258" s="292" t="s">
        <v>488</v>
      </c>
      <c r="E258" s="199"/>
      <c r="F258" s="199"/>
      <c r="G258" s="199"/>
      <c r="H258" s="199"/>
      <c r="I258" s="199"/>
      <c r="J258" s="199"/>
      <c r="K258" s="200"/>
    </row>
    <row r="259" spans="2:11">
      <c r="B259" s="197">
        <v>348</v>
      </c>
      <c r="C259" s="198" t="s">
        <v>267</v>
      </c>
      <c r="D259" s="292" t="s">
        <v>488</v>
      </c>
      <c r="E259" s="199"/>
      <c r="F259" s="199"/>
      <c r="G259" s="199"/>
      <c r="H259" s="199"/>
      <c r="I259" s="199"/>
      <c r="J259" s="199"/>
      <c r="K259" s="200"/>
    </row>
    <row r="260" spans="2:11">
      <c r="B260" s="197">
        <v>358</v>
      </c>
      <c r="C260" s="198" t="s">
        <v>277</v>
      </c>
      <c r="D260" s="292" t="s">
        <v>488</v>
      </c>
      <c r="E260" s="199"/>
      <c r="F260" s="199"/>
      <c r="G260" s="199"/>
      <c r="H260" s="199"/>
      <c r="I260" s="199"/>
      <c r="J260" s="199"/>
      <c r="K260" s="200"/>
    </row>
    <row r="261" spans="2:11">
      <c r="B261" s="197">
        <v>339</v>
      </c>
      <c r="C261" s="198" t="s">
        <v>258</v>
      </c>
      <c r="D261" s="292" t="s">
        <v>488</v>
      </c>
      <c r="E261" s="199"/>
      <c r="F261" s="199"/>
      <c r="G261" s="199"/>
      <c r="H261" s="199"/>
      <c r="I261" s="199"/>
      <c r="J261" s="199"/>
      <c r="K261" s="200"/>
    </row>
    <row r="262" spans="2:11">
      <c r="B262" s="197">
        <v>349</v>
      </c>
      <c r="C262" s="198" t="s">
        <v>268</v>
      </c>
      <c r="D262" s="292" t="s">
        <v>488</v>
      </c>
      <c r="E262" s="199"/>
      <c r="F262" s="199"/>
      <c r="G262" s="199"/>
      <c r="H262" s="199"/>
      <c r="I262" s="199"/>
      <c r="J262" s="199"/>
      <c r="K262" s="200"/>
    </row>
    <row r="263" spans="2:11">
      <c r="B263" s="197">
        <v>359</v>
      </c>
      <c r="C263" s="198" t="s">
        <v>278</v>
      </c>
      <c r="D263" s="292" t="s">
        <v>488</v>
      </c>
      <c r="E263" s="199"/>
      <c r="F263" s="199"/>
      <c r="G263" s="199"/>
      <c r="H263" s="199"/>
      <c r="I263" s="199"/>
      <c r="J263" s="199"/>
      <c r="K263" s="200"/>
    </row>
    <row r="264" spans="2:11">
      <c r="B264" s="197">
        <v>340</v>
      </c>
      <c r="C264" s="198" t="s">
        <v>259</v>
      </c>
      <c r="D264" s="292" t="s">
        <v>488</v>
      </c>
      <c r="E264" s="199"/>
      <c r="F264" s="199"/>
      <c r="G264" s="199"/>
      <c r="H264" s="199"/>
      <c r="I264" s="199"/>
      <c r="J264" s="199"/>
      <c r="K264" s="200"/>
    </row>
    <row r="265" spans="2:11">
      <c r="B265" s="197">
        <v>350</v>
      </c>
      <c r="C265" s="198" t="s">
        <v>269</v>
      </c>
      <c r="D265" s="292" t="s">
        <v>488</v>
      </c>
      <c r="E265" s="199"/>
      <c r="F265" s="199"/>
      <c r="G265" s="199"/>
      <c r="H265" s="199"/>
      <c r="I265" s="199"/>
      <c r="J265" s="199"/>
      <c r="K265" s="200"/>
    </row>
    <row r="266" spans="2:11">
      <c r="B266" s="197">
        <v>360</v>
      </c>
      <c r="C266" s="198" t="s">
        <v>279</v>
      </c>
      <c r="D266" s="292" t="s">
        <v>488</v>
      </c>
      <c r="E266" s="199"/>
      <c r="F266" s="199"/>
      <c r="G266" s="199"/>
      <c r="H266" s="199"/>
      <c r="I266" s="199"/>
      <c r="J266" s="199"/>
      <c r="K266" s="200"/>
    </row>
    <row r="267" spans="2:11">
      <c r="B267" s="197">
        <v>356</v>
      </c>
      <c r="C267" s="198" t="s">
        <v>275</v>
      </c>
      <c r="D267" s="292" t="s">
        <v>479</v>
      </c>
      <c r="E267" s="199"/>
      <c r="F267" s="199"/>
      <c r="G267" s="199"/>
      <c r="H267" s="199"/>
      <c r="I267" s="199"/>
      <c r="J267" s="199"/>
      <c r="K267" s="200"/>
    </row>
    <row r="268" spans="2:11">
      <c r="B268" s="197">
        <v>385</v>
      </c>
      <c r="C268" s="198" t="s">
        <v>304</v>
      </c>
      <c r="D268" s="292" t="s">
        <v>469</v>
      </c>
      <c r="E268" s="199"/>
      <c r="F268" s="199"/>
      <c r="G268" s="199"/>
      <c r="H268" s="199"/>
      <c r="I268" s="199"/>
      <c r="J268" s="199"/>
      <c r="K268" s="200"/>
    </row>
    <row r="269" spans="2:11">
      <c r="B269" s="197">
        <v>395</v>
      </c>
      <c r="C269" s="198" t="s">
        <v>314</v>
      </c>
      <c r="D269" s="292" t="s">
        <v>470</v>
      </c>
      <c r="E269" s="199"/>
      <c r="F269" s="199"/>
      <c r="G269" s="199"/>
      <c r="H269" s="199"/>
      <c r="I269" s="199"/>
      <c r="J269" s="199"/>
      <c r="K269" s="200"/>
    </row>
    <row r="270" spans="2:11">
      <c r="B270" s="197">
        <v>341</v>
      </c>
      <c r="C270" s="198" t="s">
        <v>260</v>
      </c>
      <c r="D270" s="292" t="s">
        <v>336</v>
      </c>
      <c r="E270" s="199"/>
      <c r="F270" s="199"/>
      <c r="G270" s="199"/>
      <c r="H270" s="199"/>
      <c r="I270" s="199"/>
      <c r="J270" s="199"/>
      <c r="K270" s="200"/>
    </row>
    <row r="271" spans="2:11">
      <c r="B271" s="197">
        <v>351</v>
      </c>
      <c r="C271" s="198" t="s">
        <v>270</v>
      </c>
      <c r="D271" s="292" t="s">
        <v>336</v>
      </c>
      <c r="E271" s="199"/>
      <c r="F271" s="199"/>
      <c r="G271" s="199"/>
      <c r="H271" s="199"/>
      <c r="I271" s="199"/>
      <c r="J271" s="199"/>
      <c r="K271" s="200"/>
    </row>
    <row r="272" spans="2:11">
      <c r="B272" s="197">
        <v>342</v>
      </c>
      <c r="C272" s="198" t="s">
        <v>261</v>
      </c>
      <c r="D272" s="292" t="s">
        <v>336</v>
      </c>
      <c r="E272" s="199"/>
      <c r="F272" s="199"/>
      <c r="G272" s="199"/>
      <c r="H272" s="199"/>
      <c r="I272" s="199"/>
      <c r="J272" s="199"/>
      <c r="K272" s="200"/>
    </row>
    <row r="273" spans="2:11">
      <c r="B273" s="197">
        <v>352</v>
      </c>
      <c r="C273" s="198" t="s">
        <v>271</v>
      </c>
      <c r="D273" s="292" t="s">
        <v>336</v>
      </c>
      <c r="E273" s="199"/>
      <c r="F273" s="199"/>
      <c r="G273" s="199"/>
      <c r="H273" s="199"/>
      <c r="I273" s="199"/>
      <c r="J273" s="199"/>
      <c r="K273" s="200"/>
    </row>
    <row r="274" spans="2:11">
      <c r="B274" s="197">
        <v>333</v>
      </c>
      <c r="C274" s="198" t="s">
        <v>252</v>
      </c>
      <c r="D274" s="292" t="s">
        <v>336</v>
      </c>
      <c r="E274" s="199"/>
      <c r="F274" s="199"/>
      <c r="G274" s="199"/>
      <c r="H274" s="199"/>
      <c r="I274" s="199"/>
      <c r="J274" s="199"/>
      <c r="K274" s="200"/>
    </row>
    <row r="275" spans="2:11">
      <c r="B275" s="197">
        <v>343</v>
      </c>
      <c r="C275" s="198" t="s">
        <v>262</v>
      </c>
      <c r="D275" s="292" t="s">
        <v>336</v>
      </c>
      <c r="E275" s="199"/>
      <c r="F275" s="199"/>
      <c r="G275" s="199"/>
      <c r="H275" s="199"/>
      <c r="I275" s="199"/>
      <c r="J275" s="199"/>
      <c r="K275" s="200"/>
    </row>
    <row r="276" spans="2:11">
      <c r="B276" s="197">
        <v>334</v>
      </c>
      <c r="C276" s="198" t="s">
        <v>253</v>
      </c>
      <c r="D276" s="292" t="s">
        <v>336</v>
      </c>
      <c r="E276" s="199"/>
      <c r="F276" s="199"/>
      <c r="G276" s="199"/>
      <c r="H276" s="199"/>
      <c r="I276" s="199"/>
      <c r="J276" s="199"/>
      <c r="K276" s="200"/>
    </row>
    <row r="277" spans="2:11">
      <c r="B277" s="197">
        <v>344</v>
      </c>
      <c r="C277" s="198" t="s">
        <v>263</v>
      </c>
      <c r="D277" s="292" t="s">
        <v>336</v>
      </c>
      <c r="E277" s="199"/>
      <c r="F277" s="199"/>
      <c r="G277" s="199"/>
      <c r="H277" s="199"/>
      <c r="I277" s="199"/>
      <c r="J277" s="199"/>
      <c r="K277" s="200"/>
    </row>
    <row r="278" spans="2:11">
      <c r="B278" s="197">
        <v>345</v>
      </c>
      <c r="C278" s="198" t="s">
        <v>264</v>
      </c>
      <c r="D278" s="292" t="s">
        <v>336</v>
      </c>
      <c r="E278" s="199"/>
      <c r="F278" s="199"/>
      <c r="G278" s="199"/>
      <c r="H278" s="199"/>
      <c r="I278" s="199"/>
      <c r="J278" s="199"/>
      <c r="K278" s="200"/>
    </row>
    <row r="279" spans="2:11">
      <c r="B279" s="197">
        <v>355</v>
      </c>
      <c r="C279" s="198" t="s">
        <v>274</v>
      </c>
      <c r="D279" s="292" t="s">
        <v>336</v>
      </c>
      <c r="E279" s="199"/>
      <c r="F279" s="199"/>
      <c r="G279" s="199"/>
      <c r="H279" s="199"/>
      <c r="I279" s="199"/>
      <c r="J279" s="199"/>
      <c r="K279" s="200"/>
    </row>
    <row r="280" spans="2:11">
      <c r="B280" s="197">
        <v>396</v>
      </c>
      <c r="C280" s="198" t="s">
        <v>315</v>
      </c>
      <c r="D280" s="292" t="s">
        <v>481</v>
      </c>
      <c r="E280" s="199"/>
      <c r="F280" s="199"/>
      <c r="G280" s="199"/>
      <c r="H280" s="199"/>
      <c r="I280" s="199"/>
      <c r="J280" s="199"/>
      <c r="K280" s="200"/>
    </row>
    <row r="281" spans="2:11">
      <c r="B281" s="197">
        <v>386</v>
      </c>
      <c r="C281" s="198" t="s">
        <v>305</v>
      </c>
      <c r="D281" s="292" t="s">
        <v>480</v>
      </c>
      <c r="E281" s="199"/>
      <c r="F281" s="199"/>
      <c r="G281" s="199"/>
      <c r="H281" s="199"/>
      <c r="I281" s="199"/>
      <c r="J281" s="199"/>
      <c r="K281" s="200"/>
    </row>
    <row r="282" spans="2:11">
      <c r="B282" s="197">
        <v>387</v>
      </c>
      <c r="C282" s="198" t="s">
        <v>306</v>
      </c>
      <c r="D282" s="292" t="s">
        <v>489</v>
      </c>
      <c r="E282" s="199"/>
      <c r="F282" s="199"/>
      <c r="G282" s="199"/>
      <c r="H282" s="199"/>
      <c r="I282" s="199"/>
      <c r="J282" s="199"/>
      <c r="K282" s="200"/>
    </row>
    <row r="283" spans="2:11">
      <c r="B283" s="197">
        <v>388</v>
      </c>
      <c r="C283" s="198" t="s">
        <v>307</v>
      </c>
      <c r="D283" s="292" t="s">
        <v>495</v>
      </c>
      <c r="E283" s="199"/>
      <c r="F283" s="199"/>
      <c r="G283" s="199"/>
      <c r="H283" s="199"/>
      <c r="I283" s="199"/>
      <c r="J283" s="199"/>
      <c r="K283" s="200"/>
    </row>
    <row r="284" spans="2:11">
      <c r="B284" s="197">
        <v>392</v>
      </c>
      <c r="C284" s="198" t="s">
        <v>311</v>
      </c>
      <c r="D284" s="292" t="s">
        <v>440</v>
      </c>
      <c r="E284" s="199"/>
      <c r="F284" s="199"/>
      <c r="G284" s="199"/>
      <c r="H284" s="199"/>
      <c r="I284" s="199"/>
      <c r="J284" s="199"/>
      <c r="K284" s="200"/>
    </row>
    <row r="285" spans="2:11">
      <c r="B285" s="197">
        <v>382</v>
      </c>
      <c r="C285" s="198" t="s">
        <v>301</v>
      </c>
      <c r="D285" s="292" t="s">
        <v>441</v>
      </c>
      <c r="E285" s="199"/>
      <c r="F285" s="199"/>
      <c r="G285" s="199"/>
      <c r="H285" s="199"/>
      <c r="I285" s="199"/>
      <c r="J285" s="199"/>
      <c r="K285" s="200"/>
    </row>
    <row r="286" spans="2:11">
      <c r="B286" s="42">
        <v>194</v>
      </c>
      <c r="C286" s="21" t="s">
        <v>113</v>
      </c>
      <c r="D286" s="22" t="s">
        <v>587</v>
      </c>
      <c r="E286" s="323" t="s">
        <v>876</v>
      </c>
      <c r="F286" s="5"/>
      <c r="G286" s="389" t="s">
        <v>281</v>
      </c>
      <c r="H286" s="341" t="s">
        <v>895</v>
      </c>
      <c r="I286" s="5"/>
      <c r="J286" s="5"/>
      <c r="K286" s="14"/>
    </row>
    <row r="287" spans="2:11">
      <c r="B287" s="42">
        <v>193</v>
      </c>
      <c r="C287" s="21" t="s">
        <v>112</v>
      </c>
      <c r="D287" s="22" t="s">
        <v>564</v>
      </c>
      <c r="E287" s="323" t="s">
        <v>876</v>
      </c>
      <c r="F287" s="5"/>
      <c r="G287" s="389" t="s">
        <v>291</v>
      </c>
      <c r="H287" s="316" t="s">
        <v>895</v>
      </c>
      <c r="I287" s="5"/>
      <c r="J287" s="5"/>
      <c r="K287" s="14"/>
    </row>
    <row r="288" spans="2:11">
      <c r="B288" s="42">
        <v>184</v>
      </c>
      <c r="C288" s="21" t="s">
        <v>103</v>
      </c>
      <c r="D288" s="22" t="s">
        <v>586</v>
      </c>
      <c r="E288" s="323" t="s">
        <v>876</v>
      </c>
      <c r="F288" s="5"/>
      <c r="G288" s="389" t="s">
        <v>300</v>
      </c>
      <c r="H288" s="316" t="s">
        <v>895</v>
      </c>
      <c r="I288" s="5"/>
      <c r="J288" s="5"/>
      <c r="K288" s="14"/>
    </row>
    <row r="289" spans="2:11">
      <c r="B289" s="42">
        <v>183</v>
      </c>
      <c r="C289" s="21" t="s">
        <v>102</v>
      </c>
      <c r="D289" s="22" t="s">
        <v>563</v>
      </c>
      <c r="E289" s="323" t="s">
        <v>876</v>
      </c>
      <c r="F289" s="5"/>
      <c r="G289" s="389" t="s">
        <v>310</v>
      </c>
      <c r="H289" s="316" t="s">
        <v>895</v>
      </c>
      <c r="I289" s="5"/>
      <c r="J289" s="5"/>
      <c r="K289" s="14"/>
    </row>
    <row r="290" spans="2:11">
      <c r="B290" s="42">
        <v>182</v>
      </c>
      <c r="C290" s="21" t="s">
        <v>101</v>
      </c>
      <c r="D290" s="22" t="s">
        <v>542</v>
      </c>
      <c r="E290" s="323" t="s">
        <v>876</v>
      </c>
      <c r="F290" s="5"/>
      <c r="G290" s="389" t="s">
        <v>260</v>
      </c>
      <c r="H290" s="316" t="s">
        <v>895</v>
      </c>
      <c r="I290" s="5"/>
      <c r="J290" s="5"/>
      <c r="K290" s="14"/>
    </row>
    <row r="291" spans="2:11">
      <c r="B291" s="42">
        <v>192</v>
      </c>
      <c r="C291" s="21" t="s">
        <v>111</v>
      </c>
      <c r="D291" s="22" t="s">
        <v>543</v>
      </c>
      <c r="E291" s="323" t="s">
        <v>876</v>
      </c>
      <c r="F291" s="5"/>
      <c r="G291" s="389" t="s">
        <v>270</v>
      </c>
      <c r="H291" s="316" t="s">
        <v>895</v>
      </c>
      <c r="I291" s="5"/>
      <c r="J291" s="5"/>
      <c r="K291" s="14"/>
    </row>
    <row r="292" spans="2:11">
      <c r="B292" s="42">
        <v>214</v>
      </c>
      <c r="C292" s="21" t="s">
        <v>133</v>
      </c>
      <c r="D292" s="22" t="s">
        <v>589</v>
      </c>
      <c r="E292" s="323" t="s">
        <v>876</v>
      </c>
      <c r="F292" s="5"/>
      <c r="G292" s="389" t="s">
        <v>302</v>
      </c>
      <c r="H292" s="316" t="s">
        <v>895</v>
      </c>
      <c r="I292" s="5"/>
      <c r="J292" s="5"/>
      <c r="K292" s="14"/>
    </row>
    <row r="293" spans="2:11">
      <c r="B293" s="42">
        <v>213</v>
      </c>
      <c r="C293" s="21" t="s">
        <v>132</v>
      </c>
      <c r="D293" s="22" t="s">
        <v>566</v>
      </c>
      <c r="E293" s="323" t="s">
        <v>876</v>
      </c>
      <c r="F293" s="5"/>
      <c r="G293" s="389" t="s">
        <v>312</v>
      </c>
      <c r="H293" s="316" t="s">
        <v>895</v>
      </c>
      <c r="I293" s="5"/>
      <c r="J293" s="5"/>
      <c r="K293" s="14"/>
    </row>
    <row r="294" spans="2:11">
      <c r="B294" s="42">
        <v>204</v>
      </c>
      <c r="C294" s="21" t="s">
        <v>123</v>
      </c>
      <c r="D294" s="22" t="s">
        <v>588</v>
      </c>
      <c r="E294" s="323" t="s">
        <v>876</v>
      </c>
      <c r="F294" s="5"/>
      <c r="G294" s="389" t="s">
        <v>262</v>
      </c>
      <c r="H294" s="316" t="s">
        <v>895</v>
      </c>
      <c r="I294" s="5"/>
      <c r="J294" s="5"/>
      <c r="K294" s="14"/>
    </row>
    <row r="295" spans="2:11">
      <c r="B295" s="42">
        <v>203</v>
      </c>
      <c r="C295" s="21" t="s">
        <v>122</v>
      </c>
      <c r="D295" s="22" t="s">
        <v>565</v>
      </c>
      <c r="E295" s="323" t="s">
        <v>876</v>
      </c>
      <c r="F295" s="5"/>
      <c r="G295" s="389" t="s">
        <v>272</v>
      </c>
      <c r="H295" s="316" t="s">
        <v>895</v>
      </c>
      <c r="I295" s="5"/>
      <c r="J295" s="5"/>
      <c r="K295" s="14"/>
    </row>
    <row r="296" spans="2:11">
      <c r="B296" s="42">
        <v>176</v>
      </c>
      <c r="C296" s="21" t="s">
        <v>95</v>
      </c>
      <c r="D296" s="22" t="s">
        <v>617</v>
      </c>
      <c r="E296" s="323" t="s">
        <v>876</v>
      </c>
      <c r="F296" s="5"/>
      <c r="G296" s="389" t="s">
        <v>1010</v>
      </c>
      <c r="H296" s="316" t="s">
        <v>895</v>
      </c>
      <c r="I296" s="5"/>
      <c r="J296" s="5"/>
      <c r="K296" s="14"/>
    </row>
    <row r="297" spans="2:11">
      <c r="B297" s="42">
        <v>175</v>
      </c>
      <c r="C297" s="21" t="s">
        <v>94</v>
      </c>
      <c r="D297" s="22" t="s">
        <v>604</v>
      </c>
      <c r="E297" s="323" t="s">
        <v>876</v>
      </c>
      <c r="F297" s="5"/>
      <c r="G297" s="389" t="s">
        <v>1011</v>
      </c>
      <c r="H297" s="316" t="s">
        <v>895</v>
      </c>
      <c r="I297" s="5"/>
      <c r="J297" s="5"/>
      <c r="K297" s="14"/>
    </row>
    <row r="298" spans="2:11">
      <c r="B298" s="42">
        <v>114</v>
      </c>
      <c r="C298" s="21" t="s">
        <v>33</v>
      </c>
      <c r="D298" s="22" t="s">
        <v>585</v>
      </c>
      <c r="E298" s="323" t="s">
        <v>876</v>
      </c>
      <c r="F298" s="5"/>
      <c r="G298" s="389" t="s">
        <v>264</v>
      </c>
      <c r="H298" s="316" t="s">
        <v>895</v>
      </c>
      <c r="I298" s="5"/>
      <c r="J298" s="5"/>
      <c r="K298" s="14"/>
    </row>
    <row r="299" spans="2:11">
      <c r="B299" s="42">
        <v>115</v>
      </c>
      <c r="C299" s="21" t="s">
        <v>34</v>
      </c>
      <c r="D299" s="22" t="s">
        <v>603</v>
      </c>
      <c r="E299" s="323" t="s">
        <v>876</v>
      </c>
      <c r="F299" s="5"/>
      <c r="G299" s="389" t="s">
        <v>274</v>
      </c>
      <c r="H299" s="316" t="s">
        <v>895</v>
      </c>
      <c r="I299" s="5"/>
      <c r="J299" s="5"/>
      <c r="K299" s="14"/>
    </row>
    <row r="300" spans="2:11">
      <c r="B300" s="42">
        <v>122</v>
      </c>
      <c r="C300" s="21" t="s">
        <v>41</v>
      </c>
      <c r="D300" s="22" t="s">
        <v>540</v>
      </c>
      <c r="E300" s="323" t="s">
        <v>876</v>
      </c>
      <c r="F300" s="5"/>
      <c r="G300" s="389" t="s">
        <v>1012</v>
      </c>
      <c r="H300" s="316" t="s">
        <v>895</v>
      </c>
      <c r="I300" s="5"/>
      <c r="J300" s="5"/>
      <c r="K300" s="14"/>
    </row>
    <row r="301" spans="2:11">
      <c r="B301" s="42">
        <v>123</v>
      </c>
      <c r="C301" s="21" t="s">
        <v>42</v>
      </c>
      <c r="D301" s="22" t="s">
        <v>561</v>
      </c>
      <c r="E301" s="323" t="s">
        <v>876</v>
      </c>
      <c r="F301" s="5"/>
      <c r="G301" s="389" t="s">
        <v>1013</v>
      </c>
      <c r="H301" s="316" t="s">
        <v>895</v>
      </c>
      <c r="I301" s="5"/>
      <c r="J301" s="5"/>
      <c r="K301" s="14"/>
    </row>
    <row r="302" spans="2:11">
      <c r="B302" s="42">
        <v>112</v>
      </c>
      <c r="C302" s="21" t="s">
        <v>31</v>
      </c>
      <c r="D302" s="22" t="s">
        <v>539</v>
      </c>
      <c r="E302" s="323" t="s">
        <v>876</v>
      </c>
      <c r="F302" s="5"/>
      <c r="G302" s="389" t="s">
        <v>283</v>
      </c>
      <c r="H302" s="316" t="s">
        <v>895</v>
      </c>
      <c r="I302" s="5"/>
      <c r="J302" s="5"/>
      <c r="K302" s="14"/>
    </row>
    <row r="303" spans="2:11">
      <c r="B303" s="42">
        <v>113</v>
      </c>
      <c r="C303" s="21" t="s">
        <v>32</v>
      </c>
      <c r="D303" s="22" t="s">
        <v>560</v>
      </c>
      <c r="E303" s="323" t="s">
        <v>876</v>
      </c>
      <c r="F303" s="5"/>
      <c r="G303" s="389" t="s">
        <v>293</v>
      </c>
      <c r="H303" s="316" t="s">
        <v>895</v>
      </c>
      <c r="I303" s="5"/>
      <c r="J303" s="5"/>
      <c r="K303" s="14"/>
    </row>
    <row r="304" spans="2:11">
      <c r="B304" s="42">
        <v>141</v>
      </c>
      <c r="C304" s="21" t="s">
        <v>60</v>
      </c>
      <c r="D304" s="22" t="s">
        <v>526</v>
      </c>
      <c r="E304" s="323" t="s">
        <v>876</v>
      </c>
      <c r="F304" s="5"/>
      <c r="G304" s="389" t="s">
        <v>1014</v>
      </c>
      <c r="H304" s="316" t="s">
        <v>895</v>
      </c>
      <c r="I304" s="5"/>
      <c r="J304" s="5"/>
      <c r="K304" s="14"/>
    </row>
    <row r="305" spans="2:11">
      <c r="B305" s="42">
        <v>131</v>
      </c>
      <c r="C305" s="21" t="s">
        <v>50</v>
      </c>
      <c r="D305" s="22" t="s">
        <v>525</v>
      </c>
      <c r="E305" s="323" t="s">
        <v>876</v>
      </c>
      <c r="F305" s="5"/>
      <c r="G305" s="389" t="s">
        <v>1015</v>
      </c>
      <c r="H305" s="316" t="s">
        <v>895</v>
      </c>
      <c r="I305" s="5"/>
      <c r="J305" s="5"/>
      <c r="K305" s="14"/>
    </row>
    <row r="306" spans="2:11">
      <c r="B306" s="42">
        <v>121</v>
      </c>
      <c r="C306" s="21" t="s">
        <v>40</v>
      </c>
      <c r="D306" s="22" t="s">
        <v>524</v>
      </c>
      <c r="E306" s="323" t="s">
        <v>876</v>
      </c>
      <c r="F306" s="5"/>
      <c r="G306" s="389" t="s">
        <v>285</v>
      </c>
      <c r="H306" s="316" t="s">
        <v>895</v>
      </c>
      <c r="I306" s="5"/>
      <c r="J306" s="5"/>
      <c r="K306" s="14"/>
    </row>
    <row r="307" spans="2:11">
      <c r="B307" s="42">
        <v>111</v>
      </c>
      <c r="C307" s="21" t="s">
        <v>30</v>
      </c>
      <c r="D307" s="22" t="s">
        <v>523</v>
      </c>
      <c r="E307" s="323" t="s">
        <v>876</v>
      </c>
      <c r="F307" s="5"/>
      <c r="G307" s="389" t="s">
        <v>295</v>
      </c>
      <c r="H307" s="316" t="s">
        <v>895</v>
      </c>
      <c r="I307" s="5"/>
      <c r="J307" s="5"/>
      <c r="K307" s="14"/>
    </row>
    <row r="308" spans="2:11">
      <c r="B308" s="42">
        <v>132</v>
      </c>
      <c r="C308" s="21" t="s">
        <v>51</v>
      </c>
      <c r="D308" s="22" t="s">
        <v>541</v>
      </c>
      <c r="E308" s="323" t="s">
        <v>876</v>
      </c>
      <c r="F308" s="5"/>
      <c r="G308" s="389" t="s">
        <v>304</v>
      </c>
      <c r="H308" s="316" t="s">
        <v>895</v>
      </c>
      <c r="I308" s="5"/>
      <c r="J308" s="5"/>
      <c r="K308" s="14"/>
    </row>
    <row r="309" spans="2:11">
      <c r="B309" s="42">
        <v>133</v>
      </c>
      <c r="C309" s="21" t="s">
        <v>52</v>
      </c>
      <c r="D309" s="22" t="s">
        <v>562</v>
      </c>
      <c r="E309" s="323" t="s">
        <v>876</v>
      </c>
      <c r="F309" s="5"/>
      <c r="G309" s="389" t="s">
        <v>314</v>
      </c>
      <c r="H309" s="316" t="s">
        <v>895</v>
      </c>
      <c r="I309" s="5"/>
      <c r="J309" s="5"/>
      <c r="K309" s="14"/>
    </row>
    <row r="310" spans="2:11">
      <c r="B310" s="42">
        <v>124</v>
      </c>
      <c r="C310" s="21" t="s">
        <v>43</v>
      </c>
      <c r="D310" s="327" t="s">
        <v>465</v>
      </c>
      <c r="E310" s="323" t="s">
        <v>876</v>
      </c>
      <c r="F310" s="5"/>
      <c r="G310" s="387" t="s">
        <v>976</v>
      </c>
      <c r="H310" s="5"/>
      <c r="I310" s="5"/>
      <c r="J310" s="5"/>
      <c r="K310" s="14"/>
    </row>
    <row r="311" spans="2:11">
      <c r="B311" s="42">
        <v>125</v>
      </c>
      <c r="C311" s="21" t="s">
        <v>44</v>
      </c>
      <c r="D311" s="327" t="s">
        <v>456</v>
      </c>
      <c r="E311" s="323" t="s">
        <v>876</v>
      </c>
      <c r="F311" s="5"/>
      <c r="G311" s="387" t="s">
        <v>977</v>
      </c>
      <c r="H311" s="5"/>
      <c r="I311" s="5"/>
      <c r="J311" s="5"/>
      <c r="K311" s="14"/>
    </row>
    <row r="312" spans="2:11">
      <c r="B312" s="42">
        <v>162</v>
      </c>
      <c r="C312" s="21" t="s">
        <v>81</v>
      </c>
      <c r="D312" s="22" t="s">
        <v>433</v>
      </c>
      <c r="E312" s="5"/>
      <c r="F312" s="5"/>
      <c r="G312" s="5"/>
      <c r="H312" s="5"/>
      <c r="I312" s="5"/>
      <c r="J312" s="5"/>
      <c r="K312" s="14"/>
    </row>
    <row r="313" spans="2:11">
      <c r="B313" s="42">
        <v>161</v>
      </c>
      <c r="C313" s="21" t="s">
        <v>80</v>
      </c>
      <c r="D313" s="327" t="s">
        <v>327</v>
      </c>
      <c r="E313" s="323" t="s">
        <v>876</v>
      </c>
      <c r="F313" s="323"/>
      <c r="G313" s="388" t="s">
        <v>127</v>
      </c>
      <c r="H313" s="5"/>
      <c r="I313" s="5"/>
      <c r="J313" s="5"/>
      <c r="K313" s="14"/>
    </row>
    <row r="314" spans="2:11">
      <c r="B314" s="42">
        <v>164</v>
      </c>
      <c r="C314" s="21" t="s">
        <v>83</v>
      </c>
      <c r="D314" s="22" t="s">
        <v>458</v>
      </c>
      <c r="E314" s="5"/>
      <c r="F314" s="5"/>
      <c r="G314" s="5"/>
      <c r="H314" s="5"/>
      <c r="I314" s="5"/>
      <c r="J314" s="5"/>
      <c r="K314" s="14"/>
    </row>
    <row r="315" spans="2:11">
      <c r="B315" s="42">
        <v>163</v>
      </c>
      <c r="C315" s="21" t="s">
        <v>82</v>
      </c>
      <c r="D315" s="327" t="s">
        <v>448</v>
      </c>
      <c r="E315" s="323" t="s">
        <v>876</v>
      </c>
      <c r="F315" s="323"/>
      <c r="G315" s="388" t="s">
        <v>137</v>
      </c>
      <c r="H315" s="5"/>
      <c r="I315" s="5"/>
      <c r="J315" s="5"/>
      <c r="K315" s="14"/>
    </row>
    <row r="316" spans="2:11">
      <c r="B316" s="42">
        <v>181</v>
      </c>
      <c r="C316" s="21" t="s">
        <v>100</v>
      </c>
      <c r="D316" s="22" t="s">
        <v>432</v>
      </c>
      <c r="E316" s="5"/>
      <c r="F316" s="5"/>
      <c r="G316" s="5"/>
      <c r="H316" s="5"/>
      <c r="I316" s="5"/>
      <c r="J316" s="5"/>
      <c r="K316" s="14"/>
    </row>
    <row r="317" spans="2:11">
      <c r="B317" s="42">
        <v>191</v>
      </c>
      <c r="C317" s="21" t="s">
        <v>110</v>
      </c>
      <c r="D317" s="22" t="s">
        <v>432</v>
      </c>
      <c r="E317" s="5"/>
      <c r="F317" s="5"/>
      <c r="G317" s="5"/>
      <c r="H317" s="5"/>
      <c r="I317" s="5"/>
      <c r="J317" s="5"/>
      <c r="K317" s="14"/>
    </row>
    <row r="318" spans="2:11">
      <c r="B318" s="42">
        <v>201</v>
      </c>
      <c r="C318" s="21" t="s">
        <v>120</v>
      </c>
      <c r="D318" s="22" t="s">
        <v>432</v>
      </c>
      <c r="E318" s="5"/>
      <c r="F318" s="5"/>
      <c r="G318" s="5"/>
      <c r="H318" s="5"/>
      <c r="I318" s="5"/>
      <c r="J318" s="5"/>
      <c r="K318" s="14"/>
    </row>
    <row r="319" spans="2:11">
      <c r="B319" s="42">
        <v>211</v>
      </c>
      <c r="C319" s="21" t="s">
        <v>130</v>
      </c>
      <c r="D319" s="22" t="s">
        <v>432</v>
      </c>
      <c r="E319" s="5"/>
      <c r="F319" s="5"/>
      <c r="G319" s="5"/>
      <c r="H319" s="5"/>
      <c r="I319" s="5"/>
      <c r="J319" s="5"/>
      <c r="K319" s="14"/>
    </row>
    <row r="320" spans="2:11">
      <c r="B320" s="42">
        <v>185</v>
      </c>
      <c r="C320" s="21" t="s">
        <v>104</v>
      </c>
      <c r="D320" s="22" t="s">
        <v>432</v>
      </c>
      <c r="E320" s="5"/>
      <c r="F320" s="5"/>
      <c r="G320" s="5"/>
      <c r="H320" s="5"/>
      <c r="I320" s="5"/>
      <c r="J320" s="5"/>
      <c r="K320" s="14"/>
    </row>
    <row r="321" spans="2:11">
      <c r="B321" s="42">
        <v>195</v>
      </c>
      <c r="C321" s="21" t="s">
        <v>114</v>
      </c>
      <c r="D321" s="22" t="s">
        <v>432</v>
      </c>
      <c r="E321" s="5"/>
      <c r="F321" s="5"/>
      <c r="G321" s="5"/>
      <c r="H321" s="5"/>
      <c r="I321" s="5"/>
      <c r="J321" s="5"/>
      <c r="K321" s="14"/>
    </row>
    <row r="322" spans="2:11">
      <c r="B322" s="42">
        <v>205</v>
      </c>
      <c r="C322" s="21" t="s">
        <v>124</v>
      </c>
      <c r="D322" s="22" t="s">
        <v>432</v>
      </c>
      <c r="E322" s="5"/>
      <c r="F322" s="5"/>
      <c r="G322" s="5"/>
      <c r="H322" s="5"/>
      <c r="I322" s="5"/>
      <c r="J322" s="5"/>
      <c r="K322" s="14"/>
    </row>
    <row r="323" spans="2:11">
      <c r="B323" s="42">
        <v>215</v>
      </c>
      <c r="C323" s="21" t="s">
        <v>134</v>
      </c>
      <c r="D323" s="22" t="s">
        <v>432</v>
      </c>
      <c r="E323" s="5"/>
      <c r="F323" s="5"/>
      <c r="G323" s="5"/>
      <c r="H323" s="5"/>
      <c r="I323" s="5"/>
      <c r="J323" s="5"/>
      <c r="K323" s="14"/>
    </row>
    <row r="324" spans="2:11">
      <c r="B324" s="42">
        <v>186</v>
      </c>
      <c r="C324" s="21" t="s">
        <v>105</v>
      </c>
      <c r="D324" s="22" t="s">
        <v>432</v>
      </c>
      <c r="E324" s="5"/>
      <c r="F324" s="5"/>
      <c r="G324" s="5"/>
      <c r="H324" s="5"/>
      <c r="I324" s="5"/>
      <c r="J324" s="5"/>
      <c r="K324" s="14"/>
    </row>
    <row r="325" spans="2:11">
      <c r="B325" s="42">
        <v>196</v>
      </c>
      <c r="C325" s="21" t="s">
        <v>115</v>
      </c>
      <c r="D325" s="22" t="s">
        <v>432</v>
      </c>
      <c r="E325" s="5"/>
      <c r="F325" s="5"/>
      <c r="G325" s="5"/>
      <c r="H325" s="5"/>
      <c r="I325" s="5"/>
      <c r="J325" s="5"/>
      <c r="K325" s="14"/>
    </row>
    <row r="326" spans="2:11">
      <c r="B326" s="42">
        <v>151</v>
      </c>
      <c r="C326" s="21" t="s">
        <v>70</v>
      </c>
      <c r="D326" s="22" t="s">
        <v>326</v>
      </c>
      <c r="E326" s="5"/>
      <c r="F326" s="5"/>
      <c r="G326" s="5"/>
      <c r="H326" s="5"/>
      <c r="I326" s="5"/>
      <c r="J326" s="5"/>
      <c r="K326" s="14"/>
    </row>
    <row r="327" spans="2:11">
      <c r="B327" s="42">
        <v>172</v>
      </c>
      <c r="C327" s="21" t="s">
        <v>91</v>
      </c>
      <c r="D327" s="22" t="s">
        <v>434</v>
      </c>
      <c r="E327" s="5"/>
      <c r="F327" s="5"/>
      <c r="G327" s="5"/>
      <c r="H327" s="5"/>
      <c r="I327" s="5"/>
      <c r="J327" s="5"/>
      <c r="K327" s="14"/>
    </row>
    <row r="328" spans="2:11">
      <c r="B328" s="42">
        <v>171</v>
      </c>
      <c r="C328" s="21" t="s">
        <v>90</v>
      </c>
      <c r="D328" s="22" t="s">
        <v>328</v>
      </c>
      <c r="E328" s="5"/>
      <c r="F328" s="5"/>
      <c r="G328" s="5"/>
      <c r="H328" s="5"/>
      <c r="I328" s="5"/>
      <c r="J328" s="5"/>
      <c r="K328" s="14"/>
    </row>
    <row r="329" spans="2:11">
      <c r="B329" s="42">
        <v>142</v>
      </c>
      <c r="C329" s="21" t="s">
        <v>61</v>
      </c>
      <c r="D329" s="22" t="s">
        <v>329</v>
      </c>
      <c r="E329" s="5"/>
      <c r="F329" s="5"/>
      <c r="G329" s="5"/>
      <c r="H329" s="5"/>
      <c r="I329" s="5"/>
      <c r="J329" s="5"/>
      <c r="K329" s="14"/>
    </row>
    <row r="330" spans="2:11">
      <c r="B330" s="42">
        <v>152</v>
      </c>
      <c r="C330" s="21" t="s">
        <v>71</v>
      </c>
      <c r="D330" s="22" t="s">
        <v>329</v>
      </c>
      <c r="E330" s="5"/>
      <c r="F330" s="5"/>
      <c r="G330" s="5"/>
      <c r="H330" s="5"/>
      <c r="I330" s="5"/>
      <c r="J330" s="5"/>
      <c r="K330" s="14"/>
    </row>
    <row r="331" spans="2:11">
      <c r="B331" s="42">
        <v>143</v>
      </c>
      <c r="C331" s="21" t="s">
        <v>62</v>
      </c>
      <c r="D331" s="22" t="s">
        <v>329</v>
      </c>
      <c r="E331" s="5"/>
      <c r="F331" s="5"/>
      <c r="G331" s="5"/>
      <c r="H331" s="5"/>
      <c r="I331" s="5"/>
      <c r="J331" s="5"/>
      <c r="K331" s="14"/>
    </row>
    <row r="332" spans="2:11">
      <c r="B332" s="42">
        <v>153</v>
      </c>
      <c r="C332" s="21" t="s">
        <v>72</v>
      </c>
      <c r="D332" s="22" t="s">
        <v>329</v>
      </c>
      <c r="E332" s="5"/>
      <c r="F332" s="5"/>
      <c r="G332" s="5"/>
      <c r="H332" s="5"/>
      <c r="I332" s="5"/>
      <c r="J332" s="5"/>
      <c r="K332" s="14"/>
    </row>
    <row r="333" spans="2:11">
      <c r="B333" s="42">
        <v>144</v>
      </c>
      <c r="C333" s="21" t="s">
        <v>63</v>
      </c>
      <c r="D333" s="22" t="s">
        <v>329</v>
      </c>
      <c r="E333" s="5"/>
      <c r="F333" s="5"/>
      <c r="G333" s="5"/>
      <c r="H333" s="5"/>
      <c r="I333" s="5"/>
      <c r="J333" s="5"/>
      <c r="K333" s="14"/>
    </row>
    <row r="334" spans="2:11">
      <c r="B334" s="42">
        <v>154</v>
      </c>
      <c r="C334" s="21" t="s">
        <v>73</v>
      </c>
      <c r="D334" s="22" t="s">
        <v>329</v>
      </c>
      <c r="E334" s="5"/>
      <c r="F334" s="5"/>
      <c r="G334" s="5"/>
      <c r="H334" s="5"/>
      <c r="I334" s="5"/>
      <c r="J334" s="5"/>
      <c r="K334" s="14"/>
    </row>
    <row r="335" spans="2:11">
      <c r="B335" s="42">
        <v>145</v>
      </c>
      <c r="C335" s="21" t="s">
        <v>64</v>
      </c>
      <c r="D335" s="22" t="s">
        <v>329</v>
      </c>
      <c r="E335" s="5"/>
      <c r="F335" s="5"/>
      <c r="G335" s="5"/>
      <c r="H335" s="5"/>
      <c r="I335" s="5"/>
      <c r="J335" s="5"/>
      <c r="K335" s="14"/>
    </row>
    <row r="336" spans="2:11">
      <c r="B336" s="42">
        <v>155</v>
      </c>
      <c r="C336" s="21" t="s">
        <v>74</v>
      </c>
      <c r="D336" s="22" t="s">
        <v>329</v>
      </c>
      <c r="E336" s="5"/>
      <c r="F336" s="5"/>
      <c r="G336" s="5"/>
      <c r="H336" s="5"/>
      <c r="I336" s="5"/>
      <c r="J336" s="5"/>
      <c r="K336" s="14"/>
    </row>
    <row r="337" spans="2:11">
      <c r="B337" s="42">
        <v>165</v>
      </c>
      <c r="C337" s="21" t="s">
        <v>84</v>
      </c>
      <c r="D337" s="22" t="s">
        <v>329</v>
      </c>
      <c r="E337" s="5"/>
      <c r="F337" s="5"/>
      <c r="G337" s="5"/>
      <c r="H337" s="5"/>
      <c r="I337" s="5"/>
      <c r="J337" s="5"/>
      <c r="K337" s="14"/>
    </row>
    <row r="338" spans="2:11">
      <c r="B338" s="42">
        <v>146</v>
      </c>
      <c r="C338" s="21" t="s">
        <v>65</v>
      </c>
      <c r="D338" s="22" t="s">
        <v>329</v>
      </c>
      <c r="E338" s="5"/>
      <c r="F338" s="5"/>
      <c r="G338" s="5"/>
      <c r="H338" s="5"/>
      <c r="I338" s="5"/>
      <c r="J338" s="5"/>
      <c r="K338" s="14"/>
    </row>
    <row r="339" spans="2:11">
      <c r="B339" s="42">
        <v>156</v>
      </c>
      <c r="C339" s="21" t="s">
        <v>75</v>
      </c>
      <c r="D339" s="22" t="s">
        <v>329</v>
      </c>
      <c r="E339" s="5"/>
      <c r="F339" s="5"/>
      <c r="G339" s="5"/>
      <c r="H339" s="5"/>
      <c r="I339" s="5"/>
      <c r="J339" s="5"/>
      <c r="K339" s="14"/>
    </row>
    <row r="340" spans="2:11">
      <c r="B340" s="42">
        <v>166</v>
      </c>
      <c r="C340" s="21" t="s">
        <v>85</v>
      </c>
      <c r="D340" s="22" t="s">
        <v>329</v>
      </c>
      <c r="E340" s="5"/>
      <c r="F340" s="5"/>
      <c r="G340" s="5"/>
      <c r="H340" s="5"/>
      <c r="I340" s="5"/>
      <c r="J340" s="5"/>
      <c r="K340" s="14"/>
    </row>
    <row r="341" spans="2:11">
      <c r="B341" s="42">
        <v>212</v>
      </c>
      <c r="C341" s="21" t="s">
        <v>131</v>
      </c>
      <c r="D341" s="22" t="s">
        <v>436</v>
      </c>
      <c r="E341" s="5"/>
      <c r="F341" s="5"/>
      <c r="G341" s="5"/>
      <c r="H341" s="5"/>
      <c r="I341" s="5"/>
      <c r="J341" s="5"/>
      <c r="K341" s="14"/>
    </row>
    <row r="342" spans="2:11">
      <c r="B342" s="42">
        <v>202</v>
      </c>
      <c r="C342" s="21" t="s">
        <v>121</v>
      </c>
      <c r="D342" s="327" t="s">
        <v>435</v>
      </c>
      <c r="E342" s="323" t="s">
        <v>876</v>
      </c>
      <c r="F342" s="5"/>
      <c r="G342" s="387" t="s">
        <v>67</v>
      </c>
      <c r="H342" s="5"/>
      <c r="I342" s="5"/>
      <c r="J342" s="5"/>
      <c r="K342" s="14"/>
    </row>
    <row r="343" spans="2:11">
      <c r="B343" s="42">
        <v>174</v>
      </c>
      <c r="C343" s="21" t="s">
        <v>93</v>
      </c>
      <c r="D343" s="327" t="s">
        <v>459</v>
      </c>
      <c r="E343" s="323" t="s">
        <v>876</v>
      </c>
      <c r="F343" s="5"/>
      <c r="G343" s="388" t="s">
        <v>1031</v>
      </c>
      <c r="H343" s="5"/>
      <c r="I343" s="5"/>
      <c r="J343" s="5"/>
      <c r="K343" s="14"/>
    </row>
    <row r="344" spans="2:11">
      <c r="B344" s="42">
        <v>173</v>
      </c>
      <c r="C344" s="21" t="s">
        <v>92</v>
      </c>
      <c r="D344" s="327" t="s">
        <v>449</v>
      </c>
      <c r="E344" s="323" t="s">
        <v>876</v>
      </c>
      <c r="F344" s="5"/>
      <c r="G344" s="388" t="s">
        <v>1032</v>
      </c>
      <c r="H344" s="5"/>
      <c r="I344" s="5"/>
      <c r="J344" s="5"/>
      <c r="K344" s="14"/>
    </row>
    <row r="345" spans="2:11">
      <c r="B345" s="42">
        <v>135</v>
      </c>
      <c r="C345" s="21" t="s">
        <v>54</v>
      </c>
      <c r="D345" s="327" t="s">
        <v>457</v>
      </c>
      <c r="E345" s="323" t="s">
        <v>876</v>
      </c>
      <c r="F345" s="5"/>
      <c r="G345" s="320" t="s">
        <v>317</v>
      </c>
      <c r="H345" s="5"/>
      <c r="I345" s="5"/>
      <c r="J345" s="5"/>
      <c r="K345" s="14"/>
    </row>
    <row r="346" spans="2:11">
      <c r="B346" s="42">
        <v>134</v>
      </c>
      <c r="C346" s="21" t="s">
        <v>53</v>
      </c>
      <c r="D346" s="327" t="s">
        <v>466</v>
      </c>
      <c r="E346" s="323" t="s">
        <v>876</v>
      </c>
      <c r="F346" s="5"/>
      <c r="G346" s="387" t="s">
        <v>975</v>
      </c>
      <c r="H346" s="5"/>
      <c r="I346" s="5"/>
      <c r="J346" s="5"/>
      <c r="K346" s="14"/>
    </row>
    <row r="347" spans="2:11">
      <c r="B347" s="213">
        <v>332</v>
      </c>
      <c r="C347" s="214" t="s">
        <v>251</v>
      </c>
      <c r="D347" s="215" t="s">
        <v>549</v>
      </c>
      <c r="E347" s="199"/>
      <c r="F347" s="216"/>
      <c r="G347" s="216"/>
      <c r="H347" s="199"/>
      <c r="I347" s="216"/>
      <c r="J347" s="216"/>
      <c r="K347" s="217"/>
    </row>
    <row r="348" spans="2:11">
      <c r="B348" s="213">
        <v>331</v>
      </c>
      <c r="C348" s="214" t="s">
        <v>250</v>
      </c>
      <c r="D348" s="215" t="s">
        <v>529</v>
      </c>
      <c r="E348" s="199"/>
      <c r="F348" s="216"/>
      <c r="G348" s="216"/>
      <c r="H348" s="199"/>
      <c r="I348" s="216"/>
      <c r="J348" s="216"/>
      <c r="K348" s="217"/>
    </row>
    <row r="349" spans="2:11">
      <c r="B349" s="213">
        <v>322</v>
      </c>
      <c r="C349" s="214" t="s">
        <v>241</v>
      </c>
      <c r="D349" s="215" t="s">
        <v>548</v>
      </c>
      <c r="E349" s="199"/>
      <c r="F349" s="216"/>
      <c r="G349" s="216"/>
      <c r="H349" s="199"/>
      <c r="I349" s="216"/>
      <c r="J349" s="216"/>
      <c r="K349" s="217"/>
    </row>
    <row r="350" spans="2:11">
      <c r="B350" s="213">
        <v>321</v>
      </c>
      <c r="C350" s="214" t="s">
        <v>240</v>
      </c>
      <c r="D350" s="215" t="s">
        <v>528</v>
      </c>
      <c r="E350" s="199"/>
      <c r="F350" s="216"/>
      <c r="G350" s="216"/>
      <c r="H350" s="199"/>
      <c r="I350" s="216"/>
      <c r="J350" s="216"/>
      <c r="K350" s="217"/>
    </row>
    <row r="351" spans="2:11">
      <c r="B351" s="213">
        <v>312</v>
      </c>
      <c r="C351" s="214" t="s">
        <v>231</v>
      </c>
      <c r="D351" s="215" t="s">
        <v>547</v>
      </c>
      <c r="E351" s="199"/>
      <c r="F351" s="216"/>
      <c r="G351" s="216"/>
      <c r="H351" s="199"/>
      <c r="I351" s="216"/>
      <c r="J351" s="216"/>
      <c r="K351" s="217"/>
    </row>
    <row r="352" spans="2:11">
      <c r="B352" s="213">
        <v>311</v>
      </c>
      <c r="C352" s="214" t="s">
        <v>230</v>
      </c>
      <c r="D352" s="215" t="s">
        <v>527</v>
      </c>
      <c r="E352" s="199"/>
      <c r="F352" s="216"/>
      <c r="G352" s="216"/>
      <c r="H352" s="199"/>
      <c r="I352" s="216"/>
      <c r="J352" s="216"/>
      <c r="K352" s="217"/>
    </row>
    <row r="353" spans="2:11">
      <c r="B353" s="213">
        <v>313</v>
      </c>
      <c r="C353" s="214" t="s">
        <v>232</v>
      </c>
      <c r="D353" s="215" t="s">
        <v>572</v>
      </c>
      <c r="E353" s="199"/>
      <c r="F353" s="216"/>
      <c r="G353" s="216"/>
      <c r="H353" s="199"/>
      <c r="I353" s="216"/>
      <c r="J353" s="216"/>
      <c r="K353" s="217"/>
    </row>
    <row r="354" spans="2:11">
      <c r="B354" s="213">
        <v>323</v>
      </c>
      <c r="C354" s="214" t="s">
        <v>242</v>
      </c>
      <c r="D354" s="215" t="s">
        <v>573</v>
      </c>
      <c r="E354" s="199"/>
      <c r="F354" s="216"/>
      <c r="G354" s="216"/>
      <c r="H354" s="199"/>
      <c r="I354" s="216"/>
      <c r="J354" s="216"/>
      <c r="K354" s="217"/>
    </row>
    <row r="355" spans="2:11">
      <c r="B355" s="213">
        <v>303</v>
      </c>
      <c r="C355" s="214" t="s">
        <v>222</v>
      </c>
      <c r="D355" s="215" t="s">
        <v>571</v>
      </c>
      <c r="E355" s="199"/>
      <c r="F355" s="216"/>
      <c r="G355" s="216"/>
      <c r="H355" s="199"/>
      <c r="I355" s="216"/>
      <c r="J355" s="216"/>
      <c r="K355" s="217"/>
    </row>
    <row r="356" spans="2:11">
      <c r="B356" s="213">
        <v>293</v>
      </c>
      <c r="C356" s="214" t="s">
        <v>212</v>
      </c>
      <c r="D356" s="215" t="s">
        <v>570</v>
      </c>
      <c r="E356" s="199"/>
      <c r="F356" s="216"/>
      <c r="G356" s="216"/>
      <c r="H356" s="199"/>
      <c r="I356" s="216"/>
      <c r="J356" s="216"/>
      <c r="K356" s="217"/>
    </row>
    <row r="357" spans="2:11">
      <c r="B357" s="213">
        <v>324</v>
      </c>
      <c r="C357" s="214" t="s">
        <v>243</v>
      </c>
      <c r="D357" s="215" t="s">
        <v>594</v>
      </c>
      <c r="E357" s="199"/>
      <c r="F357" s="216"/>
      <c r="G357" s="216"/>
      <c r="H357" s="199"/>
      <c r="I357" s="216"/>
      <c r="J357" s="216"/>
      <c r="K357" s="217"/>
    </row>
    <row r="358" spans="2:11">
      <c r="B358" s="213">
        <v>314</v>
      </c>
      <c r="C358" s="214" t="s">
        <v>233</v>
      </c>
      <c r="D358" s="215" t="s">
        <v>593</v>
      </c>
      <c r="E358" s="199"/>
      <c r="F358" s="216"/>
      <c r="G358" s="216"/>
      <c r="H358" s="199"/>
      <c r="I358" s="216"/>
      <c r="J358" s="216"/>
      <c r="K358" s="217"/>
    </row>
    <row r="359" spans="2:11">
      <c r="B359" s="213">
        <v>244</v>
      </c>
      <c r="C359" s="214" t="s">
        <v>163</v>
      </c>
      <c r="D359" s="215" t="s">
        <v>592</v>
      </c>
      <c r="E359" s="199"/>
      <c r="F359" s="216"/>
      <c r="G359" s="216"/>
      <c r="H359" s="199"/>
      <c r="I359" s="216"/>
      <c r="J359" s="216"/>
      <c r="K359" s="217"/>
    </row>
    <row r="360" spans="2:11">
      <c r="B360" s="213">
        <v>245</v>
      </c>
      <c r="C360" s="214" t="s">
        <v>164</v>
      </c>
      <c r="D360" s="215" t="s">
        <v>607</v>
      </c>
      <c r="E360" s="199"/>
      <c r="F360" s="216"/>
      <c r="G360" s="216"/>
      <c r="H360" s="199"/>
      <c r="I360" s="216"/>
      <c r="J360" s="216"/>
      <c r="K360" s="217"/>
    </row>
    <row r="361" spans="2:11">
      <c r="B361" s="213">
        <v>234</v>
      </c>
      <c r="C361" s="214" t="s">
        <v>153</v>
      </c>
      <c r="D361" s="215" t="s">
        <v>591</v>
      </c>
      <c r="E361" s="199"/>
      <c r="F361" s="216"/>
      <c r="G361" s="216"/>
      <c r="H361" s="199"/>
      <c r="I361" s="216"/>
      <c r="J361" s="216"/>
      <c r="K361" s="217"/>
    </row>
    <row r="362" spans="2:11">
      <c r="B362" s="213">
        <v>235</v>
      </c>
      <c r="C362" s="214" t="s">
        <v>154</v>
      </c>
      <c r="D362" s="215" t="s">
        <v>606</v>
      </c>
      <c r="E362" s="199"/>
      <c r="F362" s="216"/>
      <c r="G362" s="216"/>
      <c r="H362" s="199"/>
      <c r="I362" s="216"/>
      <c r="J362" s="216"/>
      <c r="K362" s="217"/>
    </row>
    <row r="363" spans="2:11">
      <c r="B363" s="213">
        <v>224</v>
      </c>
      <c r="C363" s="214" t="s">
        <v>143</v>
      </c>
      <c r="D363" s="215" t="s">
        <v>590</v>
      </c>
      <c r="E363" s="199"/>
      <c r="F363" s="216"/>
      <c r="G363" s="216"/>
      <c r="H363" s="199"/>
      <c r="I363" s="216"/>
      <c r="J363" s="216"/>
      <c r="K363" s="217"/>
    </row>
    <row r="364" spans="2:11">
      <c r="B364" s="213">
        <v>225</v>
      </c>
      <c r="C364" s="214" t="s">
        <v>144</v>
      </c>
      <c r="D364" s="215" t="s">
        <v>605</v>
      </c>
      <c r="E364" s="199"/>
      <c r="F364" s="216"/>
      <c r="G364" s="216"/>
      <c r="H364" s="199"/>
      <c r="I364" s="216"/>
      <c r="J364" s="216"/>
      <c r="K364" s="217"/>
    </row>
    <row r="365" spans="2:11">
      <c r="B365" s="213">
        <v>252</v>
      </c>
      <c r="C365" s="214" t="s">
        <v>171</v>
      </c>
      <c r="D365" s="215" t="s">
        <v>546</v>
      </c>
      <c r="E365" s="199"/>
      <c r="F365" s="216"/>
      <c r="G365" s="216"/>
      <c r="H365" s="199"/>
      <c r="I365" s="216"/>
      <c r="J365" s="216"/>
      <c r="K365" s="217"/>
    </row>
    <row r="366" spans="2:11">
      <c r="B366" s="213">
        <v>253</v>
      </c>
      <c r="C366" s="214" t="s">
        <v>172</v>
      </c>
      <c r="D366" s="215" t="s">
        <v>569</v>
      </c>
      <c r="E366" s="199"/>
      <c r="F366" s="216"/>
      <c r="G366" s="216"/>
      <c r="H366" s="199"/>
      <c r="I366" s="216"/>
      <c r="J366" s="216"/>
      <c r="K366" s="217"/>
    </row>
    <row r="367" spans="2:11">
      <c r="B367" s="213">
        <v>242</v>
      </c>
      <c r="C367" s="214" t="s">
        <v>161</v>
      </c>
      <c r="D367" s="215" t="s">
        <v>545</v>
      </c>
      <c r="E367" s="199"/>
      <c r="F367" s="216"/>
      <c r="G367" s="216"/>
      <c r="H367" s="199"/>
      <c r="I367" s="216"/>
      <c r="J367" s="216"/>
      <c r="K367" s="217"/>
    </row>
    <row r="368" spans="2:11">
      <c r="B368" s="213">
        <v>243</v>
      </c>
      <c r="C368" s="214" t="s">
        <v>162</v>
      </c>
      <c r="D368" s="215" t="s">
        <v>568</v>
      </c>
      <c r="E368" s="199"/>
      <c r="F368" s="216"/>
      <c r="G368" s="216"/>
      <c r="H368" s="199"/>
      <c r="I368" s="216"/>
      <c r="J368" s="216"/>
      <c r="K368" s="217"/>
    </row>
    <row r="369" spans="2:11">
      <c r="B369" s="213">
        <v>222</v>
      </c>
      <c r="C369" s="214" t="s">
        <v>141</v>
      </c>
      <c r="D369" s="215" t="s">
        <v>544</v>
      </c>
      <c r="E369" s="199"/>
      <c r="F369" s="216"/>
      <c r="G369" s="216"/>
      <c r="H369" s="199"/>
      <c r="I369" s="216"/>
      <c r="J369" s="216"/>
      <c r="K369" s="217"/>
    </row>
    <row r="370" spans="2:11">
      <c r="B370" s="213">
        <v>223</v>
      </c>
      <c r="C370" s="214" t="s">
        <v>142</v>
      </c>
      <c r="D370" s="215" t="s">
        <v>567</v>
      </c>
      <c r="E370" s="199"/>
      <c r="F370" s="216"/>
      <c r="G370" s="216"/>
      <c r="H370" s="199"/>
      <c r="I370" s="216"/>
      <c r="J370" s="216"/>
      <c r="K370" s="217"/>
    </row>
    <row r="371" spans="2:11">
      <c r="B371" s="213">
        <v>254</v>
      </c>
      <c r="C371" s="214" t="s">
        <v>173</v>
      </c>
      <c r="D371" s="215" t="s">
        <v>460</v>
      </c>
      <c r="E371" s="199"/>
      <c r="F371" s="216"/>
      <c r="G371" s="216"/>
      <c r="H371" s="199"/>
      <c r="I371" s="216"/>
      <c r="J371" s="216"/>
      <c r="K371" s="217"/>
    </row>
    <row r="372" spans="2:11">
      <c r="B372" s="213">
        <v>255</v>
      </c>
      <c r="C372" s="214" t="s">
        <v>174</v>
      </c>
      <c r="D372" s="215" t="s">
        <v>467</v>
      </c>
      <c r="E372" s="199"/>
      <c r="F372" s="216"/>
      <c r="G372" s="216"/>
      <c r="H372" s="199"/>
      <c r="I372" s="216"/>
      <c r="J372" s="216"/>
      <c r="K372" s="217"/>
    </row>
    <row r="373" spans="2:11">
      <c r="B373" s="213">
        <v>275</v>
      </c>
      <c r="C373" s="214" t="s">
        <v>194</v>
      </c>
      <c r="D373" s="215" t="s">
        <v>468</v>
      </c>
      <c r="E373" s="199"/>
      <c r="F373" s="216"/>
      <c r="G373" s="216"/>
      <c r="H373" s="199"/>
      <c r="I373" s="216"/>
      <c r="J373" s="216"/>
      <c r="K373" s="217"/>
    </row>
    <row r="374" spans="2:11">
      <c r="B374" s="213">
        <v>274</v>
      </c>
      <c r="C374" s="214" t="s">
        <v>193</v>
      </c>
      <c r="D374" s="215" t="s">
        <v>461</v>
      </c>
      <c r="E374" s="199"/>
      <c r="F374" s="216"/>
      <c r="G374" s="216"/>
      <c r="H374" s="199"/>
      <c r="I374" s="216"/>
      <c r="J374" s="216"/>
      <c r="K374" s="217"/>
    </row>
    <row r="375" spans="2:11">
      <c r="B375" s="213">
        <v>272</v>
      </c>
      <c r="C375" s="214" t="s">
        <v>191</v>
      </c>
      <c r="D375" s="215" t="s">
        <v>438</v>
      </c>
      <c r="E375" s="199"/>
      <c r="F375" s="216"/>
      <c r="G375" s="216"/>
      <c r="H375" s="199"/>
      <c r="I375" s="216"/>
      <c r="J375" s="216"/>
      <c r="K375" s="217"/>
    </row>
    <row r="376" spans="2:11">
      <c r="B376" s="213">
        <v>273</v>
      </c>
      <c r="C376" s="214" t="s">
        <v>192</v>
      </c>
      <c r="D376" s="215" t="s">
        <v>451</v>
      </c>
      <c r="E376" s="199"/>
      <c r="F376" s="216"/>
      <c r="G376" s="216"/>
      <c r="H376" s="199"/>
      <c r="I376" s="216"/>
      <c r="J376" s="216"/>
      <c r="K376" s="217"/>
    </row>
    <row r="377" spans="2:11">
      <c r="B377" s="213">
        <v>291</v>
      </c>
      <c r="C377" s="214" t="s">
        <v>210</v>
      </c>
      <c r="D377" s="215" t="s">
        <v>330</v>
      </c>
      <c r="E377" s="199"/>
      <c r="F377" s="216"/>
      <c r="G377" s="216"/>
      <c r="H377" s="199"/>
      <c r="I377" s="216"/>
      <c r="J377" s="216"/>
      <c r="K377" s="217"/>
    </row>
    <row r="378" spans="2:11">
      <c r="B378" s="213">
        <v>292</v>
      </c>
      <c r="C378" s="214" t="s">
        <v>211</v>
      </c>
      <c r="D378" s="215" t="s">
        <v>330</v>
      </c>
      <c r="E378" s="199"/>
      <c r="F378" s="216"/>
      <c r="G378" s="216"/>
      <c r="H378" s="199"/>
      <c r="I378" s="216"/>
      <c r="J378" s="216"/>
      <c r="K378" s="217"/>
    </row>
    <row r="379" spans="2:11">
      <c r="B379" s="213">
        <v>295</v>
      </c>
      <c r="C379" s="214" t="s">
        <v>214</v>
      </c>
      <c r="D379" s="215" t="s">
        <v>330</v>
      </c>
      <c r="E379" s="199"/>
      <c r="F379" s="216"/>
      <c r="G379" s="216"/>
      <c r="H379" s="199"/>
      <c r="I379" s="216"/>
      <c r="J379" s="216"/>
      <c r="K379" s="217"/>
    </row>
    <row r="380" spans="2:11">
      <c r="B380" s="213">
        <v>305</v>
      </c>
      <c r="C380" s="214" t="s">
        <v>224</v>
      </c>
      <c r="D380" s="215" t="s">
        <v>330</v>
      </c>
      <c r="E380" s="199"/>
      <c r="F380" s="216"/>
      <c r="G380" s="216"/>
      <c r="H380" s="199"/>
      <c r="I380" s="216"/>
      <c r="J380" s="216"/>
      <c r="K380" s="217"/>
    </row>
    <row r="381" spans="2:11">
      <c r="B381" s="213">
        <v>315</v>
      </c>
      <c r="C381" s="214" t="s">
        <v>234</v>
      </c>
      <c r="D381" s="215" t="s">
        <v>330</v>
      </c>
      <c r="E381" s="199"/>
      <c r="F381" s="216"/>
      <c r="G381" s="216"/>
      <c r="H381" s="199"/>
      <c r="I381" s="216"/>
      <c r="J381" s="216"/>
      <c r="K381" s="217"/>
    </row>
    <row r="382" spans="2:11">
      <c r="B382" s="213">
        <v>325</v>
      </c>
      <c r="C382" s="214" t="s">
        <v>244</v>
      </c>
      <c r="D382" s="215" t="s">
        <v>330</v>
      </c>
      <c r="E382" s="199"/>
      <c r="F382" s="216"/>
      <c r="G382" s="216"/>
      <c r="H382" s="199"/>
      <c r="I382" s="216"/>
      <c r="J382" s="216"/>
      <c r="K382" s="217"/>
    </row>
    <row r="383" spans="2:11">
      <c r="B383" s="213">
        <v>261</v>
      </c>
      <c r="C383" s="214" t="s">
        <v>180</v>
      </c>
      <c r="D383" s="215" t="s">
        <v>331</v>
      </c>
      <c r="E383" s="199"/>
      <c r="F383" s="216"/>
      <c r="G383" s="216"/>
      <c r="H383" s="199"/>
      <c r="I383" s="216"/>
      <c r="J383" s="216"/>
      <c r="K383" s="217"/>
    </row>
    <row r="384" spans="2:11">
      <c r="B384" s="213">
        <v>281</v>
      </c>
      <c r="C384" s="214" t="s">
        <v>200</v>
      </c>
      <c r="D384" s="215" t="s">
        <v>333</v>
      </c>
      <c r="E384" s="199"/>
      <c r="F384" s="216"/>
      <c r="G384" s="216"/>
      <c r="H384" s="199"/>
      <c r="I384" s="216"/>
      <c r="J384" s="216"/>
      <c r="K384" s="217"/>
    </row>
    <row r="385" spans="2:11">
      <c r="B385" s="213">
        <v>271</v>
      </c>
      <c r="C385" s="214" t="s">
        <v>190</v>
      </c>
      <c r="D385" s="215" t="s">
        <v>332</v>
      </c>
      <c r="E385" s="199"/>
      <c r="F385" s="216"/>
      <c r="G385" s="216"/>
      <c r="H385" s="199"/>
      <c r="I385" s="216"/>
      <c r="J385" s="216"/>
      <c r="K385" s="217"/>
    </row>
    <row r="386" spans="2:11">
      <c r="B386" s="213">
        <v>221</v>
      </c>
      <c r="C386" s="214" t="s">
        <v>140</v>
      </c>
      <c r="D386" s="215" t="s">
        <v>334</v>
      </c>
      <c r="E386" s="199"/>
      <c r="F386" s="216"/>
      <c r="G386" s="216"/>
      <c r="H386" s="199"/>
      <c r="I386" s="216"/>
      <c r="J386" s="216"/>
      <c r="K386" s="217"/>
    </row>
    <row r="387" spans="2:11">
      <c r="B387" s="213">
        <v>231</v>
      </c>
      <c r="C387" s="214" t="s">
        <v>150</v>
      </c>
      <c r="D387" s="215" t="s">
        <v>334</v>
      </c>
      <c r="E387" s="199"/>
      <c r="F387" s="216"/>
      <c r="G387" s="216"/>
      <c r="H387" s="199"/>
      <c r="I387" s="216"/>
      <c r="J387" s="216"/>
      <c r="K387" s="217"/>
    </row>
    <row r="388" spans="2:11">
      <c r="B388" s="213">
        <v>241</v>
      </c>
      <c r="C388" s="214" t="s">
        <v>160</v>
      </c>
      <c r="D388" s="215" t="s">
        <v>334</v>
      </c>
      <c r="E388" s="199"/>
      <c r="F388" s="216"/>
      <c r="G388" s="216"/>
      <c r="H388" s="199"/>
      <c r="I388" s="216"/>
      <c r="J388" s="216"/>
      <c r="K388" s="217"/>
    </row>
    <row r="389" spans="2:11">
      <c r="B389" s="213">
        <v>251</v>
      </c>
      <c r="C389" s="214" t="s">
        <v>170</v>
      </c>
      <c r="D389" s="215" t="s">
        <v>334</v>
      </c>
      <c r="E389" s="199"/>
      <c r="F389" s="216"/>
      <c r="G389" s="216"/>
      <c r="H389" s="199"/>
      <c r="I389" s="216"/>
      <c r="J389" s="216"/>
      <c r="K389" s="217"/>
    </row>
    <row r="390" spans="2:11">
      <c r="B390" s="213">
        <v>262</v>
      </c>
      <c r="C390" s="214" t="s">
        <v>181</v>
      </c>
      <c r="D390" s="215" t="s">
        <v>334</v>
      </c>
      <c r="E390" s="199"/>
      <c r="F390" s="216"/>
      <c r="G390" s="216"/>
      <c r="H390" s="199"/>
      <c r="I390" s="216"/>
      <c r="J390" s="216"/>
      <c r="K390" s="217"/>
    </row>
    <row r="391" spans="2:11">
      <c r="B391" s="213">
        <v>263</v>
      </c>
      <c r="C391" s="214" t="s">
        <v>182</v>
      </c>
      <c r="D391" s="215" t="s">
        <v>334</v>
      </c>
      <c r="E391" s="199"/>
      <c r="F391" s="216"/>
      <c r="G391" s="216"/>
      <c r="H391" s="199"/>
      <c r="I391" s="216"/>
      <c r="J391" s="216"/>
      <c r="K391" s="217"/>
    </row>
    <row r="392" spans="2:11">
      <c r="B392" s="213">
        <v>264</v>
      </c>
      <c r="C392" s="214" t="s">
        <v>183</v>
      </c>
      <c r="D392" s="215" t="s">
        <v>334</v>
      </c>
      <c r="E392" s="199"/>
      <c r="F392" s="216"/>
      <c r="G392" s="216"/>
      <c r="H392" s="199"/>
      <c r="I392" s="216"/>
      <c r="J392" s="216"/>
      <c r="K392" s="217"/>
    </row>
    <row r="393" spans="2:11">
      <c r="B393" s="213">
        <v>265</v>
      </c>
      <c r="C393" s="214" t="s">
        <v>184</v>
      </c>
      <c r="D393" s="215" t="s">
        <v>334</v>
      </c>
      <c r="E393" s="199"/>
      <c r="F393" s="216"/>
      <c r="G393" s="216"/>
      <c r="H393" s="199"/>
      <c r="I393" s="216"/>
      <c r="J393" s="216"/>
      <c r="K393" s="217"/>
    </row>
    <row r="394" spans="2:11">
      <c r="B394" s="213">
        <v>302</v>
      </c>
      <c r="C394" s="214" t="s">
        <v>221</v>
      </c>
      <c r="D394" s="215" t="s">
        <v>439</v>
      </c>
      <c r="E394" s="199"/>
      <c r="F394" s="216"/>
      <c r="G394" s="216"/>
      <c r="H394" s="199"/>
      <c r="I394" s="216"/>
      <c r="J394" s="216"/>
      <c r="K394" s="217"/>
    </row>
    <row r="395" spans="2:11">
      <c r="B395" s="213">
        <v>301</v>
      </c>
      <c r="C395" s="214" t="s">
        <v>220</v>
      </c>
      <c r="D395" s="215" t="s">
        <v>335</v>
      </c>
      <c r="E395" s="199"/>
      <c r="F395" s="216"/>
      <c r="G395" s="216"/>
      <c r="H395" s="199"/>
      <c r="I395" s="216"/>
      <c r="J395" s="216"/>
      <c r="K395" s="217"/>
    </row>
    <row r="396" spans="2:11">
      <c r="B396" s="213">
        <v>304</v>
      </c>
      <c r="C396" s="214" t="s">
        <v>223</v>
      </c>
      <c r="D396" s="215" t="s">
        <v>463</v>
      </c>
      <c r="E396" s="199"/>
      <c r="F396" s="216"/>
      <c r="G396" s="216"/>
      <c r="H396" s="199"/>
      <c r="I396" s="216"/>
      <c r="J396" s="216"/>
      <c r="K396" s="217"/>
    </row>
    <row r="397" spans="2:11">
      <c r="B397" s="213">
        <v>294</v>
      </c>
      <c r="C397" s="214" t="s">
        <v>213</v>
      </c>
      <c r="D397" s="215" t="s">
        <v>462</v>
      </c>
      <c r="E397" s="199"/>
      <c r="F397" s="216"/>
      <c r="G397" s="216"/>
      <c r="H397" s="199"/>
      <c r="I397" s="216"/>
      <c r="J397" s="216"/>
      <c r="K397" s="217"/>
    </row>
    <row r="398" spans="2:11">
      <c r="B398" s="213">
        <v>232</v>
      </c>
      <c r="C398" s="214" t="s">
        <v>151</v>
      </c>
      <c r="D398" s="215" t="s">
        <v>450</v>
      </c>
      <c r="E398" s="199"/>
      <c r="F398" s="216"/>
      <c r="G398" s="216"/>
      <c r="H398" s="199"/>
      <c r="I398" s="216"/>
      <c r="J398" s="216"/>
      <c r="K398" s="217"/>
    </row>
    <row r="399" spans="2:11">
      <c r="B399" s="213">
        <v>233</v>
      </c>
      <c r="C399" s="214" t="s">
        <v>152</v>
      </c>
      <c r="D399" s="215" t="s">
        <v>437</v>
      </c>
      <c r="E399" s="199"/>
      <c r="F399" s="216"/>
      <c r="G399" s="216"/>
      <c r="H399" s="199"/>
      <c r="I399" s="216"/>
      <c r="J399" s="216"/>
      <c r="K399" s="217"/>
    </row>
    <row r="400" spans="2:11">
      <c r="B400" s="213">
        <v>282</v>
      </c>
      <c r="C400" s="214" t="s">
        <v>201</v>
      </c>
      <c r="D400" s="267" t="s">
        <v>454</v>
      </c>
      <c r="E400" s="199"/>
      <c r="F400" s="216"/>
      <c r="G400" s="216"/>
      <c r="H400" s="199"/>
      <c r="I400" s="216"/>
      <c r="J400" s="216"/>
      <c r="K400" s="217"/>
    </row>
    <row r="401" spans="2:11">
      <c r="B401" s="213">
        <v>283</v>
      </c>
      <c r="C401" s="214" t="s">
        <v>202</v>
      </c>
      <c r="D401" s="267" t="s">
        <v>454</v>
      </c>
      <c r="E401" s="199"/>
      <c r="F401" s="216"/>
      <c r="G401" s="216"/>
      <c r="H401" s="199"/>
      <c r="I401" s="216"/>
      <c r="J401" s="216"/>
      <c r="K401" s="217"/>
    </row>
    <row r="402" spans="2:11">
      <c r="B402" s="213">
        <v>284</v>
      </c>
      <c r="C402" s="214" t="s">
        <v>203</v>
      </c>
      <c r="D402" s="267" t="s">
        <v>454</v>
      </c>
      <c r="E402" s="199"/>
      <c r="F402" s="216"/>
      <c r="G402" s="216"/>
      <c r="H402" s="199"/>
      <c r="I402" s="216"/>
      <c r="J402" s="216"/>
      <c r="K402" s="217"/>
    </row>
    <row r="403" spans="2:11">
      <c r="B403" s="213">
        <v>285</v>
      </c>
      <c r="C403" s="214" t="s">
        <v>204</v>
      </c>
      <c r="D403" s="267" t="s">
        <v>454</v>
      </c>
      <c r="E403" s="199"/>
      <c r="F403" s="216"/>
      <c r="G403" s="216"/>
      <c r="H403" s="199"/>
      <c r="I403" s="216"/>
      <c r="J403" s="216"/>
      <c r="K403" s="217"/>
    </row>
    <row r="404" spans="2:11">
      <c r="B404" s="213">
        <v>335</v>
      </c>
      <c r="C404" s="214" t="s">
        <v>254</v>
      </c>
      <c r="D404" s="267" t="s">
        <v>454</v>
      </c>
      <c r="E404" s="199"/>
      <c r="F404" s="216"/>
      <c r="G404" s="216"/>
      <c r="H404" s="199"/>
      <c r="I404" s="216"/>
      <c r="J404" s="216"/>
      <c r="K404" s="217"/>
    </row>
    <row r="405" spans="2:11" ht="16.5" thickBot="1">
      <c r="B405" s="298">
        <v>99</v>
      </c>
      <c r="C405" s="315" t="s">
        <v>11</v>
      </c>
      <c r="D405" s="300" t="s">
        <v>454</v>
      </c>
      <c r="E405" s="290"/>
      <c r="F405" s="301"/>
      <c r="G405" s="301"/>
      <c r="H405" s="290"/>
      <c r="I405" s="301"/>
      <c r="J405" s="301"/>
      <c r="K405" s="302"/>
    </row>
  </sheetData>
  <sortState ref="B6:K405">
    <sortCondition ref="D6:D405"/>
  </sortState>
  <mergeCells count="11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</mergeCells>
  <conditionalFormatting sqref="B401:D405 F401:G405 I401:K405">
    <cfRule type="expression" dxfId="203" priority="199">
      <formula>MOD(ROW(),2)=0</formula>
    </cfRule>
  </conditionalFormatting>
  <conditionalFormatting sqref="F124 F126 F224 F226 F313 F315 F156 F249 F346 F152 F342 B6:D400 F221:F222 F121:F122 F286:F311 F213:F218 F205:F210 F197:F202 F189:F194 F36:F41 F42:G120 F26:F31 F32:G35 F16:F21 F22:G25 F6:F11 F12:G15 F245:F247 F153:G154 F347:G400 F250:G285 F157:G188 F316:G341 F314:G314 F227:G244 F225:G225 F127:G151 F125:G125 F312:G312 F223:G223 F123:G123 F219:G220 F211:G212 F203:G204 F195:G196 I6:K400">
    <cfRule type="expression" dxfId="202" priority="197">
      <formula>MOD(ROW(),2)=0</formula>
    </cfRule>
  </conditionalFormatting>
  <conditionalFormatting sqref="F343:F344">
    <cfRule type="expression" dxfId="201" priority="192">
      <formula>MOD(ROW(),2)=0</formula>
    </cfRule>
  </conditionalFormatting>
  <conditionalFormatting sqref="G345">
    <cfRule type="expression" dxfId="200" priority="157">
      <formula>MOD(ROW(),2)=0</formula>
    </cfRule>
  </conditionalFormatting>
  <conditionalFormatting sqref="F155">
    <cfRule type="expression" dxfId="199" priority="164">
      <formula>MOD(ROW(),2)=0</formula>
    </cfRule>
  </conditionalFormatting>
  <conditionalFormatting sqref="G155">
    <cfRule type="expression" dxfId="198" priority="163">
      <formula>MOD(ROW(),2)=0</formula>
    </cfRule>
  </conditionalFormatting>
  <conditionalFormatting sqref="F248">
    <cfRule type="expression" dxfId="197" priority="161">
      <formula>MOD(ROW(),2)=0</formula>
    </cfRule>
  </conditionalFormatting>
  <conditionalFormatting sqref="G248">
    <cfRule type="expression" dxfId="196" priority="160">
      <formula>MOD(ROW(),2)=0</formula>
    </cfRule>
  </conditionalFormatting>
  <conditionalFormatting sqref="F345">
    <cfRule type="expression" dxfId="195" priority="158">
      <formula>MOD(ROW(),2)=0</formula>
    </cfRule>
  </conditionalFormatting>
  <conditionalFormatting sqref="E401:E405">
    <cfRule type="expression" dxfId="194" priority="98">
      <formula>MOD(ROW(),2)=0</formula>
    </cfRule>
  </conditionalFormatting>
  <conditionalFormatting sqref="E312 E125 E127:E151 E225 E227:E244 E314 E316:E341 E347:E400 E250:E309 E6:E123 E153:E154 E246:E247 E157:E223">
    <cfRule type="expression" dxfId="193" priority="97">
      <formula>MOD(ROW(),2)=0</formula>
    </cfRule>
  </conditionalFormatting>
  <conditionalFormatting sqref="H401:H405">
    <cfRule type="expression" dxfId="192" priority="79">
      <formula>MOD(ROW(),2)=0</formula>
    </cfRule>
  </conditionalFormatting>
  <conditionalFormatting sqref="H6:H188 H219:H400">
    <cfRule type="expression" dxfId="191" priority="78">
      <formula>MOD(ROW(),2)=0</formula>
    </cfRule>
  </conditionalFormatting>
  <conditionalFormatting sqref="H189:H218">
    <cfRule type="expression" dxfId="190" priority="77">
      <formula>MOD(ROW(),2)=0</formula>
    </cfRule>
  </conditionalFormatting>
  <conditionalFormatting sqref="G10:G11">
    <cfRule type="expression" dxfId="189" priority="73">
      <formula>MOD(ROW(),2)=0</formula>
    </cfRule>
  </conditionalFormatting>
  <conditionalFormatting sqref="G8:G9">
    <cfRule type="expression" dxfId="188" priority="72">
      <formula>MOD(ROW(),2)=0</formula>
    </cfRule>
  </conditionalFormatting>
  <conditionalFormatting sqref="G6:G7">
    <cfRule type="expression" dxfId="187" priority="71">
      <formula>MOD(ROW(),2)=0</formula>
    </cfRule>
  </conditionalFormatting>
  <conditionalFormatting sqref="G20:G21">
    <cfRule type="expression" dxfId="186" priority="70">
      <formula>MOD(ROW(),2)=0</formula>
    </cfRule>
  </conditionalFormatting>
  <conditionalFormatting sqref="G18:G19">
    <cfRule type="expression" dxfId="185" priority="69">
      <formula>MOD(ROW(),2)=0</formula>
    </cfRule>
  </conditionalFormatting>
  <conditionalFormatting sqref="G16:G17">
    <cfRule type="expression" dxfId="184" priority="68">
      <formula>MOD(ROW(),2)=0</formula>
    </cfRule>
  </conditionalFormatting>
  <conditionalFormatting sqref="G30:G31">
    <cfRule type="expression" dxfId="183" priority="67">
      <formula>MOD(ROW(),2)=0</formula>
    </cfRule>
  </conditionalFormatting>
  <conditionalFormatting sqref="G28:G29">
    <cfRule type="expression" dxfId="182" priority="66">
      <formula>MOD(ROW(),2)=0</formula>
    </cfRule>
  </conditionalFormatting>
  <conditionalFormatting sqref="G26:G27">
    <cfRule type="expression" dxfId="181" priority="65">
      <formula>MOD(ROW(),2)=0</formula>
    </cfRule>
  </conditionalFormatting>
  <conditionalFormatting sqref="G40:G41">
    <cfRule type="expression" dxfId="180" priority="64">
      <formula>MOD(ROW(),2)=0</formula>
    </cfRule>
  </conditionalFormatting>
  <conditionalFormatting sqref="G38:G39">
    <cfRule type="expression" dxfId="179" priority="63">
      <formula>MOD(ROW(),2)=0</formula>
    </cfRule>
  </conditionalFormatting>
  <conditionalFormatting sqref="G36:G37">
    <cfRule type="expression" dxfId="178" priority="62">
      <formula>MOD(ROW(),2)=0</formula>
    </cfRule>
  </conditionalFormatting>
  <conditionalFormatting sqref="G193:G194">
    <cfRule type="expression" dxfId="177" priority="61">
      <formula>MOD(ROW(),2)=0</formula>
    </cfRule>
  </conditionalFormatting>
  <conditionalFormatting sqref="G191:G192">
    <cfRule type="expression" dxfId="176" priority="60">
      <formula>MOD(ROW(),2)=0</formula>
    </cfRule>
  </conditionalFormatting>
  <conditionalFormatting sqref="G189:G190">
    <cfRule type="expression" dxfId="175" priority="59">
      <formula>MOD(ROW(),2)=0</formula>
    </cfRule>
  </conditionalFormatting>
  <conditionalFormatting sqref="G201:G202">
    <cfRule type="expression" dxfId="174" priority="58">
      <formula>MOD(ROW(),2)=0</formula>
    </cfRule>
  </conditionalFormatting>
  <conditionalFormatting sqref="G199:G200">
    <cfRule type="expression" dxfId="173" priority="57">
      <formula>MOD(ROW(),2)=0</formula>
    </cfRule>
  </conditionalFormatting>
  <conditionalFormatting sqref="G197:G198">
    <cfRule type="expression" dxfId="172" priority="56">
      <formula>MOD(ROW(),2)=0</formula>
    </cfRule>
  </conditionalFormatting>
  <conditionalFormatting sqref="G209:G210">
    <cfRule type="expression" dxfId="171" priority="55">
      <formula>MOD(ROW(),2)=0</formula>
    </cfRule>
  </conditionalFormatting>
  <conditionalFormatting sqref="G207:G208">
    <cfRule type="expression" dxfId="170" priority="54">
      <formula>MOD(ROW(),2)=0</formula>
    </cfRule>
  </conditionalFormatting>
  <conditionalFormatting sqref="G205:G206">
    <cfRule type="expression" dxfId="169" priority="53">
      <formula>MOD(ROW(),2)=0</formula>
    </cfRule>
  </conditionalFormatting>
  <conditionalFormatting sqref="G217:G218">
    <cfRule type="expression" dxfId="168" priority="52">
      <formula>MOD(ROW(),2)=0</formula>
    </cfRule>
  </conditionalFormatting>
  <conditionalFormatting sqref="G215:G216">
    <cfRule type="expression" dxfId="167" priority="51">
      <formula>MOD(ROW(),2)=0</formula>
    </cfRule>
  </conditionalFormatting>
  <conditionalFormatting sqref="G213:G214">
    <cfRule type="expression" dxfId="166" priority="50">
      <formula>MOD(ROW(),2)=0</formula>
    </cfRule>
  </conditionalFormatting>
  <conditionalFormatting sqref="G290:G291">
    <cfRule type="expression" dxfId="165" priority="49">
      <formula>MOD(ROW(),2)=0</formula>
    </cfRule>
  </conditionalFormatting>
  <conditionalFormatting sqref="G288:G289">
    <cfRule type="expression" dxfId="164" priority="48">
      <formula>MOD(ROW(),2)=0</formula>
    </cfRule>
  </conditionalFormatting>
  <conditionalFormatting sqref="G286:G287">
    <cfRule type="expression" dxfId="163" priority="47">
      <formula>MOD(ROW(),2)=0</formula>
    </cfRule>
  </conditionalFormatting>
  <conditionalFormatting sqref="G296:G297">
    <cfRule type="expression" dxfId="162" priority="46">
      <formula>MOD(ROW(),2)=0</formula>
    </cfRule>
  </conditionalFormatting>
  <conditionalFormatting sqref="G294:G295">
    <cfRule type="expression" dxfId="161" priority="45">
      <formula>MOD(ROW(),2)=0</formula>
    </cfRule>
  </conditionalFormatting>
  <conditionalFormatting sqref="G292:G293">
    <cfRule type="expression" dxfId="160" priority="44">
      <formula>MOD(ROW(),2)=0</formula>
    </cfRule>
  </conditionalFormatting>
  <conditionalFormatting sqref="G302:G303">
    <cfRule type="expression" dxfId="159" priority="43">
      <formula>MOD(ROW(),2)=0</formula>
    </cfRule>
  </conditionalFormatting>
  <conditionalFormatting sqref="G300:G301">
    <cfRule type="expression" dxfId="158" priority="42">
      <formula>MOD(ROW(),2)=0</formula>
    </cfRule>
  </conditionalFormatting>
  <conditionalFormatting sqref="G298:G299">
    <cfRule type="expression" dxfId="157" priority="41">
      <formula>MOD(ROW(),2)=0</formula>
    </cfRule>
  </conditionalFormatting>
  <conditionalFormatting sqref="G308:G309">
    <cfRule type="expression" dxfId="156" priority="40">
      <formula>MOD(ROW(),2)=0</formula>
    </cfRule>
  </conditionalFormatting>
  <conditionalFormatting sqref="G306:G307">
    <cfRule type="expression" dxfId="155" priority="39">
      <formula>MOD(ROW(),2)=0</formula>
    </cfRule>
  </conditionalFormatting>
  <conditionalFormatting sqref="G304:G305">
    <cfRule type="expression" dxfId="154" priority="38">
      <formula>MOD(ROW(),2)=0</formula>
    </cfRule>
  </conditionalFormatting>
  <conditionalFormatting sqref="E124">
    <cfRule type="expression" dxfId="153" priority="37">
      <formula>MOD(ROW(),2)=0</formula>
    </cfRule>
  </conditionalFormatting>
  <conditionalFormatting sqref="E126">
    <cfRule type="expression" dxfId="152" priority="36">
      <formula>MOD(ROW(),2)=0</formula>
    </cfRule>
  </conditionalFormatting>
  <conditionalFormatting sqref="E152">
    <cfRule type="expression" dxfId="151" priority="35">
      <formula>MOD(ROW(),2)=0</formula>
    </cfRule>
  </conditionalFormatting>
  <conditionalFormatting sqref="E155">
    <cfRule type="expression" dxfId="150" priority="34">
      <formula>MOD(ROW(),2)=0</formula>
    </cfRule>
  </conditionalFormatting>
  <conditionalFormatting sqref="E156">
    <cfRule type="expression" dxfId="149" priority="33">
      <formula>MOD(ROW(),2)=0</formula>
    </cfRule>
  </conditionalFormatting>
  <conditionalFormatting sqref="G156">
    <cfRule type="expression" dxfId="148" priority="32">
      <formula>MOD(ROW(),2)=0</formula>
    </cfRule>
  </conditionalFormatting>
  <conditionalFormatting sqref="G152">
    <cfRule type="expression" dxfId="147" priority="31">
      <formula>MOD(ROW(),2)=0</formula>
    </cfRule>
  </conditionalFormatting>
  <conditionalFormatting sqref="G124">
    <cfRule type="expression" dxfId="146" priority="30">
      <formula>MOD(ROW(),2)=0</formula>
    </cfRule>
  </conditionalFormatting>
  <conditionalFormatting sqref="G126">
    <cfRule type="expression" dxfId="145" priority="29">
      <formula>MOD(ROW(),2)=0</formula>
    </cfRule>
  </conditionalFormatting>
  <conditionalFormatting sqref="G121:G122">
    <cfRule type="expression" dxfId="144" priority="28">
      <formula>MOD(ROW(),2)=0</formula>
    </cfRule>
  </conditionalFormatting>
  <conditionalFormatting sqref="E249">
    <cfRule type="expression" dxfId="143" priority="27">
      <formula>MOD(ROW(),2)=0</formula>
    </cfRule>
  </conditionalFormatting>
  <conditionalFormatting sqref="E248">
    <cfRule type="expression" dxfId="142" priority="26">
      <formula>MOD(ROW(),2)=0</formula>
    </cfRule>
  </conditionalFormatting>
  <conditionalFormatting sqref="E245">
    <cfRule type="expression" dxfId="141" priority="25">
      <formula>MOD(ROW(),2)=0</formula>
    </cfRule>
  </conditionalFormatting>
  <conditionalFormatting sqref="E226">
    <cfRule type="expression" dxfId="140" priority="24">
      <formula>MOD(ROW(),2)=0</formula>
    </cfRule>
  </conditionalFormatting>
  <conditionalFormatting sqref="E224">
    <cfRule type="expression" dxfId="139" priority="23">
      <formula>MOD(ROW(),2)=0</formula>
    </cfRule>
  </conditionalFormatting>
  <conditionalFormatting sqref="G246:G247">
    <cfRule type="expression" dxfId="138" priority="22">
      <formula>MOD(ROW(),2)=0</formula>
    </cfRule>
  </conditionalFormatting>
  <conditionalFormatting sqref="G249">
    <cfRule type="expression" dxfId="137" priority="21">
      <formula>MOD(ROW(),2)=0</formula>
    </cfRule>
  </conditionalFormatting>
  <conditionalFormatting sqref="G245">
    <cfRule type="expression" dxfId="136" priority="20">
      <formula>MOD(ROW(),2)=0</formula>
    </cfRule>
  </conditionalFormatting>
  <conditionalFormatting sqref="G224">
    <cfRule type="expression" dxfId="135" priority="19">
      <formula>MOD(ROW(),2)=0</formula>
    </cfRule>
  </conditionalFormatting>
  <conditionalFormatting sqref="G226">
    <cfRule type="expression" dxfId="134" priority="18">
      <formula>MOD(ROW(),2)=0</formula>
    </cfRule>
  </conditionalFormatting>
  <conditionalFormatting sqref="G221:G222">
    <cfRule type="expression" dxfId="133" priority="17">
      <formula>MOD(ROW(),2)=0</formula>
    </cfRule>
  </conditionalFormatting>
  <conditionalFormatting sqref="E310">
    <cfRule type="expression" dxfId="132" priority="16">
      <formula>MOD(ROW(),2)=0</formula>
    </cfRule>
  </conditionalFormatting>
  <conditionalFormatting sqref="E311">
    <cfRule type="expression" dxfId="131" priority="15">
      <formula>MOD(ROW(),2)=0</formula>
    </cfRule>
  </conditionalFormatting>
  <conditionalFormatting sqref="E313">
    <cfRule type="expression" dxfId="130" priority="14">
      <formula>MOD(ROW(),2)=0</formula>
    </cfRule>
  </conditionalFormatting>
  <conditionalFormatting sqref="E315">
    <cfRule type="expression" dxfId="129" priority="13">
      <formula>MOD(ROW(),2)=0</formula>
    </cfRule>
  </conditionalFormatting>
  <conditionalFormatting sqref="E342">
    <cfRule type="expression" dxfId="128" priority="12">
      <formula>MOD(ROW(),2)=0</formula>
    </cfRule>
  </conditionalFormatting>
  <conditionalFormatting sqref="E343">
    <cfRule type="expression" dxfId="127" priority="11">
      <formula>MOD(ROW(),2)=0</formula>
    </cfRule>
  </conditionalFormatting>
  <conditionalFormatting sqref="E344">
    <cfRule type="expression" dxfId="126" priority="10">
      <formula>MOD(ROW(),2)=0</formula>
    </cfRule>
  </conditionalFormatting>
  <conditionalFormatting sqref="E345">
    <cfRule type="expression" dxfId="125" priority="9">
      <formula>MOD(ROW(),2)=0</formula>
    </cfRule>
  </conditionalFormatting>
  <conditionalFormatting sqref="E346">
    <cfRule type="expression" dxfId="124" priority="8">
      <formula>MOD(ROW(),2)=0</formula>
    </cfRule>
  </conditionalFormatting>
  <conditionalFormatting sqref="G344">
    <cfRule type="expression" dxfId="123" priority="7">
      <formula>MOD(ROW(),2)=0</formula>
    </cfRule>
  </conditionalFormatting>
  <conditionalFormatting sqref="G343">
    <cfRule type="expression" dxfId="122" priority="6">
      <formula>MOD(ROW(),2)=0</formula>
    </cfRule>
  </conditionalFormatting>
  <conditionalFormatting sqref="G346">
    <cfRule type="expression" dxfId="121" priority="5">
      <formula>MOD(ROW(),2)=0</formula>
    </cfRule>
  </conditionalFormatting>
  <conditionalFormatting sqref="G342">
    <cfRule type="expression" dxfId="120" priority="4">
      <formula>MOD(ROW(),2)=0</formula>
    </cfRule>
  </conditionalFormatting>
  <conditionalFormatting sqref="G313">
    <cfRule type="expression" dxfId="119" priority="3">
      <formula>MOD(ROW(),2)=0</formula>
    </cfRule>
  </conditionalFormatting>
  <conditionalFormatting sqref="G315">
    <cfRule type="expression" dxfId="118" priority="2">
      <formula>MOD(ROW(),2)=0</formula>
    </cfRule>
  </conditionalFormatting>
  <conditionalFormatting sqref="G310:G311">
    <cfRule type="expression" dxfId="117" priority="1">
      <formula>MOD(ROW(),2)=0</formula>
    </cfRule>
  </conditionalFormatting>
  <hyperlinks>
    <hyperlink ref="AL17" location="'0'!A1" tooltip="X stave 0, Front" display="'0'!A1"/>
    <hyperlink ref="AJ17" location="'1'!A1" tooltip="X stave 1, Back" display="'1'!A1"/>
    <hyperlink ref="AH17" location="'2'!A1" tooltip="Stereo stave 0, Back" display="'2'!A1"/>
    <hyperlink ref="AF17" location="'3'!A1" tooltip="Stereo stave 0, Front" display="'3'!A1"/>
    <hyperlink ref="AD17" location="'4'!A1" tooltip="X stave 1, Front" display="'4'!A1"/>
    <hyperlink ref="AB17" location="'5'!A1" tooltip="X stave 1, Back" display="'5'!A1"/>
    <hyperlink ref="Z17" location="'6'!A1" tooltip="Stereo stave 1, Back" display="'6'!A1"/>
    <hyperlink ref="X17" location="'7'!A1" tooltip="Stereo stave 1, Front" display="'7'!A1"/>
    <hyperlink ref="V17" location="'8'!A1" tooltip="X stave 2, Front" display="'8'!A1"/>
    <hyperlink ref="T17" location="'9'!A1" tooltip="X stave 2, Back" display="'9'!A1"/>
    <hyperlink ref="R17" location="'10'!A1" tooltip="Stereo stave 2, Back" display="'10'!A1"/>
    <hyperlink ref="P17" location="'11'!A1" tooltip="Stereo stave 2, Front" display="'11'!A1"/>
    <hyperlink ref="AL18" location="'0'!A1" tooltip="X stave 0, Front" display="'0'!A1"/>
    <hyperlink ref="AJ18" location="'1'!A1" tooltip="X stave 1, Back" display="'1'!A1"/>
    <hyperlink ref="AH18" location="'2'!A1" tooltip="Stereo stave 0, Back" display="'2'!A1"/>
    <hyperlink ref="AF18" location="'3'!A1" tooltip="Stereo stave 0, Front" display="'3'!A1"/>
    <hyperlink ref="AD18" location="'4'!A1" tooltip="X stave 1, Front" display="'4'!A1"/>
    <hyperlink ref="AB18" location="'5'!A1" tooltip="X stave 1, Back" display="'5'!A1"/>
    <hyperlink ref="Z18" location="'6'!A1" tooltip="Stereo stave 1, Back" display="'6'!A1"/>
    <hyperlink ref="X18" location="'7'!A1" tooltip="Stereo stave 1, Front" display="'7'!A1"/>
    <hyperlink ref="V18" location="'8'!A1" tooltip="X stave 2, Front" display="'8'!A1"/>
    <hyperlink ref="T18" location="'9'!A1" tooltip="X stave 2, Back" display="'9'!A1"/>
    <hyperlink ref="R18" location="'10'!A1" tooltip="Stereo stave 2, Back" display="'10'!A1"/>
    <hyperlink ref="P18" location="'11'!A1" tooltip="Stereo stave 2, Front" display="'11'!A1"/>
  </hyperlinks>
  <pageMargins left="0.75" right="0.75" top="1" bottom="1" header="0.5" footer="0.5"/>
  <pageSetup orientation="portrait" horizontalDpi="4294967292" verticalDpi="4294967292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1:AR405"/>
  <sheetViews>
    <sheetView zoomScale="85" zoomScaleNormal="85" workbookViewId="0">
      <selection activeCell="R18" sqref="R18"/>
    </sheetView>
  </sheetViews>
  <sheetFormatPr defaultColWidth="11" defaultRowHeight="15.75"/>
  <cols>
    <col min="1" max="1" width="2.875" style="3" customWidth="1"/>
    <col min="2" max="2" width="6.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75" style="1" customWidth="1"/>
    <col min="7" max="7" width="7.875" style="1" bestFit="1" customWidth="1"/>
    <col min="8" max="10" width="7.875" style="1" customWidth="1"/>
    <col min="11" max="11" width="7.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2:44" ht="16.5" thickBot="1"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/>
    </row>
    <row r="2" spans="2:44" s="4" customFormat="1" ht="16.5" customHeight="1">
      <c r="D2" s="43" t="s">
        <v>833</v>
      </c>
      <c r="E2" s="551" t="s">
        <v>955</v>
      </c>
      <c r="F2" s="551"/>
      <c r="G2" s="552" t="s">
        <v>860</v>
      </c>
      <c r="H2" s="552"/>
      <c r="I2" s="552"/>
      <c r="J2" s="40"/>
      <c r="L2" s="177"/>
      <c r="M2" s="178"/>
      <c r="N2" s="180"/>
      <c r="O2" s="179"/>
      <c r="P2" s="180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80"/>
      <c r="AM2" s="180"/>
      <c r="AN2" s="180"/>
      <c r="AO2" s="181"/>
      <c r="AP2" s="177"/>
      <c r="AQ2" s="182"/>
      <c r="AR2"/>
    </row>
    <row r="3" spans="2:44" s="1" customFormat="1">
      <c r="D3"/>
      <c r="E3" s="40"/>
      <c r="F3" s="40"/>
      <c r="G3" s="40"/>
      <c r="H3" s="40"/>
      <c r="I3" s="40"/>
      <c r="J3" s="40"/>
      <c r="L3" s="177"/>
      <c r="M3" s="183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5"/>
      <c r="AP3" s="177"/>
      <c r="AQ3" s="186"/>
      <c r="AR3"/>
    </row>
    <row r="4" spans="2:44" s="6" customFormat="1" ht="16.5" thickBot="1">
      <c r="B4" s="553" t="s">
        <v>722</v>
      </c>
      <c r="C4" s="554"/>
      <c r="D4" s="554"/>
      <c r="E4" s="554"/>
      <c r="F4" s="554"/>
      <c r="G4" s="554"/>
      <c r="H4" s="554"/>
      <c r="I4" s="554"/>
      <c r="J4" s="554"/>
      <c r="K4" s="555"/>
      <c r="L4" s="177"/>
      <c r="M4" s="187"/>
      <c r="N4" s="184"/>
      <c r="O4" s="184"/>
      <c r="P4" s="184"/>
      <c r="Q4" s="184"/>
      <c r="R4" s="16" t="s">
        <v>13</v>
      </c>
      <c r="S4" s="16"/>
      <c r="T4" s="16" t="s">
        <v>14</v>
      </c>
      <c r="U4" s="16"/>
      <c r="V4" s="16" t="s">
        <v>13</v>
      </c>
      <c r="W4" s="16"/>
      <c r="X4" s="16" t="s">
        <v>14</v>
      </c>
      <c r="Y4" s="16"/>
      <c r="Z4" s="16" t="s">
        <v>13</v>
      </c>
      <c r="AA4" s="16"/>
      <c r="AB4" s="16" t="s">
        <v>14</v>
      </c>
      <c r="AC4" s="16"/>
      <c r="AD4" s="16" t="s">
        <v>13</v>
      </c>
      <c r="AE4" s="16"/>
      <c r="AF4" s="16" t="s">
        <v>14</v>
      </c>
      <c r="AG4" s="16"/>
      <c r="AH4" s="16" t="s">
        <v>13</v>
      </c>
      <c r="AI4" s="16"/>
      <c r="AJ4" s="16" t="s">
        <v>14</v>
      </c>
      <c r="AK4" s="16"/>
      <c r="AL4" s="16" t="s">
        <v>13</v>
      </c>
      <c r="AM4" s="16"/>
      <c r="AN4" s="16" t="s">
        <v>14</v>
      </c>
      <c r="AO4" s="185"/>
      <c r="AP4" s="177"/>
      <c r="AQ4" s="182" t="s">
        <v>710</v>
      </c>
      <c r="AR4"/>
    </row>
    <row r="5" spans="2:44" s="12" customFormat="1" ht="32.25" thickBot="1">
      <c r="B5" s="41" t="s">
        <v>19</v>
      </c>
      <c r="C5" s="7" t="s">
        <v>442</v>
      </c>
      <c r="D5" s="8" t="s">
        <v>2</v>
      </c>
      <c r="E5" s="8" t="s">
        <v>1</v>
      </c>
      <c r="F5" s="9"/>
      <c r="G5" s="9" t="s">
        <v>953</v>
      </c>
      <c r="H5" s="10" t="s">
        <v>3</v>
      </c>
      <c r="I5" s="10"/>
      <c r="J5" s="10"/>
      <c r="K5" s="11"/>
      <c r="L5" s="177"/>
      <c r="M5" s="187"/>
      <c r="N5" s="184"/>
      <c r="O5" s="184"/>
      <c r="P5" s="184"/>
      <c r="Q5" s="188"/>
      <c r="R5" s="175">
        <v>5</v>
      </c>
      <c r="S5" s="175"/>
      <c r="T5" s="175">
        <v>5</v>
      </c>
      <c r="U5" s="175"/>
      <c r="V5" s="175">
        <v>4</v>
      </c>
      <c r="W5" s="175"/>
      <c r="X5" s="175">
        <v>4</v>
      </c>
      <c r="Y5" s="175"/>
      <c r="Z5" s="175">
        <v>3</v>
      </c>
      <c r="AA5" s="175"/>
      <c r="AB5" s="175">
        <v>3</v>
      </c>
      <c r="AC5" s="175"/>
      <c r="AD5" s="175">
        <v>2</v>
      </c>
      <c r="AE5" s="175"/>
      <c r="AF5" s="175">
        <v>2</v>
      </c>
      <c r="AG5" s="175"/>
      <c r="AH5" s="175">
        <v>1</v>
      </c>
      <c r="AI5" s="175"/>
      <c r="AJ5" s="175">
        <v>1</v>
      </c>
      <c r="AK5" s="175"/>
      <c r="AL5" s="175">
        <v>0</v>
      </c>
      <c r="AM5" s="175"/>
      <c r="AN5" s="175">
        <v>0</v>
      </c>
      <c r="AO5" s="185"/>
      <c r="AP5" s="177"/>
      <c r="AQ5" s="254" t="s">
        <v>711</v>
      </c>
      <c r="AR5"/>
    </row>
    <row r="6" spans="2:44" ht="16.5" thickBot="1">
      <c r="B6" s="42">
        <v>199</v>
      </c>
      <c r="C6" s="293" t="s">
        <v>118</v>
      </c>
      <c r="D6" s="294" t="s">
        <v>677</v>
      </c>
      <c r="E6" s="322" t="s">
        <v>874</v>
      </c>
      <c r="F6" s="296"/>
      <c r="G6" s="389" t="s">
        <v>123</v>
      </c>
      <c r="H6" s="384" t="s">
        <v>952</v>
      </c>
      <c r="I6" s="296"/>
      <c r="J6" s="296"/>
      <c r="K6" s="297"/>
      <c r="L6" s="177"/>
      <c r="M6" s="187"/>
      <c r="N6" s="184"/>
      <c r="O6" s="184"/>
      <c r="P6" s="184"/>
      <c r="Q6" s="184"/>
      <c r="R6" s="265"/>
      <c r="S6" s="184"/>
      <c r="T6" s="189"/>
      <c r="U6" s="184"/>
      <c r="V6" s="265"/>
      <c r="W6" s="184"/>
      <c r="X6" s="189"/>
      <c r="Y6" s="184"/>
      <c r="Z6" s="189"/>
      <c r="AA6" s="184"/>
      <c r="AB6" s="189"/>
      <c r="AC6" s="184"/>
      <c r="AD6" s="189"/>
      <c r="AE6" s="184"/>
      <c r="AF6" s="189"/>
      <c r="AG6" s="184"/>
      <c r="AH6" s="189"/>
      <c r="AI6" s="184"/>
      <c r="AJ6" s="189"/>
      <c r="AK6" s="184"/>
      <c r="AL6" s="189"/>
      <c r="AM6" s="184"/>
      <c r="AN6" s="189"/>
      <c r="AO6" s="185"/>
      <c r="AP6" s="177"/>
      <c r="AQ6" s="186"/>
      <c r="AR6"/>
    </row>
    <row r="7" spans="2:44" ht="16.5" thickBot="1">
      <c r="B7" s="42">
        <v>200</v>
      </c>
      <c r="C7" s="21" t="s">
        <v>119</v>
      </c>
      <c r="D7" s="22" t="s">
        <v>699</v>
      </c>
      <c r="E7" s="323" t="s">
        <v>874</v>
      </c>
      <c r="F7" s="5"/>
      <c r="G7" s="389" t="s">
        <v>133</v>
      </c>
      <c r="H7" s="317" t="s">
        <v>952</v>
      </c>
      <c r="I7" s="5"/>
      <c r="J7" s="5"/>
      <c r="K7" s="14"/>
      <c r="L7" s="177"/>
      <c r="M7" s="187"/>
      <c r="N7" s="184"/>
      <c r="O7" s="184"/>
      <c r="P7" s="184"/>
      <c r="Q7" s="184"/>
      <c r="R7" s="266"/>
      <c r="S7" s="184"/>
      <c r="T7" s="191"/>
      <c r="U7" s="184"/>
      <c r="V7" s="266"/>
      <c r="W7" s="184"/>
      <c r="X7" s="191"/>
      <c r="Y7" s="184"/>
      <c r="Z7" s="191"/>
      <c r="AA7" s="184"/>
      <c r="AB7" s="191"/>
      <c r="AC7" s="184"/>
      <c r="AD7" s="191"/>
      <c r="AE7" s="184"/>
      <c r="AF7" s="191"/>
      <c r="AG7" s="184"/>
      <c r="AH7" s="191"/>
      <c r="AI7" s="184"/>
      <c r="AJ7" s="191"/>
      <c r="AK7" s="184"/>
      <c r="AL7" s="191"/>
      <c r="AM7" s="184"/>
      <c r="AN7" s="191"/>
      <c r="AO7" s="185"/>
      <c r="AP7" s="177"/>
      <c r="AQ7" s="186"/>
      <c r="AR7"/>
    </row>
    <row r="8" spans="2:44" ht="16.5" thickBot="1">
      <c r="B8" s="42">
        <v>207</v>
      </c>
      <c r="C8" s="21" t="s">
        <v>126</v>
      </c>
      <c r="D8" s="22" t="s">
        <v>632</v>
      </c>
      <c r="E8" s="323" t="s">
        <v>874</v>
      </c>
      <c r="F8" s="5"/>
      <c r="G8" s="389" t="s">
        <v>142</v>
      </c>
      <c r="H8" s="317" t="s">
        <v>952</v>
      </c>
      <c r="I8" s="5"/>
      <c r="J8" s="5"/>
      <c r="K8" s="14"/>
      <c r="L8" s="177"/>
      <c r="M8" s="187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5"/>
      <c r="AP8" s="177"/>
      <c r="AQ8" s="186"/>
      <c r="AR8"/>
    </row>
    <row r="9" spans="2:44" ht="16.5" thickBot="1">
      <c r="B9" s="42">
        <v>208</v>
      </c>
      <c r="C9" s="21" t="s">
        <v>127</v>
      </c>
      <c r="D9" s="22" t="s">
        <v>655</v>
      </c>
      <c r="E9" s="323" t="s">
        <v>874</v>
      </c>
      <c r="F9" s="5"/>
      <c r="G9" s="389" t="s">
        <v>152</v>
      </c>
      <c r="H9" s="317" t="s">
        <v>952</v>
      </c>
      <c r="I9" s="5"/>
      <c r="J9" s="5"/>
      <c r="K9" s="14"/>
      <c r="L9" s="177"/>
      <c r="M9" s="187"/>
      <c r="N9" s="184"/>
      <c r="O9" s="184"/>
      <c r="P9" s="184"/>
      <c r="Q9" s="184"/>
      <c r="R9" s="265"/>
      <c r="S9" s="184"/>
      <c r="T9" s="189"/>
      <c r="U9" s="184"/>
      <c r="V9" s="265"/>
      <c r="W9" s="184"/>
      <c r="X9" s="189"/>
      <c r="Y9" s="184"/>
      <c r="Z9" s="189"/>
      <c r="AA9" s="184"/>
      <c r="AB9" s="189"/>
      <c r="AC9" s="184"/>
      <c r="AD9" s="189"/>
      <c r="AE9" s="184"/>
      <c r="AF9" s="189"/>
      <c r="AG9" s="184"/>
      <c r="AH9" s="189"/>
      <c r="AI9" s="184"/>
      <c r="AJ9" s="189"/>
      <c r="AK9" s="184"/>
      <c r="AL9" s="189"/>
      <c r="AM9" s="184"/>
      <c r="AN9" s="189"/>
      <c r="AO9" s="185"/>
      <c r="AP9" s="177"/>
      <c r="AQ9" s="186"/>
      <c r="AR9"/>
    </row>
    <row r="10" spans="2:44" ht="16.5" thickBot="1">
      <c r="B10" s="42">
        <v>228</v>
      </c>
      <c r="C10" s="21" t="s">
        <v>147</v>
      </c>
      <c r="D10" s="22" t="s">
        <v>657</v>
      </c>
      <c r="E10" s="323" t="s">
        <v>874</v>
      </c>
      <c r="F10" s="5"/>
      <c r="G10" s="389" t="s">
        <v>102</v>
      </c>
      <c r="H10" s="317" t="s">
        <v>952</v>
      </c>
      <c r="I10" s="5"/>
      <c r="J10" s="5"/>
      <c r="K10" s="14"/>
      <c r="L10" s="177"/>
      <c r="M10" s="187"/>
      <c r="N10" s="184"/>
      <c r="O10" s="184"/>
      <c r="P10" s="184"/>
      <c r="Q10" s="184"/>
      <c r="R10" s="266"/>
      <c r="S10" s="184"/>
      <c r="T10" s="191"/>
      <c r="U10" s="184"/>
      <c r="V10" s="266"/>
      <c r="W10" s="184"/>
      <c r="X10" s="191"/>
      <c r="Y10" s="184"/>
      <c r="Z10" s="191"/>
      <c r="AA10" s="184"/>
      <c r="AB10" s="191"/>
      <c r="AC10" s="184"/>
      <c r="AD10" s="191"/>
      <c r="AE10" s="184"/>
      <c r="AF10" s="191"/>
      <c r="AG10" s="184"/>
      <c r="AH10" s="191"/>
      <c r="AI10" s="184"/>
      <c r="AJ10" s="191"/>
      <c r="AK10" s="184"/>
      <c r="AL10" s="190"/>
      <c r="AM10" s="184"/>
      <c r="AN10" s="191"/>
      <c r="AO10" s="192"/>
      <c r="AP10" s="177"/>
      <c r="AQ10" s="186"/>
      <c r="AR10"/>
    </row>
    <row r="11" spans="2:44" ht="16.5" thickBot="1">
      <c r="B11" s="42">
        <v>227</v>
      </c>
      <c r="C11" s="21" t="s">
        <v>146</v>
      </c>
      <c r="D11" s="22" t="s">
        <v>634</v>
      </c>
      <c r="E11" s="323" t="s">
        <v>874</v>
      </c>
      <c r="F11" s="5"/>
      <c r="G11" s="389" t="s">
        <v>112</v>
      </c>
      <c r="H11" s="317" t="s">
        <v>952</v>
      </c>
      <c r="I11" s="5"/>
      <c r="J11" s="5"/>
      <c r="K11" s="14"/>
      <c r="L11" s="177"/>
      <c r="M11" s="187"/>
      <c r="N11" s="184"/>
      <c r="O11" s="184"/>
      <c r="P11" s="184"/>
      <c r="Q11" s="184"/>
      <c r="R11" s="556">
        <v>11</v>
      </c>
      <c r="S11" s="556"/>
      <c r="T11" s="556">
        <v>10</v>
      </c>
      <c r="U11" s="556"/>
      <c r="V11" s="184">
        <v>9</v>
      </c>
      <c r="W11" s="184"/>
      <c r="X11" s="184">
        <v>8</v>
      </c>
      <c r="Y11" s="184"/>
      <c r="Z11" s="184">
        <v>7</v>
      </c>
      <c r="AA11" s="184"/>
      <c r="AB11" s="184">
        <v>6</v>
      </c>
      <c r="AC11" s="184"/>
      <c r="AD11" s="184">
        <v>5</v>
      </c>
      <c r="AE11" s="184"/>
      <c r="AF11" s="184">
        <v>4</v>
      </c>
      <c r="AG11" s="184"/>
      <c r="AH11" s="249">
        <v>3</v>
      </c>
      <c r="AI11" s="249"/>
      <c r="AJ11" s="249">
        <v>2</v>
      </c>
      <c r="AK11" s="250"/>
      <c r="AL11" s="251">
        <v>1</v>
      </c>
      <c r="AM11" s="249"/>
      <c r="AN11" s="249">
        <v>0</v>
      </c>
      <c r="AO11" s="192"/>
      <c r="AP11" s="177"/>
      <c r="AQ11" s="186"/>
      <c r="AR11"/>
    </row>
    <row r="12" spans="2:44" ht="16.5" thickBot="1">
      <c r="B12" s="260">
        <v>189</v>
      </c>
      <c r="C12" s="261" t="s">
        <v>108</v>
      </c>
      <c r="D12" s="262" t="s">
        <v>676</v>
      </c>
      <c r="E12" s="325" t="s">
        <v>874</v>
      </c>
      <c r="F12" s="212"/>
      <c r="G12" s="389" t="s">
        <v>161</v>
      </c>
      <c r="H12" s="317" t="s">
        <v>952</v>
      </c>
      <c r="I12" s="212"/>
      <c r="J12" s="212"/>
      <c r="K12" s="263"/>
      <c r="L12" s="177"/>
      <c r="M12" s="187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92"/>
      <c r="AP12" s="193"/>
      <c r="AQ12" s="186"/>
      <c r="AR12"/>
    </row>
    <row r="13" spans="2:44" ht="16.5" thickBot="1">
      <c r="B13" s="260">
        <v>190</v>
      </c>
      <c r="C13" s="261" t="s">
        <v>109</v>
      </c>
      <c r="D13" s="262" t="s">
        <v>698</v>
      </c>
      <c r="E13" s="325" t="s">
        <v>874</v>
      </c>
      <c r="F13" s="212"/>
      <c r="G13" s="389" t="s">
        <v>171</v>
      </c>
      <c r="H13" s="317" t="s">
        <v>952</v>
      </c>
      <c r="I13" s="212"/>
      <c r="J13" s="212"/>
      <c r="K13" s="263"/>
      <c r="L13" s="177"/>
      <c r="M13" s="187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92"/>
      <c r="AP13" s="193"/>
      <c r="AQ13" s="186"/>
      <c r="AR13"/>
    </row>
    <row r="14" spans="2:44" ht="16.5" thickBot="1">
      <c r="B14" s="213">
        <v>179</v>
      </c>
      <c r="C14" s="214" t="s">
        <v>98</v>
      </c>
      <c r="D14" s="215" t="s">
        <v>675</v>
      </c>
      <c r="E14" s="359"/>
      <c r="F14" s="216"/>
      <c r="G14" s="359"/>
      <c r="H14" s="317"/>
      <c r="I14" s="216"/>
      <c r="J14" s="216"/>
      <c r="K14" s="217"/>
      <c r="L14" s="177"/>
      <c r="M14" s="187"/>
      <c r="N14" s="184"/>
      <c r="O14" s="184"/>
      <c r="P14" s="16" t="s">
        <v>13</v>
      </c>
      <c r="Q14" s="16"/>
      <c r="R14" s="16" t="s">
        <v>13</v>
      </c>
      <c r="S14" s="16"/>
      <c r="T14" s="16" t="s">
        <v>14</v>
      </c>
      <c r="U14" s="16"/>
      <c r="V14" s="16" t="s">
        <v>14</v>
      </c>
      <c r="W14" s="16"/>
      <c r="X14" s="16" t="s">
        <v>13</v>
      </c>
      <c r="Y14" s="16"/>
      <c r="Z14" s="16" t="s">
        <v>13</v>
      </c>
      <c r="AA14" s="16"/>
      <c r="AB14" s="16" t="s">
        <v>14</v>
      </c>
      <c r="AC14" s="16"/>
      <c r="AD14" s="16" t="s">
        <v>14</v>
      </c>
      <c r="AE14" s="16"/>
      <c r="AF14" s="16" t="s">
        <v>13</v>
      </c>
      <c r="AG14" s="16"/>
      <c r="AH14" s="16" t="s">
        <v>13</v>
      </c>
      <c r="AI14" s="16"/>
      <c r="AJ14" s="16" t="s">
        <v>14</v>
      </c>
      <c r="AK14" s="16"/>
      <c r="AL14" s="16" t="s">
        <v>14</v>
      </c>
      <c r="AM14" s="184"/>
      <c r="AN14" s="184"/>
      <c r="AO14" s="192"/>
      <c r="AP14" s="193"/>
      <c r="AQ14" s="182" t="s">
        <v>710</v>
      </c>
      <c r="AR14"/>
    </row>
    <row r="15" spans="2:44" ht="16.5" thickBot="1">
      <c r="B15" s="213">
        <v>180</v>
      </c>
      <c r="C15" s="214" t="s">
        <v>99</v>
      </c>
      <c r="D15" s="215" t="s">
        <v>697</v>
      </c>
      <c r="E15" s="359"/>
      <c r="F15" s="216"/>
      <c r="G15" s="359"/>
      <c r="H15" s="317"/>
      <c r="I15" s="216"/>
      <c r="J15" s="216"/>
      <c r="K15" s="217"/>
      <c r="L15" s="177"/>
      <c r="M15" s="187"/>
      <c r="N15" s="184"/>
      <c r="O15" s="184"/>
      <c r="P15" s="16">
        <v>2</v>
      </c>
      <c r="Q15" s="16"/>
      <c r="R15" s="16">
        <v>2</v>
      </c>
      <c r="S15" s="16"/>
      <c r="T15" s="16">
        <v>2</v>
      </c>
      <c r="U15" s="16"/>
      <c r="V15" s="16">
        <v>2</v>
      </c>
      <c r="W15" s="16"/>
      <c r="X15" s="16">
        <v>1</v>
      </c>
      <c r="Y15" s="16"/>
      <c r="Z15" s="16">
        <v>1</v>
      </c>
      <c r="AA15" s="16"/>
      <c r="AB15" s="16">
        <v>1</v>
      </c>
      <c r="AC15" s="16"/>
      <c r="AD15" s="16">
        <v>1</v>
      </c>
      <c r="AE15" s="16"/>
      <c r="AF15" s="16">
        <v>0</v>
      </c>
      <c r="AG15" s="16"/>
      <c r="AH15" s="16">
        <v>0</v>
      </c>
      <c r="AI15" s="16"/>
      <c r="AJ15" s="16">
        <v>0</v>
      </c>
      <c r="AK15" s="16"/>
      <c r="AL15" s="16">
        <v>0</v>
      </c>
      <c r="AM15" s="184"/>
      <c r="AN15" s="184"/>
      <c r="AO15" s="192"/>
      <c r="AP15" s="193"/>
      <c r="AQ15" s="182" t="s">
        <v>713</v>
      </c>
      <c r="AR15"/>
    </row>
    <row r="16" spans="2:44" ht="16.5" thickBot="1">
      <c r="B16" s="42">
        <v>197</v>
      </c>
      <c r="C16" s="21" t="s">
        <v>116</v>
      </c>
      <c r="D16" s="22" t="s">
        <v>631</v>
      </c>
      <c r="E16" s="323" t="s">
        <v>874</v>
      </c>
      <c r="F16" s="5"/>
      <c r="G16" s="389" t="s">
        <v>165</v>
      </c>
      <c r="H16" s="317" t="s">
        <v>952</v>
      </c>
      <c r="I16" s="5"/>
      <c r="J16" s="5"/>
      <c r="K16" s="14"/>
      <c r="L16" s="177"/>
      <c r="M16" s="187"/>
      <c r="N16" s="184"/>
      <c r="O16" s="184"/>
      <c r="P16" s="16" t="s">
        <v>17</v>
      </c>
      <c r="Q16" s="16"/>
      <c r="R16" s="16" t="s">
        <v>13</v>
      </c>
      <c r="S16" s="16"/>
      <c r="T16" s="16" t="s">
        <v>13</v>
      </c>
      <c r="U16" s="16"/>
      <c r="V16" s="16" t="s">
        <v>17</v>
      </c>
      <c r="W16" s="16"/>
      <c r="X16" s="16" t="s">
        <v>17</v>
      </c>
      <c r="Y16" s="16"/>
      <c r="Z16" s="16" t="s">
        <v>13</v>
      </c>
      <c r="AA16" s="16"/>
      <c r="AB16" s="16" t="s">
        <v>13</v>
      </c>
      <c r="AC16" s="16"/>
      <c r="AD16" s="16" t="s">
        <v>17</v>
      </c>
      <c r="AE16" s="16"/>
      <c r="AF16" s="16" t="s">
        <v>17</v>
      </c>
      <c r="AG16" s="16"/>
      <c r="AH16" s="16" t="s">
        <v>13</v>
      </c>
      <c r="AI16" s="16"/>
      <c r="AJ16" s="16" t="s">
        <v>13</v>
      </c>
      <c r="AK16" s="16"/>
      <c r="AL16" s="16" t="s">
        <v>17</v>
      </c>
      <c r="AM16" s="184"/>
      <c r="AN16" s="184"/>
      <c r="AO16" s="192"/>
      <c r="AP16" s="193"/>
      <c r="AQ16" s="182" t="s">
        <v>954</v>
      </c>
      <c r="AR16"/>
    </row>
    <row r="17" spans="2:44" ht="16.5" thickBot="1">
      <c r="B17" s="42">
        <v>198</v>
      </c>
      <c r="C17" s="21" t="s">
        <v>117</v>
      </c>
      <c r="D17" s="22" t="s">
        <v>654</v>
      </c>
      <c r="E17" s="323" t="s">
        <v>874</v>
      </c>
      <c r="F17" s="5"/>
      <c r="G17" s="389" t="s">
        <v>175</v>
      </c>
      <c r="H17" s="317" t="s">
        <v>952</v>
      </c>
      <c r="I17" s="5"/>
      <c r="J17" s="5"/>
      <c r="K17" s="14"/>
      <c r="L17" s="177"/>
      <c r="M17" s="187"/>
      <c r="N17" s="184"/>
      <c r="O17" s="16"/>
      <c r="P17" s="255">
        <v>11</v>
      </c>
      <c r="Q17" s="35"/>
      <c r="R17" s="244">
        <v>10</v>
      </c>
      <c r="S17" s="35"/>
      <c r="T17" s="244">
        <v>9</v>
      </c>
      <c r="U17" s="35"/>
      <c r="V17" s="244">
        <v>8</v>
      </c>
      <c r="W17" s="35"/>
      <c r="X17" s="244">
        <v>7</v>
      </c>
      <c r="Y17" s="35"/>
      <c r="Z17" s="244">
        <v>6</v>
      </c>
      <c r="AA17" s="35"/>
      <c r="AB17" s="244">
        <v>5</v>
      </c>
      <c r="AC17" s="35"/>
      <c r="AD17" s="244">
        <v>4</v>
      </c>
      <c r="AE17" s="35"/>
      <c r="AF17" s="244">
        <v>3</v>
      </c>
      <c r="AG17" s="35"/>
      <c r="AH17" s="244">
        <v>2</v>
      </c>
      <c r="AI17" s="35"/>
      <c r="AJ17" s="244">
        <v>1</v>
      </c>
      <c r="AK17" s="35"/>
      <c r="AL17" s="244">
        <v>0</v>
      </c>
      <c r="AM17" s="184"/>
      <c r="AN17" s="184"/>
      <c r="AO17" s="192"/>
      <c r="AP17" s="193"/>
      <c r="AQ17" s="182" t="s">
        <v>964</v>
      </c>
      <c r="AR17"/>
    </row>
    <row r="18" spans="2:44" s="1" customFormat="1" ht="16.5" thickBot="1">
      <c r="B18" s="42">
        <v>210</v>
      </c>
      <c r="C18" s="21" t="s">
        <v>129</v>
      </c>
      <c r="D18" s="22" t="s">
        <v>700</v>
      </c>
      <c r="E18" s="323" t="s">
        <v>874</v>
      </c>
      <c r="F18" s="5"/>
      <c r="G18" s="389" t="s">
        <v>125</v>
      </c>
      <c r="H18" s="317" t="s">
        <v>952</v>
      </c>
      <c r="I18" s="5"/>
      <c r="J18" s="5"/>
      <c r="K18" s="14"/>
      <c r="L18" s="177"/>
      <c r="M18" s="187"/>
      <c r="N18" s="184"/>
      <c r="O18" s="16"/>
      <c r="P18" s="256">
        <v>11</v>
      </c>
      <c r="Q18" s="35"/>
      <c r="R18" s="246">
        <v>10</v>
      </c>
      <c r="S18" s="35"/>
      <c r="T18" s="246">
        <v>9</v>
      </c>
      <c r="U18" s="35"/>
      <c r="V18" s="246">
        <v>8</v>
      </c>
      <c r="W18" s="35"/>
      <c r="X18" s="246">
        <v>7</v>
      </c>
      <c r="Y18" s="35"/>
      <c r="Z18" s="246">
        <v>6</v>
      </c>
      <c r="AA18" s="35"/>
      <c r="AB18" s="246">
        <v>5</v>
      </c>
      <c r="AC18" s="35"/>
      <c r="AD18" s="246">
        <v>4</v>
      </c>
      <c r="AE18" s="35"/>
      <c r="AF18" s="246">
        <v>3</v>
      </c>
      <c r="AG18" s="35"/>
      <c r="AH18" s="246">
        <v>2</v>
      </c>
      <c r="AI18" s="35"/>
      <c r="AJ18" s="246">
        <v>1</v>
      </c>
      <c r="AK18" s="35"/>
      <c r="AL18" s="246">
        <v>0</v>
      </c>
      <c r="AM18" s="184"/>
      <c r="AN18" s="184"/>
      <c r="AO18" s="192"/>
      <c r="AP18" s="193"/>
      <c r="AQ18" s="186"/>
      <c r="AR18"/>
    </row>
    <row r="19" spans="2:44" s="1" customFormat="1" ht="16.5" thickBot="1">
      <c r="B19" s="42">
        <v>209</v>
      </c>
      <c r="C19" s="21" t="s">
        <v>128</v>
      </c>
      <c r="D19" s="22" t="s">
        <v>678</v>
      </c>
      <c r="E19" s="323" t="s">
        <v>874</v>
      </c>
      <c r="F19" s="5"/>
      <c r="G19" s="389" t="s">
        <v>135</v>
      </c>
      <c r="H19" s="317" t="s">
        <v>952</v>
      </c>
      <c r="I19" s="5"/>
      <c r="J19" s="5"/>
      <c r="K19" s="14"/>
      <c r="L19" s="177"/>
      <c r="M19" s="194"/>
      <c r="N19" s="195"/>
      <c r="O19" s="195"/>
      <c r="P19" s="563">
        <v>11</v>
      </c>
      <c r="Q19" s="563"/>
      <c r="R19" s="563">
        <v>10</v>
      </c>
      <c r="S19" s="563"/>
      <c r="T19" s="195">
        <v>9</v>
      </c>
      <c r="U19" s="195"/>
      <c r="V19" s="195">
        <v>8</v>
      </c>
      <c r="W19" s="195"/>
      <c r="X19" s="195">
        <v>7</v>
      </c>
      <c r="Y19" s="195"/>
      <c r="Z19" s="195">
        <v>6</v>
      </c>
      <c r="AA19" s="195"/>
      <c r="AB19" s="195">
        <v>5</v>
      </c>
      <c r="AC19" s="195"/>
      <c r="AD19" s="195">
        <v>4</v>
      </c>
      <c r="AE19" s="195"/>
      <c r="AF19" s="195">
        <v>3</v>
      </c>
      <c r="AG19" s="195"/>
      <c r="AH19" s="195">
        <v>2</v>
      </c>
      <c r="AI19" s="195"/>
      <c r="AJ19" s="253">
        <v>1</v>
      </c>
      <c r="AK19" s="253"/>
      <c r="AL19" s="253">
        <v>0</v>
      </c>
      <c r="AM19" s="253"/>
      <c r="AN19" s="195"/>
      <c r="AO19" s="196"/>
      <c r="AP19" s="193"/>
      <c r="AQ19" s="186"/>
      <c r="AR19"/>
    </row>
    <row r="20" spans="2:44" s="1" customFormat="1" ht="16.5" thickBot="1">
      <c r="B20" s="42">
        <v>217</v>
      </c>
      <c r="C20" s="21" t="s">
        <v>136</v>
      </c>
      <c r="D20" s="22" t="s">
        <v>633</v>
      </c>
      <c r="E20" s="323" t="s">
        <v>874</v>
      </c>
      <c r="F20" s="5"/>
      <c r="G20" s="389" t="s">
        <v>144</v>
      </c>
      <c r="H20" s="317" t="s">
        <v>952</v>
      </c>
      <c r="I20" s="5"/>
      <c r="J20" s="5"/>
      <c r="K20" s="14"/>
      <c r="L20" s="558" t="s">
        <v>864</v>
      </c>
      <c r="M20" s="559"/>
      <c r="N20" s="559"/>
      <c r="O20" s="559"/>
      <c r="P20" s="559"/>
      <c r="Q20" s="559"/>
      <c r="R20" s="559"/>
      <c r="S20" s="559"/>
      <c r="T20" s="559"/>
      <c r="U20" s="559"/>
      <c r="V20" s="559"/>
      <c r="W20" s="559"/>
      <c r="X20" s="559"/>
      <c r="Y20" s="559"/>
      <c r="Z20" s="559"/>
      <c r="AA20" s="559"/>
      <c r="AB20" s="559"/>
      <c r="AC20" s="559"/>
      <c r="AD20" s="559"/>
      <c r="AE20" s="559"/>
      <c r="AF20" s="559"/>
      <c r="AG20" s="559"/>
      <c r="AH20" s="559"/>
      <c r="AI20" s="559"/>
      <c r="AJ20" s="559"/>
      <c r="AK20" s="559"/>
      <c r="AL20" s="559"/>
      <c r="AM20" s="559"/>
      <c r="AN20" s="559"/>
      <c r="AO20" s="559"/>
      <c r="AP20" s="559"/>
      <c r="AQ20" s="186"/>
      <c r="AR20"/>
    </row>
    <row r="21" spans="2:44" s="1" customFormat="1" ht="16.5" thickBot="1">
      <c r="B21" s="42">
        <v>218</v>
      </c>
      <c r="C21" s="21" t="s">
        <v>137</v>
      </c>
      <c r="D21" s="22" t="s">
        <v>656</v>
      </c>
      <c r="E21" s="323" t="s">
        <v>874</v>
      </c>
      <c r="F21" s="5"/>
      <c r="G21" s="389" t="s">
        <v>154</v>
      </c>
      <c r="H21" s="317" t="s">
        <v>952</v>
      </c>
      <c r="I21" s="5"/>
      <c r="J21" s="5"/>
      <c r="K21" s="14"/>
      <c r="L21" s="560" t="s">
        <v>721</v>
      </c>
      <c r="M21" s="561"/>
      <c r="N21" s="561"/>
      <c r="O21" s="561"/>
      <c r="P21" s="561"/>
      <c r="Q21" s="561"/>
      <c r="R21" s="561"/>
      <c r="S21" s="561"/>
      <c r="T21" s="561"/>
      <c r="U21" s="561"/>
      <c r="V21" s="561"/>
      <c r="W21" s="561"/>
      <c r="X21" s="561"/>
      <c r="Y21" s="561"/>
      <c r="Z21" s="561"/>
      <c r="AA21" s="561"/>
      <c r="AB21" s="561"/>
      <c r="AC21" s="561"/>
      <c r="AD21" s="561"/>
      <c r="AE21" s="561"/>
      <c r="AF21" s="561"/>
      <c r="AG21" s="561"/>
      <c r="AH21" s="561"/>
      <c r="AI21" s="561"/>
      <c r="AJ21" s="561"/>
      <c r="AK21" s="561"/>
      <c r="AL21" s="561"/>
      <c r="AM21" s="561"/>
      <c r="AN21" s="561"/>
      <c r="AO21" s="561"/>
      <c r="AP21" s="561"/>
      <c r="AQ21" s="193"/>
      <c r="AR21"/>
    </row>
    <row r="22" spans="2:44" s="1" customFormat="1" ht="16.5" thickBot="1">
      <c r="B22" s="260">
        <v>177</v>
      </c>
      <c r="C22" s="261" t="s">
        <v>96</v>
      </c>
      <c r="D22" s="262" t="s">
        <v>629</v>
      </c>
      <c r="E22" s="325" t="s">
        <v>874</v>
      </c>
      <c r="F22" s="212"/>
      <c r="G22" s="389" t="s">
        <v>104</v>
      </c>
      <c r="H22" s="317" t="s">
        <v>952</v>
      </c>
      <c r="I22" s="212"/>
      <c r="J22" s="212"/>
      <c r="K22" s="263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2:44" s="1" customFormat="1">
      <c r="B23" s="260">
        <v>187</v>
      </c>
      <c r="C23" s="261" t="s">
        <v>106</v>
      </c>
      <c r="D23" s="262" t="s">
        <v>630</v>
      </c>
      <c r="E23" s="325" t="s">
        <v>874</v>
      </c>
      <c r="F23" s="212"/>
      <c r="G23" s="389" t="s">
        <v>114</v>
      </c>
      <c r="H23" s="317" t="s">
        <v>952</v>
      </c>
      <c r="I23" s="212"/>
      <c r="J23" s="212"/>
      <c r="K23" s="263"/>
      <c r="L23"/>
      <c r="M23" s="562" t="s">
        <v>836</v>
      </c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2"/>
      <c r="AP23"/>
      <c r="AQ23"/>
      <c r="AR23"/>
    </row>
    <row r="24" spans="2:44" s="1" customFormat="1">
      <c r="B24" s="213">
        <v>178</v>
      </c>
      <c r="C24" s="214" t="s">
        <v>97</v>
      </c>
      <c r="D24" s="215" t="s">
        <v>652</v>
      </c>
      <c r="E24" s="199"/>
      <c r="F24" s="216"/>
      <c r="G24" s="216"/>
      <c r="H24" s="199"/>
      <c r="I24" s="216"/>
      <c r="J24" s="216"/>
      <c r="K24" s="217"/>
      <c r="L24"/>
      <c r="M24" s="557" t="s">
        <v>883</v>
      </c>
      <c r="N24" s="557"/>
      <c r="O24" s="557"/>
      <c r="P24" s="557"/>
      <c r="Q24" s="557"/>
      <c r="R24" s="557"/>
      <c r="S24" s="557"/>
      <c r="T24" s="557"/>
      <c r="U24" s="557"/>
      <c r="V24" s="557"/>
      <c r="W24" s="557"/>
      <c r="X24" s="557"/>
      <c r="Y24" s="557"/>
      <c r="Z24" s="557"/>
      <c r="AA24" s="557"/>
      <c r="AB24" s="557"/>
      <c r="AC24" s="557"/>
      <c r="AD24" s="557"/>
      <c r="AE24" s="557"/>
      <c r="AF24" s="557"/>
      <c r="AG24" s="557"/>
      <c r="AH24" s="557"/>
      <c r="AI24" s="557"/>
      <c r="AJ24" s="557"/>
      <c r="AK24" s="557"/>
      <c r="AL24" s="557"/>
      <c r="AM24" s="557"/>
      <c r="AN24" s="557"/>
      <c r="AO24" s="557"/>
      <c r="AP24"/>
      <c r="AQ24"/>
      <c r="AR24"/>
    </row>
    <row r="25" spans="2:44" s="1" customFormat="1">
      <c r="B25" s="213">
        <v>188</v>
      </c>
      <c r="C25" s="214" t="s">
        <v>107</v>
      </c>
      <c r="D25" s="215" t="s">
        <v>653</v>
      </c>
      <c r="E25" s="199"/>
      <c r="F25" s="216"/>
      <c r="G25" s="216"/>
      <c r="H25" s="199"/>
      <c r="I25" s="216"/>
      <c r="J25" s="216"/>
      <c r="K25" s="217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2:44" s="1" customFormat="1">
      <c r="B26" s="42">
        <v>277</v>
      </c>
      <c r="C26" s="21" t="s">
        <v>196</v>
      </c>
      <c r="D26" s="22" t="s">
        <v>635</v>
      </c>
      <c r="E26" s="323" t="s">
        <v>874</v>
      </c>
      <c r="F26" s="5"/>
      <c r="G26" s="389" t="s">
        <v>43</v>
      </c>
      <c r="H26" s="340" t="s">
        <v>967</v>
      </c>
      <c r="I26" s="5"/>
      <c r="J26" s="5"/>
      <c r="K26" s="14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2:44" s="1" customFormat="1">
      <c r="B27" s="42">
        <v>278</v>
      </c>
      <c r="C27" s="21" t="s">
        <v>197</v>
      </c>
      <c r="D27" s="22" t="s">
        <v>658</v>
      </c>
      <c r="E27" s="323" t="s">
        <v>874</v>
      </c>
      <c r="F27" s="5"/>
      <c r="G27" s="389" t="s">
        <v>53</v>
      </c>
      <c r="H27" s="316" t="s">
        <v>967</v>
      </c>
      <c r="I27" s="5"/>
      <c r="J27" s="5"/>
      <c r="K27" s="14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2:44" s="1" customFormat="1">
      <c r="B28" s="42">
        <v>287</v>
      </c>
      <c r="C28" s="21" t="s">
        <v>206</v>
      </c>
      <c r="D28" s="22" t="s">
        <v>636</v>
      </c>
      <c r="E28" s="323" t="s">
        <v>874</v>
      </c>
      <c r="F28" s="5"/>
      <c r="G28" s="389" t="s">
        <v>62</v>
      </c>
      <c r="H28" s="316" t="s">
        <v>967</v>
      </c>
      <c r="I28" s="5"/>
      <c r="J28" s="5"/>
      <c r="K28" s="14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2:44" s="1" customFormat="1">
      <c r="B29" s="42">
        <v>288</v>
      </c>
      <c r="C29" s="21" t="s">
        <v>207</v>
      </c>
      <c r="D29" s="22" t="s">
        <v>659</v>
      </c>
      <c r="E29" s="323" t="s">
        <v>874</v>
      </c>
      <c r="F29" s="5"/>
      <c r="G29" s="389" t="s">
        <v>72</v>
      </c>
      <c r="H29" s="316" t="s">
        <v>967</v>
      </c>
      <c r="I29" s="5"/>
      <c r="J29" s="5"/>
      <c r="K29" s="14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2:44" s="1" customFormat="1">
      <c r="B30" s="42">
        <v>297</v>
      </c>
      <c r="C30" s="21" t="s">
        <v>216</v>
      </c>
      <c r="D30" s="22" t="s">
        <v>637</v>
      </c>
      <c r="E30" s="323" t="s">
        <v>874</v>
      </c>
      <c r="F30" s="5"/>
      <c r="G30" s="389" t="s">
        <v>22</v>
      </c>
      <c r="H30" s="316" t="s">
        <v>967</v>
      </c>
      <c r="I30" s="5"/>
      <c r="J30" s="5"/>
      <c r="K30" s="14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2:44" s="1" customFormat="1">
      <c r="B31" s="42">
        <v>298</v>
      </c>
      <c r="C31" s="21" t="s">
        <v>217</v>
      </c>
      <c r="D31" s="22" t="s">
        <v>660</v>
      </c>
      <c r="E31" s="323" t="s">
        <v>874</v>
      </c>
      <c r="F31" s="5"/>
      <c r="G31" s="389" t="s">
        <v>32</v>
      </c>
      <c r="H31" s="316" t="s">
        <v>967</v>
      </c>
      <c r="I31" s="5"/>
      <c r="J31" s="5"/>
      <c r="K31" s="14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2:44" s="1" customFormat="1">
      <c r="B32" s="260">
        <v>307</v>
      </c>
      <c r="C32" s="261" t="s">
        <v>226</v>
      </c>
      <c r="D32" s="262" t="s">
        <v>638</v>
      </c>
      <c r="E32" s="325" t="s">
        <v>874</v>
      </c>
      <c r="F32" s="212"/>
      <c r="G32" s="389" t="s">
        <v>81</v>
      </c>
      <c r="H32" s="316" t="s">
        <v>967</v>
      </c>
      <c r="I32" s="212"/>
      <c r="J32" s="212"/>
      <c r="K32" s="263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2:44" s="1" customFormat="1">
      <c r="B33" s="260">
        <v>308</v>
      </c>
      <c r="C33" s="261" t="s">
        <v>227</v>
      </c>
      <c r="D33" s="262" t="s">
        <v>661</v>
      </c>
      <c r="E33" s="325" t="s">
        <v>874</v>
      </c>
      <c r="F33" s="212"/>
      <c r="G33" s="389" t="s">
        <v>91</v>
      </c>
      <c r="H33" s="316" t="s">
        <v>967</v>
      </c>
      <c r="I33" s="212"/>
      <c r="J33" s="212"/>
      <c r="K33" s="26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2:44" s="1" customFormat="1">
      <c r="B34" s="213">
        <v>317</v>
      </c>
      <c r="C34" s="214" t="s">
        <v>236</v>
      </c>
      <c r="D34" s="215" t="s">
        <v>639</v>
      </c>
      <c r="E34" s="359"/>
      <c r="F34" s="216"/>
      <c r="G34" s="359"/>
      <c r="H34" s="316"/>
      <c r="I34" s="216"/>
      <c r="J34" s="216"/>
      <c r="K34" s="217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2:44" s="1" customFormat="1">
      <c r="B35" s="213">
        <v>318</v>
      </c>
      <c r="C35" s="214" t="s">
        <v>237</v>
      </c>
      <c r="D35" s="215" t="s">
        <v>662</v>
      </c>
      <c r="E35" s="359"/>
      <c r="F35" s="216"/>
      <c r="G35" s="359"/>
      <c r="H35" s="316"/>
      <c r="I35" s="216"/>
      <c r="J35" s="216"/>
      <c r="K35" s="217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2:44" s="1" customFormat="1">
      <c r="B36" s="42">
        <v>279</v>
      </c>
      <c r="C36" s="21" t="s">
        <v>198</v>
      </c>
      <c r="D36" s="22" t="s">
        <v>679</v>
      </c>
      <c r="E36" s="323" t="s">
        <v>874</v>
      </c>
      <c r="F36" s="5"/>
      <c r="G36" s="389" t="s">
        <v>85</v>
      </c>
      <c r="H36" s="316" t="s">
        <v>967</v>
      </c>
      <c r="I36" s="5"/>
      <c r="J36" s="5"/>
      <c r="K36" s="14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2:44" s="1" customFormat="1">
      <c r="B37" s="42">
        <v>280</v>
      </c>
      <c r="C37" s="21" t="s">
        <v>199</v>
      </c>
      <c r="D37" s="22" t="s">
        <v>701</v>
      </c>
      <c r="E37" s="323" t="s">
        <v>874</v>
      </c>
      <c r="F37" s="5"/>
      <c r="G37" s="389" t="s">
        <v>95</v>
      </c>
      <c r="H37" s="316" t="s">
        <v>967</v>
      </c>
      <c r="I37" s="5"/>
      <c r="J37" s="5"/>
      <c r="K37" s="14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2:44" s="1" customFormat="1">
      <c r="B38" s="42">
        <v>289</v>
      </c>
      <c r="C38" s="21" t="s">
        <v>208</v>
      </c>
      <c r="D38" s="22" t="s">
        <v>680</v>
      </c>
      <c r="E38" s="323" t="s">
        <v>874</v>
      </c>
      <c r="F38" s="5"/>
      <c r="G38" s="389" t="s">
        <v>45</v>
      </c>
      <c r="H38" s="316" t="s">
        <v>967</v>
      </c>
      <c r="I38" s="5"/>
      <c r="J38" s="5"/>
      <c r="K38" s="14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2:44" s="1" customFormat="1">
      <c r="B39" s="42">
        <v>290</v>
      </c>
      <c r="C39" s="21" t="s">
        <v>209</v>
      </c>
      <c r="D39" s="22" t="s">
        <v>702</v>
      </c>
      <c r="E39" s="323" t="s">
        <v>874</v>
      </c>
      <c r="F39" s="5"/>
      <c r="G39" s="389" t="s">
        <v>55</v>
      </c>
      <c r="H39" s="316" t="s">
        <v>967</v>
      </c>
      <c r="I39" s="5"/>
      <c r="J39" s="5"/>
      <c r="K39" s="14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2:44" s="1" customFormat="1">
      <c r="B40" s="42">
        <v>299</v>
      </c>
      <c r="C40" s="21" t="s">
        <v>218</v>
      </c>
      <c r="D40" s="22" t="s">
        <v>681</v>
      </c>
      <c r="E40" s="323" t="s">
        <v>874</v>
      </c>
      <c r="F40" s="5"/>
      <c r="G40" s="389" t="s">
        <v>64</v>
      </c>
      <c r="H40" s="316" t="s">
        <v>967</v>
      </c>
      <c r="I40" s="5"/>
      <c r="J40" s="5"/>
      <c r="K40" s="14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2:44" s="1" customFormat="1">
      <c r="B41" s="42">
        <v>300</v>
      </c>
      <c r="C41" s="21" t="s">
        <v>219</v>
      </c>
      <c r="D41" s="22" t="s">
        <v>703</v>
      </c>
      <c r="E41" s="323" t="s">
        <v>874</v>
      </c>
      <c r="F41" s="5"/>
      <c r="G41" s="389" t="s">
        <v>74</v>
      </c>
      <c r="H41" s="316" t="s">
        <v>967</v>
      </c>
      <c r="I41" s="5"/>
      <c r="J41" s="5"/>
      <c r="K41" s="14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2:44" s="1" customFormat="1">
      <c r="B42" s="260">
        <v>309</v>
      </c>
      <c r="C42" s="261" t="s">
        <v>228</v>
      </c>
      <c r="D42" s="262" t="s">
        <v>682</v>
      </c>
      <c r="E42" s="325" t="s">
        <v>874</v>
      </c>
      <c r="F42" s="212"/>
      <c r="G42" s="389" t="s">
        <v>24</v>
      </c>
      <c r="H42" s="316" t="s">
        <v>967</v>
      </c>
      <c r="I42" s="212"/>
      <c r="J42" s="212"/>
      <c r="K42" s="263"/>
      <c r="L42" s="3"/>
    </row>
    <row r="43" spans="2:44" s="1" customFormat="1">
      <c r="B43" s="260">
        <v>310</v>
      </c>
      <c r="C43" s="261" t="s">
        <v>229</v>
      </c>
      <c r="D43" s="262" t="s">
        <v>704</v>
      </c>
      <c r="E43" s="325" t="s">
        <v>874</v>
      </c>
      <c r="F43" s="212"/>
      <c r="G43" s="389" t="s">
        <v>34</v>
      </c>
      <c r="H43" s="316" t="s">
        <v>967</v>
      </c>
      <c r="I43" s="212"/>
      <c r="J43" s="212"/>
      <c r="K43" s="263"/>
      <c r="L43" s="3"/>
    </row>
    <row r="44" spans="2:44" s="1" customFormat="1">
      <c r="B44" s="213">
        <v>319</v>
      </c>
      <c r="C44" s="214" t="s">
        <v>238</v>
      </c>
      <c r="D44" s="215" t="s">
        <v>683</v>
      </c>
      <c r="E44" s="199"/>
      <c r="F44" s="216"/>
      <c r="G44" s="216"/>
      <c r="H44" s="199"/>
      <c r="I44" s="216"/>
      <c r="J44" s="216"/>
      <c r="K44" s="217"/>
      <c r="L44" s="3"/>
    </row>
    <row r="45" spans="2:44" s="1" customFormat="1">
      <c r="B45" s="213">
        <v>320</v>
      </c>
      <c r="C45" s="214" t="s">
        <v>239</v>
      </c>
      <c r="D45" s="215" t="s">
        <v>705</v>
      </c>
      <c r="E45" s="199"/>
      <c r="F45" s="216"/>
      <c r="G45" s="216"/>
      <c r="H45" s="199"/>
      <c r="I45" s="216"/>
      <c r="J45" s="216"/>
      <c r="K45" s="217"/>
      <c r="L45" s="3"/>
    </row>
    <row r="46" spans="2:44" s="1" customFormat="1">
      <c r="B46" s="213">
        <v>37</v>
      </c>
      <c r="C46" s="214" t="s">
        <v>373</v>
      </c>
      <c r="D46" s="215" t="s">
        <v>622</v>
      </c>
      <c r="E46" s="199"/>
      <c r="F46" s="216"/>
      <c r="G46" s="216"/>
      <c r="H46" s="199"/>
      <c r="I46" s="216"/>
      <c r="J46" s="216"/>
      <c r="K46" s="217"/>
      <c r="L46" s="3"/>
    </row>
    <row r="47" spans="2:44" s="1" customFormat="1">
      <c r="B47" s="213">
        <v>27</v>
      </c>
      <c r="C47" s="214" t="s">
        <v>363</v>
      </c>
      <c r="D47" s="215" t="s">
        <v>623</v>
      </c>
      <c r="E47" s="199"/>
      <c r="F47" s="216"/>
      <c r="G47" s="216"/>
      <c r="H47" s="199"/>
      <c r="I47" s="216"/>
      <c r="J47" s="216"/>
      <c r="K47" s="217"/>
      <c r="L47" s="3"/>
    </row>
    <row r="48" spans="2:44">
      <c r="B48" s="213">
        <v>18</v>
      </c>
      <c r="C48" s="214" t="s">
        <v>354</v>
      </c>
      <c r="D48" s="215" t="s">
        <v>643</v>
      </c>
      <c r="E48" s="199"/>
      <c r="F48" s="216"/>
      <c r="G48" s="216"/>
      <c r="H48" s="199"/>
      <c r="I48" s="216"/>
      <c r="J48" s="216"/>
      <c r="K48" s="217"/>
    </row>
    <row r="49" spans="2:11">
      <c r="B49" s="213">
        <v>8</v>
      </c>
      <c r="C49" s="214" t="s">
        <v>344</v>
      </c>
      <c r="D49" s="215" t="s">
        <v>644</v>
      </c>
      <c r="E49" s="199"/>
      <c r="F49" s="216"/>
      <c r="G49" s="216"/>
      <c r="H49" s="199"/>
      <c r="I49" s="216"/>
      <c r="J49" s="216"/>
      <c r="K49" s="217"/>
    </row>
    <row r="50" spans="2:11">
      <c r="B50" s="213">
        <v>10</v>
      </c>
      <c r="C50" s="214" t="s">
        <v>346</v>
      </c>
      <c r="D50" s="215" t="s">
        <v>666</v>
      </c>
      <c r="E50" s="199"/>
      <c r="F50" s="216"/>
      <c r="G50" s="216"/>
      <c r="H50" s="199"/>
      <c r="I50" s="216"/>
      <c r="J50" s="216"/>
      <c r="K50" s="217"/>
    </row>
    <row r="51" spans="2:11">
      <c r="B51" s="213">
        <v>9</v>
      </c>
      <c r="C51" s="214" t="s">
        <v>345</v>
      </c>
      <c r="D51" s="215" t="s">
        <v>688</v>
      </c>
      <c r="E51" s="199"/>
      <c r="F51" s="216"/>
      <c r="G51" s="216"/>
      <c r="H51" s="199"/>
      <c r="I51" s="216"/>
      <c r="J51" s="216"/>
      <c r="K51" s="217"/>
    </row>
    <row r="52" spans="2:11">
      <c r="B52" s="213">
        <v>7</v>
      </c>
      <c r="C52" s="214" t="s">
        <v>343</v>
      </c>
      <c r="D52" s="215" t="s">
        <v>621</v>
      </c>
      <c r="E52" s="199"/>
      <c r="F52" s="216"/>
      <c r="G52" s="216"/>
      <c r="H52" s="199"/>
      <c r="I52" s="216"/>
      <c r="J52" s="216"/>
      <c r="K52" s="217"/>
    </row>
    <row r="53" spans="2:11">
      <c r="B53" s="213">
        <v>17</v>
      </c>
      <c r="C53" s="214" t="s">
        <v>353</v>
      </c>
      <c r="D53" s="215" t="s">
        <v>620</v>
      </c>
      <c r="E53" s="199"/>
      <c r="F53" s="216"/>
      <c r="G53" s="216"/>
      <c r="H53" s="199"/>
      <c r="I53" s="216"/>
      <c r="J53" s="216"/>
      <c r="K53" s="217"/>
    </row>
    <row r="54" spans="2:11">
      <c r="B54" s="213">
        <v>6</v>
      </c>
      <c r="C54" s="214" t="s">
        <v>342</v>
      </c>
      <c r="D54" s="215" t="s">
        <v>611</v>
      </c>
      <c r="E54" s="199"/>
      <c r="F54" s="216"/>
      <c r="G54" s="216"/>
      <c r="H54" s="199"/>
      <c r="I54" s="216"/>
      <c r="J54" s="216"/>
      <c r="K54" s="217"/>
    </row>
    <row r="55" spans="2:11">
      <c r="B55" s="213">
        <v>16</v>
      </c>
      <c r="C55" s="214" t="s">
        <v>352</v>
      </c>
      <c r="D55" s="215" t="s">
        <v>610</v>
      </c>
      <c r="E55" s="199"/>
      <c r="F55" s="216"/>
      <c r="G55" s="216"/>
      <c r="H55" s="199"/>
      <c r="I55" s="216"/>
      <c r="J55" s="216"/>
      <c r="K55" s="217"/>
    </row>
    <row r="56" spans="2:11">
      <c r="B56" s="213">
        <v>60</v>
      </c>
      <c r="C56" s="214" t="s">
        <v>396</v>
      </c>
      <c r="D56" s="259" t="s">
        <v>669</v>
      </c>
      <c r="E56" s="199"/>
      <c r="F56" s="216"/>
      <c r="G56" s="216"/>
      <c r="H56" s="199"/>
      <c r="I56" s="216"/>
      <c r="J56" s="216"/>
      <c r="K56" s="217"/>
    </row>
    <row r="57" spans="2:11">
      <c r="B57" s="213">
        <v>59</v>
      </c>
      <c r="C57" s="214" t="s">
        <v>395</v>
      </c>
      <c r="D57" s="259" t="s">
        <v>691</v>
      </c>
      <c r="E57" s="199"/>
      <c r="F57" s="216"/>
      <c r="G57" s="216"/>
      <c r="H57" s="199"/>
      <c r="I57" s="216"/>
      <c r="J57" s="216"/>
      <c r="K57" s="217"/>
    </row>
    <row r="58" spans="2:11">
      <c r="B58" s="213">
        <v>28</v>
      </c>
      <c r="C58" s="214" t="s">
        <v>364</v>
      </c>
      <c r="D58" s="215" t="s">
        <v>646</v>
      </c>
      <c r="E58" s="199"/>
      <c r="F58" s="216"/>
      <c r="G58" s="216"/>
      <c r="H58" s="199"/>
      <c r="I58" s="216"/>
      <c r="J58" s="216"/>
      <c r="K58" s="217"/>
    </row>
    <row r="59" spans="2:11">
      <c r="B59" s="213">
        <v>38</v>
      </c>
      <c r="C59" s="214" t="s">
        <v>374</v>
      </c>
      <c r="D59" s="215" t="s">
        <v>645</v>
      </c>
      <c r="E59" s="199"/>
      <c r="F59" s="216"/>
      <c r="G59" s="216"/>
      <c r="H59" s="199"/>
      <c r="I59" s="216"/>
      <c r="J59" s="216"/>
      <c r="K59" s="217"/>
    </row>
    <row r="60" spans="2:11">
      <c r="B60" s="213">
        <v>49</v>
      </c>
      <c r="C60" s="214" t="s">
        <v>385</v>
      </c>
      <c r="D60" s="259" t="s">
        <v>690</v>
      </c>
      <c r="E60" s="199"/>
      <c r="F60" s="216"/>
      <c r="G60" s="216"/>
      <c r="H60" s="199"/>
      <c r="I60" s="216"/>
      <c r="J60" s="216"/>
      <c r="K60" s="217"/>
    </row>
    <row r="61" spans="2:11">
      <c r="B61" s="213">
        <v>50</v>
      </c>
      <c r="C61" s="214" t="s">
        <v>386</v>
      </c>
      <c r="D61" s="259" t="s">
        <v>668</v>
      </c>
      <c r="E61" s="199"/>
      <c r="F61" s="216"/>
      <c r="G61" s="216"/>
      <c r="H61" s="199"/>
      <c r="I61" s="216"/>
      <c r="J61" s="216"/>
      <c r="K61" s="217"/>
    </row>
    <row r="62" spans="2:11">
      <c r="B62" s="213">
        <v>19</v>
      </c>
      <c r="C62" s="214" t="s">
        <v>355</v>
      </c>
      <c r="D62" s="215" t="s">
        <v>689</v>
      </c>
      <c r="E62" s="199"/>
      <c r="F62" s="216"/>
      <c r="G62" s="216"/>
      <c r="H62" s="199"/>
      <c r="I62" s="216"/>
      <c r="J62" s="216"/>
      <c r="K62" s="217"/>
    </row>
    <row r="63" spans="2:11">
      <c r="B63" s="213">
        <v>20</v>
      </c>
      <c r="C63" s="214" t="s">
        <v>356</v>
      </c>
      <c r="D63" s="215" t="s">
        <v>667</v>
      </c>
      <c r="E63" s="199"/>
      <c r="F63" s="216"/>
      <c r="G63" s="216"/>
      <c r="H63" s="199"/>
      <c r="I63" s="216"/>
      <c r="J63" s="216"/>
      <c r="K63" s="217"/>
    </row>
    <row r="64" spans="2:11">
      <c r="B64" s="213">
        <v>26</v>
      </c>
      <c r="C64" s="214" t="s">
        <v>362</v>
      </c>
      <c r="D64" s="215" t="s">
        <v>613</v>
      </c>
      <c r="E64" s="199"/>
      <c r="F64" s="216"/>
      <c r="G64" s="216"/>
      <c r="H64" s="199"/>
      <c r="I64" s="216"/>
      <c r="J64" s="216"/>
      <c r="K64" s="217"/>
    </row>
    <row r="65" spans="2:11">
      <c r="B65" s="213">
        <v>36</v>
      </c>
      <c r="C65" s="214" t="s">
        <v>372</v>
      </c>
      <c r="D65" s="215" t="s">
        <v>612</v>
      </c>
      <c r="E65" s="199"/>
      <c r="F65" s="216"/>
      <c r="G65" s="216"/>
      <c r="H65" s="199"/>
      <c r="I65" s="216"/>
      <c r="J65" s="216"/>
      <c r="K65" s="217"/>
    </row>
    <row r="66" spans="2:11">
      <c r="B66" s="213">
        <v>118</v>
      </c>
      <c r="C66" s="214" t="s">
        <v>37</v>
      </c>
      <c r="D66" s="215" t="s">
        <v>624</v>
      </c>
      <c r="E66" s="199"/>
      <c r="F66" s="216"/>
      <c r="G66" s="216"/>
      <c r="H66" s="199"/>
      <c r="I66" s="216"/>
      <c r="J66" s="216"/>
      <c r="K66" s="217"/>
    </row>
    <row r="67" spans="2:11">
      <c r="B67" s="213">
        <v>117</v>
      </c>
      <c r="C67" s="214" t="s">
        <v>36</v>
      </c>
      <c r="D67" s="215" t="s">
        <v>647</v>
      </c>
      <c r="E67" s="199"/>
      <c r="F67" s="216"/>
      <c r="G67" s="216"/>
      <c r="H67" s="199"/>
      <c r="I67" s="216"/>
      <c r="J67" s="216"/>
      <c r="K67" s="217"/>
    </row>
    <row r="68" spans="2:11">
      <c r="B68" s="213">
        <v>148</v>
      </c>
      <c r="C68" s="214" t="s">
        <v>67</v>
      </c>
      <c r="D68" s="215" t="s">
        <v>626</v>
      </c>
      <c r="E68" s="199"/>
      <c r="F68" s="216"/>
      <c r="G68" s="216"/>
      <c r="H68" s="199"/>
      <c r="I68" s="216"/>
      <c r="J68" s="216"/>
      <c r="K68" s="217"/>
    </row>
    <row r="69" spans="2:11">
      <c r="B69" s="213">
        <v>147</v>
      </c>
      <c r="C69" s="214" t="s">
        <v>66</v>
      </c>
      <c r="D69" s="215" t="s">
        <v>649</v>
      </c>
      <c r="E69" s="199"/>
      <c r="F69" s="216"/>
      <c r="G69" s="216"/>
      <c r="H69" s="199"/>
      <c r="I69" s="216"/>
      <c r="J69" s="216"/>
      <c r="K69" s="217"/>
    </row>
    <row r="70" spans="2:11">
      <c r="B70" s="213">
        <v>168</v>
      </c>
      <c r="C70" s="214" t="s">
        <v>87</v>
      </c>
      <c r="D70" s="215" t="s">
        <v>628</v>
      </c>
      <c r="E70" s="199"/>
      <c r="F70" s="216"/>
      <c r="G70" s="216"/>
      <c r="H70" s="199"/>
      <c r="I70" s="216"/>
      <c r="J70" s="216"/>
      <c r="K70" s="217"/>
    </row>
    <row r="71" spans="2:11">
      <c r="B71" s="213">
        <v>167</v>
      </c>
      <c r="C71" s="214" t="s">
        <v>86</v>
      </c>
      <c r="D71" s="215" t="s">
        <v>651</v>
      </c>
      <c r="E71" s="199"/>
      <c r="F71" s="216"/>
      <c r="G71" s="216"/>
      <c r="H71" s="199"/>
      <c r="I71" s="216"/>
      <c r="J71" s="216"/>
      <c r="K71" s="217"/>
    </row>
    <row r="72" spans="2:11">
      <c r="B72" s="213">
        <v>170</v>
      </c>
      <c r="C72" s="214" t="s">
        <v>89</v>
      </c>
      <c r="D72" s="215" t="s">
        <v>674</v>
      </c>
      <c r="E72" s="199"/>
      <c r="F72" s="216"/>
      <c r="G72" s="216"/>
      <c r="H72" s="199"/>
      <c r="I72" s="216"/>
      <c r="J72" s="216"/>
      <c r="K72" s="217"/>
    </row>
    <row r="73" spans="2:11">
      <c r="B73" s="213">
        <v>169</v>
      </c>
      <c r="C73" s="214" t="s">
        <v>88</v>
      </c>
      <c r="D73" s="215" t="s">
        <v>696</v>
      </c>
      <c r="E73" s="199"/>
      <c r="F73" s="216"/>
      <c r="G73" s="216"/>
      <c r="H73" s="199"/>
      <c r="I73" s="216"/>
      <c r="J73" s="216"/>
      <c r="K73" s="217"/>
    </row>
    <row r="74" spans="2:11">
      <c r="B74" s="213">
        <v>158</v>
      </c>
      <c r="C74" s="214" t="s">
        <v>77</v>
      </c>
      <c r="D74" s="215" t="s">
        <v>627</v>
      </c>
      <c r="E74" s="199"/>
      <c r="F74" s="216"/>
      <c r="G74" s="216"/>
      <c r="H74" s="199"/>
      <c r="I74" s="216"/>
      <c r="J74" s="216"/>
      <c r="K74" s="217"/>
    </row>
    <row r="75" spans="2:11">
      <c r="B75" s="213">
        <v>157</v>
      </c>
      <c r="C75" s="214" t="s">
        <v>76</v>
      </c>
      <c r="D75" s="215" t="s">
        <v>650</v>
      </c>
      <c r="E75" s="199"/>
      <c r="F75" s="216"/>
      <c r="G75" s="216"/>
      <c r="H75" s="199"/>
      <c r="I75" s="216"/>
      <c r="J75" s="216"/>
      <c r="K75" s="217"/>
    </row>
    <row r="76" spans="2:11">
      <c r="B76" s="213">
        <v>129</v>
      </c>
      <c r="C76" s="214" t="s">
        <v>48</v>
      </c>
      <c r="D76" s="215" t="s">
        <v>692</v>
      </c>
      <c r="E76" s="199"/>
      <c r="F76" s="216"/>
      <c r="G76" s="216"/>
      <c r="H76" s="199"/>
      <c r="I76" s="216"/>
      <c r="J76" s="216"/>
      <c r="K76" s="217"/>
    </row>
    <row r="77" spans="2:11">
      <c r="B77" s="213">
        <v>130</v>
      </c>
      <c r="C77" s="214" t="s">
        <v>49</v>
      </c>
      <c r="D77" s="215" t="s">
        <v>670</v>
      </c>
      <c r="E77" s="199"/>
      <c r="F77" s="216"/>
      <c r="G77" s="216"/>
      <c r="H77" s="199"/>
      <c r="I77" s="216"/>
      <c r="J77" s="216"/>
      <c r="K77" s="217"/>
    </row>
    <row r="78" spans="2:11">
      <c r="B78" s="213">
        <v>139</v>
      </c>
      <c r="C78" s="214" t="s">
        <v>58</v>
      </c>
      <c r="D78" s="215" t="s">
        <v>693</v>
      </c>
      <c r="E78" s="199"/>
      <c r="F78" s="216"/>
      <c r="G78" s="216"/>
      <c r="H78" s="199"/>
      <c r="I78" s="216"/>
      <c r="J78" s="216"/>
      <c r="K78" s="217"/>
    </row>
    <row r="79" spans="2:11">
      <c r="B79" s="213">
        <v>140</v>
      </c>
      <c r="C79" s="214" t="s">
        <v>59</v>
      </c>
      <c r="D79" s="215" t="s">
        <v>671</v>
      </c>
      <c r="E79" s="199"/>
      <c r="F79" s="216"/>
      <c r="G79" s="216"/>
      <c r="H79" s="199"/>
      <c r="I79" s="216"/>
      <c r="J79" s="216"/>
      <c r="K79" s="217"/>
    </row>
    <row r="80" spans="2:11">
      <c r="B80" s="213">
        <v>138</v>
      </c>
      <c r="C80" s="214" t="s">
        <v>57</v>
      </c>
      <c r="D80" s="215" t="s">
        <v>625</v>
      </c>
      <c r="E80" s="199"/>
      <c r="F80" s="216"/>
      <c r="G80" s="216"/>
      <c r="H80" s="199"/>
      <c r="I80" s="216"/>
      <c r="J80" s="216"/>
      <c r="K80" s="217"/>
    </row>
    <row r="81" spans="2:11">
      <c r="B81" s="213">
        <v>137</v>
      </c>
      <c r="C81" s="214" t="s">
        <v>56</v>
      </c>
      <c r="D81" s="215" t="s">
        <v>648</v>
      </c>
      <c r="E81" s="199"/>
      <c r="F81" s="216"/>
      <c r="G81" s="216"/>
      <c r="H81" s="199"/>
      <c r="I81" s="216"/>
      <c r="J81" s="216"/>
      <c r="K81" s="217"/>
    </row>
    <row r="82" spans="2:11">
      <c r="B82" s="213">
        <v>150</v>
      </c>
      <c r="C82" s="214" t="s">
        <v>69</v>
      </c>
      <c r="D82" s="215" t="s">
        <v>672</v>
      </c>
      <c r="E82" s="199"/>
      <c r="F82" s="216"/>
      <c r="G82" s="216"/>
      <c r="H82" s="199"/>
      <c r="I82" s="216"/>
      <c r="J82" s="216"/>
      <c r="K82" s="217"/>
    </row>
    <row r="83" spans="2:11">
      <c r="B83" s="213">
        <v>149</v>
      </c>
      <c r="C83" s="214" t="s">
        <v>68</v>
      </c>
      <c r="D83" s="215" t="s">
        <v>694</v>
      </c>
      <c r="E83" s="199"/>
      <c r="F83" s="216"/>
      <c r="G83" s="216"/>
      <c r="H83" s="199"/>
      <c r="I83" s="216"/>
      <c r="J83" s="216"/>
      <c r="K83" s="217"/>
    </row>
    <row r="84" spans="2:11">
      <c r="B84" s="213">
        <v>160</v>
      </c>
      <c r="C84" s="214" t="s">
        <v>79</v>
      </c>
      <c r="D84" s="215" t="s">
        <v>673</v>
      </c>
      <c r="E84" s="199"/>
      <c r="F84" s="216"/>
      <c r="G84" s="216"/>
      <c r="H84" s="199"/>
      <c r="I84" s="216"/>
      <c r="J84" s="216"/>
      <c r="K84" s="217"/>
    </row>
    <row r="85" spans="2:11">
      <c r="B85" s="213">
        <v>159</v>
      </c>
      <c r="C85" s="214" t="s">
        <v>78</v>
      </c>
      <c r="D85" s="215" t="s">
        <v>695</v>
      </c>
      <c r="E85" s="199"/>
      <c r="F85" s="216"/>
      <c r="G85" s="216"/>
      <c r="H85" s="199"/>
      <c r="I85" s="216"/>
      <c r="J85" s="216"/>
      <c r="K85" s="217"/>
    </row>
    <row r="86" spans="2:11">
      <c r="B86" s="213">
        <v>128</v>
      </c>
      <c r="C86" s="214" t="s">
        <v>47</v>
      </c>
      <c r="D86" s="215" t="s">
        <v>507</v>
      </c>
      <c r="E86" s="199"/>
      <c r="F86" s="216"/>
      <c r="G86" s="216"/>
      <c r="H86" s="199"/>
      <c r="I86" s="216"/>
      <c r="J86" s="216"/>
      <c r="K86" s="217"/>
    </row>
    <row r="87" spans="2:11">
      <c r="B87" s="213">
        <v>127</v>
      </c>
      <c r="C87" s="214" t="s">
        <v>46</v>
      </c>
      <c r="D87" s="215" t="s">
        <v>497</v>
      </c>
      <c r="E87" s="199"/>
      <c r="F87" s="216"/>
      <c r="G87" s="216"/>
      <c r="H87" s="199"/>
      <c r="I87" s="216"/>
      <c r="J87" s="216"/>
      <c r="K87" s="217"/>
    </row>
    <row r="88" spans="2:11">
      <c r="B88" s="213">
        <v>79</v>
      </c>
      <c r="C88" s="214" t="s">
        <v>415</v>
      </c>
      <c r="D88" s="259" t="s">
        <v>490</v>
      </c>
      <c r="E88" s="199"/>
      <c r="F88" s="216"/>
      <c r="G88" s="216"/>
      <c r="H88" s="199"/>
      <c r="I88" s="216"/>
      <c r="J88" s="216"/>
      <c r="K88" s="217"/>
    </row>
    <row r="89" spans="2:11">
      <c r="B89" s="213">
        <v>78</v>
      </c>
      <c r="C89" s="214" t="s">
        <v>414</v>
      </c>
      <c r="D89" s="259" t="s">
        <v>498</v>
      </c>
      <c r="E89" s="199"/>
      <c r="F89" s="216"/>
      <c r="G89" s="216"/>
      <c r="H89" s="199"/>
      <c r="I89" s="216"/>
      <c r="J89" s="216"/>
      <c r="K89" s="217"/>
    </row>
    <row r="90" spans="2:11">
      <c r="B90" s="213">
        <v>88</v>
      </c>
      <c r="C90" s="214" t="s">
        <v>424</v>
      </c>
      <c r="D90" s="215" t="s">
        <v>499</v>
      </c>
      <c r="E90" s="199"/>
      <c r="F90" s="216"/>
      <c r="G90" s="216"/>
      <c r="H90" s="199"/>
      <c r="I90" s="216"/>
      <c r="J90" s="216"/>
      <c r="K90" s="217"/>
    </row>
    <row r="91" spans="2:11">
      <c r="B91" s="213">
        <v>89</v>
      </c>
      <c r="C91" s="214" t="s">
        <v>425</v>
      </c>
      <c r="D91" s="215" t="s">
        <v>491</v>
      </c>
      <c r="E91" s="199"/>
      <c r="F91" s="216"/>
      <c r="G91" s="216"/>
      <c r="H91" s="199"/>
      <c r="I91" s="216"/>
      <c r="J91" s="216"/>
      <c r="K91" s="217"/>
    </row>
    <row r="92" spans="2:11">
      <c r="B92" s="213">
        <v>47</v>
      </c>
      <c r="C92" s="214" t="s">
        <v>383</v>
      </c>
      <c r="D92" s="259" t="s">
        <v>474</v>
      </c>
      <c r="E92" s="199"/>
      <c r="F92" s="216"/>
      <c r="G92" s="216"/>
      <c r="H92" s="199"/>
      <c r="I92" s="216"/>
      <c r="J92" s="216"/>
      <c r="K92" s="217"/>
    </row>
    <row r="93" spans="2:11">
      <c r="B93" s="213">
        <v>57</v>
      </c>
      <c r="C93" s="214" t="s">
        <v>393</v>
      </c>
      <c r="D93" s="259" t="s">
        <v>474</v>
      </c>
      <c r="E93" s="199"/>
      <c r="F93" s="216"/>
      <c r="G93" s="216"/>
      <c r="H93" s="199"/>
      <c r="I93" s="216"/>
      <c r="J93" s="216"/>
      <c r="K93" s="217"/>
    </row>
    <row r="94" spans="2:11">
      <c r="B94" s="213">
        <v>67</v>
      </c>
      <c r="C94" s="214" t="s">
        <v>403</v>
      </c>
      <c r="D94" s="259" t="s">
        <v>474</v>
      </c>
      <c r="E94" s="199"/>
      <c r="F94" s="216"/>
      <c r="G94" s="216"/>
      <c r="H94" s="199"/>
      <c r="I94" s="216"/>
      <c r="J94" s="216"/>
      <c r="K94" s="217"/>
    </row>
    <row r="95" spans="2:11">
      <c r="B95" s="213">
        <v>77</v>
      </c>
      <c r="C95" s="214" t="s">
        <v>413</v>
      </c>
      <c r="D95" s="259" t="s">
        <v>474</v>
      </c>
      <c r="E95" s="199"/>
      <c r="F95" s="216"/>
      <c r="G95" s="216"/>
      <c r="H95" s="199"/>
      <c r="I95" s="216"/>
      <c r="J95" s="216"/>
      <c r="K95" s="217"/>
    </row>
    <row r="96" spans="2:11">
      <c r="B96" s="213">
        <v>87</v>
      </c>
      <c r="C96" s="214" t="s">
        <v>423</v>
      </c>
      <c r="D96" s="215" t="s">
        <v>474</v>
      </c>
      <c r="E96" s="199"/>
      <c r="F96" s="216"/>
      <c r="G96" s="216"/>
      <c r="H96" s="199"/>
      <c r="I96" s="216"/>
      <c r="J96" s="216"/>
      <c r="K96" s="217"/>
    </row>
    <row r="97" spans="2:11">
      <c r="B97" s="213">
        <v>48</v>
      </c>
      <c r="C97" s="214" t="s">
        <v>384</v>
      </c>
      <c r="D97" s="259" t="s">
        <v>474</v>
      </c>
      <c r="E97" s="199"/>
      <c r="F97" s="216"/>
      <c r="G97" s="216"/>
      <c r="H97" s="199"/>
      <c r="I97" s="216"/>
      <c r="J97" s="216"/>
      <c r="K97" s="217"/>
    </row>
    <row r="98" spans="2:11">
      <c r="B98" s="213">
        <v>58</v>
      </c>
      <c r="C98" s="214" t="s">
        <v>394</v>
      </c>
      <c r="D98" s="259" t="s">
        <v>474</v>
      </c>
      <c r="E98" s="199"/>
      <c r="F98" s="216"/>
      <c r="G98" s="216"/>
      <c r="H98" s="199"/>
      <c r="I98" s="216"/>
      <c r="J98" s="216"/>
      <c r="K98" s="217"/>
    </row>
    <row r="99" spans="2:11">
      <c r="B99" s="213">
        <v>68</v>
      </c>
      <c r="C99" s="214" t="s">
        <v>404</v>
      </c>
      <c r="D99" s="259" t="s">
        <v>474</v>
      </c>
      <c r="E99" s="199"/>
      <c r="F99" s="216"/>
      <c r="G99" s="216"/>
      <c r="H99" s="199"/>
      <c r="I99" s="216"/>
      <c r="J99" s="216"/>
      <c r="K99" s="217"/>
    </row>
    <row r="100" spans="2:11">
      <c r="B100" s="213">
        <v>69</v>
      </c>
      <c r="C100" s="214" t="s">
        <v>405</v>
      </c>
      <c r="D100" s="259" t="s">
        <v>474</v>
      </c>
      <c r="E100" s="199"/>
      <c r="F100" s="216"/>
      <c r="G100" s="216"/>
      <c r="H100" s="199"/>
      <c r="I100" s="216"/>
      <c r="J100" s="216"/>
      <c r="K100" s="217"/>
    </row>
    <row r="101" spans="2:11">
      <c r="B101" s="213">
        <v>70</v>
      </c>
      <c r="C101" s="214" t="s">
        <v>406</v>
      </c>
      <c r="D101" s="259" t="s">
        <v>508</v>
      </c>
      <c r="E101" s="199"/>
      <c r="F101" s="216"/>
      <c r="G101" s="216"/>
      <c r="H101" s="199"/>
      <c r="I101" s="216"/>
      <c r="J101" s="216"/>
      <c r="K101" s="217"/>
    </row>
    <row r="102" spans="2:11">
      <c r="B102" s="213">
        <v>80</v>
      </c>
      <c r="C102" s="214" t="s">
        <v>416</v>
      </c>
      <c r="D102" s="259" t="s">
        <v>510</v>
      </c>
      <c r="E102" s="199"/>
      <c r="F102" s="216"/>
      <c r="G102" s="216"/>
      <c r="H102" s="199"/>
      <c r="I102" s="216"/>
      <c r="J102" s="216"/>
      <c r="K102" s="217"/>
    </row>
    <row r="103" spans="2:11">
      <c r="B103" s="213">
        <v>90</v>
      </c>
      <c r="C103" s="214" t="s">
        <v>426</v>
      </c>
      <c r="D103" s="215" t="s">
        <v>509</v>
      </c>
      <c r="E103" s="199"/>
      <c r="F103" s="216"/>
      <c r="G103" s="216"/>
      <c r="H103" s="199"/>
      <c r="I103" s="216"/>
      <c r="J103" s="216"/>
      <c r="K103" s="217"/>
    </row>
    <row r="104" spans="2:11">
      <c r="B104" s="213">
        <v>106</v>
      </c>
      <c r="C104" s="214" t="s">
        <v>25</v>
      </c>
      <c r="D104" s="215" t="s">
        <v>482</v>
      </c>
      <c r="E104" s="199"/>
      <c r="F104" s="216"/>
      <c r="G104" s="216"/>
      <c r="H104" s="199"/>
      <c r="I104" s="216"/>
      <c r="J104" s="216"/>
      <c r="K104" s="217"/>
    </row>
    <row r="105" spans="2:11">
      <c r="B105" s="213">
        <v>116</v>
      </c>
      <c r="C105" s="214" t="s">
        <v>35</v>
      </c>
      <c r="D105" s="215" t="s">
        <v>482</v>
      </c>
      <c r="E105" s="199"/>
      <c r="F105" s="216"/>
      <c r="G105" s="216"/>
      <c r="H105" s="199"/>
      <c r="I105" s="216"/>
      <c r="J105" s="216"/>
      <c r="K105" s="217"/>
    </row>
    <row r="106" spans="2:11">
      <c r="B106" s="213">
        <v>126</v>
      </c>
      <c r="C106" s="214" t="s">
        <v>45</v>
      </c>
      <c r="D106" s="215" t="s">
        <v>482</v>
      </c>
      <c r="E106" s="199"/>
      <c r="F106" s="216"/>
      <c r="G106" s="216"/>
      <c r="H106" s="199"/>
      <c r="I106" s="216"/>
      <c r="J106" s="216"/>
      <c r="K106" s="217"/>
    </row>
    <row r="107" spans="2:11">
      <c r="B107" s="213">
        <v>136</v>
      </c>
      <c r="C107" s="214" t="s">
        <v>55</v>
      </c>
      <c r="D107" s="215" t="s">
        <v>482</v>
      </c>
      <c r="E107" s="199"/>
      <c r="F107" s="216"/>
      <c r="G107" s="216"/>
      <c r="H107" s="199"/>
      <c r="I107" s="216"/>
      <c r="J107" s="216"/>
      <c r="K107" s="217"/>
    </row>
    <row r="108" spans="2:11">
      <c r="B108" s="213">
        <v>97</v>
      </c>
      <c r="C108" s="214" t="s">
        <v>9</v>
      </c>
      <c r="D108" s="215" t="s">
        <v>482</v>
      </c>
      <c r="E108" s="199"/>
      <c r="F108" s="216"/>
      <c r="G108" s="216"/>
      <c r="H108" s="199"/>
      <c r="I108" s="216"/>
      <c r="J108" s="216"/>
      <c r="K108" s="217"/>
    </row>
    <row r="109" spans="2:11">
      <c r="B109" s="213">
        <v>107</v>
      </c>
      <c r="C109" s="214" t="s">
        <v>26</v>
      </c>
      <c r="D109" s="215" t="s">
        <v>482</v>
      </c>
      <c r="E109" s="199"/>
      <c r="F109" s="216"/>
      <c r="G109" s="216"/>
      <c r="H109" s="199"/>
      <c r="I109" s="216"/>
      <c r="J109" s="216"/>
      <c r="K109" s="217"/>
    </row>
    <row r="110" spans="2:11">
      <c r="B110" s="213">
        <v>98</v>
      </c>
      <c r="C110" s="214" t="s">
        <v>10</v>
      </c>
      <c r="D110" s="215" t="s">
        <v>482</v>
      </c>
      <c r="E110" s="199"/>
      <c r="F110" s="216"/>
      <c r="G110" s="216"/>
      <c r="H110" s="199"/>
      <c r="I110" s="216"/>
      <c r="J110" s="216"/>
      <c r="K110" s="217"/>
    </row>
    <row r="111" spans="2:11">
      <c r="B111" s="213">
        <v>108</v>
      </c>
      <c r="C111" s="214" t="s">
        <v>27</v>
      </c>
      <c r="D111" s="215" t="s">
        <v>482</v>
      </c>
      <c r="E111" s="199"/>
      <c r="F111" s="216"/>
      <c r="G111" s="216"/>
      <c r="H111" s="199"/>
      <c r="I111" s="216"/>
      <c r="J111" s="216"/>
      <c r="K111" s="217"/>
    </row>
    <row r="112" spans="2:11">
      <c r="B112" s="213">
        <v>109</v>
      </c>
      <c r="C112" s="214" t="s">
        <v>28</v>
      </c>
      <c r="D112" s="215" t="s">
        <v>482</v>
      </c>
      <c r="E112" s="199"/>
      <c r="F112" s="216"/>
      <c r="G112" s="216"/>
      <c r="H112" s="199"/>
      <c r="I112" s="216"/>
      <c r="J112" s="216"/>
      <c r="K112" s="217"/>
    </row>
    <row r="113" spans="2:11">
      <c r="B113" s="213">
        <v>100</v>
      </c>
      <c r="C113" s="214" t="s">
        <v>12</v>
      </c>
      <c r="D113" s="215" t="s">
        <v>482</v>
      </c>
      <c r="E113" s="199"/>
      <c r="F113" s="216"/>
      <c r="G113" s="216"/>
      <c r="H113" s="199"/>
      <c r="I113" s="216"/>
      <c r="J113" s="216"/>
      <c r="K113" s="217"/>
    </row>
    <row r="114" spans="2:11">
      <c r="B114" s="213">
        <v>110</v>
      </c>
      <c r="C114" s="214" t="s">
        <v>29</v>
      </c>
      <c r="D114" s="215" t="s">
        <v>482</v>
      </c>
      <c r="E114" s="199"/>
      <c r="F114" s="216"/>
      <c r="G114" s="216"/>
      <c r="H114" s="199"/>
      <c r="I114" s="216"/>
      <c r="J114" s="216"/>
      <c r="K114" s="217"/>
    </row>
    <row r="115" spans="2:11">
      <c r="B115" s="213">
        <v>30</v>
      </c>
      <c r="C115" s="214" t="s">
        <v>366</v>
      </c>
      <c r="D115" s="215" t="s">
        <v>511</v>
      </c>
      <c r="E115" s="199"/>
      <c r="F115" s="216"/>
      <c r="G115" s="216"/>
      <c r="H115" s="199"/>
      <c r="I115" s="216"/>
      <c r="J115" s="216"/>
      <c r="K115" s="217"/>
    </row>
    <row r="116" spans="2:11">
      <c r="B116" s="213">
        <v>29</v>
      </c>
      <c r="C116" s="214" t="s">
        <v>365</v>
      </c>
      <c r="D116" s="215" t="s">
        <v>500</v>
      </c>
      <c r="E116" s="199"/>
      <c r="F116" s="216"/>
      <c r="G116" s="216"/>
      <c r="H116" s="199"/>
      <c r="I116" s="216"/>
      <c r="J116" s="216"/>
      <c r="K116" s="217"/>
    </row>
    <row r="117" spans="2:11">
      <c r="B117" s="213">
        <v>39</v>
      </c>
      <c r="C117" s="214" t="s">
        <v>375</v>
      </c>
      <c r="D117" s="215" t="s">
        <v>483</v>
      </c>
      <c r="E117" s="199"/>
      <c r="F117" s="216"/>
      <c r="G117" s="216"/>
      <c r="H117" s="199"/>
      <c r="I117" s="216"/>
      <c r="J117" s="216"/>
      <c r="K117" s="217"/>
    </row>
    <row r="118" spans="2:11">
      <c r="B118" s="213">
        <v>40</v>
      </c>
      <c r="C118" s="214" t="s">
        <v>376</v>
      </c>
      <c r="D118" s="215" t="s">
        <v>492</v>
      </c>
      <c r="E118" s="199"/>
      <c r="F118" s="216"/>
      <c r="G118" s="216"/>
      <c r="H118" s="199"/>
      <c r="I118" s="216"/>
      <c r="J118" s="216"/>
      <c r="K118" s="217"/>
    </row>
    <row r="119" spans="2:11">
      <c r="B119" s="213">
        <v>119</v>
      </c>
      <c r="C119" s="214" t="s">
        <v>38</v>
      </c>
      <c r="D119" s="215" t="s">
        <v>506</v>
      </c>
      <c r="E119" s="199"/>
      <c r="F119" s="216"/>
      <c r="G119" s="216"/>
      <c r="H119" s="199"/>
      <c r="I119" s="216"/>
      <c r="J119" s="216"/>
      <c r="K119" s="217"/>
    </row>
    <row r="120" spans="2:11">
      <c r="B120" s="213">
        <v>120</v>
      </c>
      <c r="C120" s="214" t="s">
        <v>39</v>
      </c>
      <c r="D120" s="215" t="s">
        <v>496</v>
      </c>
      <c r="E120" s="199"/>
      <c r="F120" s="216"/>
      <c r="G120" s="216"/>
      <c r="H120" s="199"/>
      <c r="I120" s="216"/>
      <c r="J120" s="216"/>
      <c r="K120" s="217"/>
    </row>
    <row r="121" spans="2:11">
      <c r="B121" s="42">
        <v>267</v>
      </c>
      <c r="C121" s="21" t="s">
        <v>186</v>
      </c>
      <c r="D121" s="327" t="s">
        <v>485</v>
      </c>
      <c r="E121" s="323" t="s">
        <v>874</v>
      </c>
      <c r="F121" s="5"/>
      <c r="G121" s="387" t="s">
        <v>306</v>
      </c>
      <c r="H121" s="5"/>
      <c r="I121" s="5"/>
      <c r="J121" s="5"/>
      <c r="K121" s="14"/>
    </row>
    <row r="122" spans="2:11">
      <c r="B122" s="42">
        <v>268</v>
      </c>
      <c r="C122" s="21" t="s">
        <v>187</v>
      </c>
      <c r="D122" s="327" t="s">
        <v>494</v>
      </c>
      <c r="E122" s="323" t="s">
        <v>874</v>
      </c>
      <c r="F122" s="5"/>
      <c r="G122" s="387" t="s">
        <v>316</v>
      </c>
      <c r="H122" s="5"/>
      <c r="I122" s="5"/>
      <c r="J122" s="5"/>
      <c r="K122" s="14"/>
    </row>
    <row r="123" spans="2:11">
      <c r="B123" s="42">
        <v>258</v>
      </c>
      <c r="C123" s="21" t="s">
        <v>177</v>
      </c>
      <c r="D123" s="22" t="s">
        <v>493</v>
      </c>
      <c r="E123" s="5"/>
      <c r="F123" s="5"/>
      <c r="G123" s="5"/>
      <c r="H123" s="5"/>
      <c r="I123" s="5"/>
      <c r="J123" s="5"/>
      <c r="K123" s="14"/>
    </row>
    <row r="124" spans="2:11">
      <c r="B124" s="42">
        <v>257</v>
      </c>
      <c r="C124" s="21" t="s">
        <v>176</v>
      </c>
      <c r="D124" s="327" t="s">
        <v>484</v>
      </c>
      <c r="E124" s="323" t="s">
        <v>874</v>
      </c>
      <c r="F124" s="323"/>
      <c r="G124" s="387" t="s">
        <v>47</v>
      </c>
      <c r="H124" s="5"/>
      <c r="I124" s="5"/>
      <c r="J124" s="5"/>
      <c r="K124" s="14"/>
    </row>
    <row r="125" spans="2:11">
      <c r="B125" s="42">
        <v>260</v>
      </c>
      <c r="C125" s="21" t="s">
        <v>179</v>
      </c>
      <c r="D125" s="22" t="s">
        <v>516</v>
      </c>
      <c r="E125" s="5"/>
      <c r="F125" s="5"/>
      <c r="G125" s="5"/>
      <c r="H125" s="5"/>
      <c r="I125" s="5"/>
      <c r="J125" s="5"/>
      <c r="K125" s="14"/>
    </row>
    <row r="126" spans="2:11">
      <c r="B126" s="42">
        <v>259</v>
      </c>
      <c r="C126" s="21" t="s">
        <v>178</v>
      </c>
      <c r="D126" s="327" t="s">
        <v>504</v>
      </c>
      <c r="E126" s="323" t="s">
        <v>874</v>
      </c>
      <c r="F126" s="323"/>
      <c r="G126" s="388" t="s">
        <v>57</v>
      </c>
      <c r="H126" s="5"/>
      <c r="I126" s="5"/>
      <c r="J126" s="5"/>
      <c r="K126" s="14"/>
    </row>
    <row r="127" spans="2:11">
      <c r="B127" s="42">
        <v>206</v>
      </c>
      <c r="C127" s="21" t="s">
        <v>125</v>
      </c>
      <c r="D127" s="22" t="s">
        <v>475</v>
      </c>
      <c r="E127" s="5"/>
      <c r="F127" s="5"/>
      <c r="G127" s="5"/>
      <c r="H127" s="5"/>
      <c r="I127" s="5"/>
      <c r="J127" s="5"/>
      <c r="K127" s="14"/>
    </row>
    <row r="128" spans="2:11">
      <c r="B128" s="42">
        <v>216</v>
      </c>
      <c r="C128" s="21" t="s">
        <v>135</v>
      </c>
      <c r="D128" s="22" t="s">
        <v>475</v>
      </c>
      <c r="E128" s="5"/>
      <c r="F128" s="5"/>
      <c r="G128" s="5"/>
      <c r="H128" s="5"/>
      <c r="I128" s="5"/>
      <c r="J128" s="5"/>
      <c r="K128" s="14"/>
    </row>
    <row r="129" spans="2:11">
      <c r="B129" s="42">
        <v>226</v>
      </c>
      <c r="C129" s="21" t="s">
        <v>145</v>
      </c>
      <c r="D129" s="22" t="s">
        <v>475</v>
      </c>
      <c r="E129" s="5"/>
      <c r="F129" s="5"/>
      <c r="G129" s="5"/>
      <c r="H129" s="5"/>
      <c r="I129" s="5"/>
      <c r="J129" s="5"/>
      <c r="K129" s="14"/>
    </row>
    <row r="130" spans="2:11">
      <c r="B130" s="42">
        <v>236</v>
      </c>
      <c r="C130" s="21" t="s">
        <v>155</v>
      </c>
      <c r="D130" s="22" t="s">
        <v>475</v>
      </c>
      <c r="E130" s="5"/>
      <c r="F130" s="5"/>
      <c r="G130" s="5"/>
      <c r="H130" s="5"/>
      <c r="I130" s="5"/>
      <c r="J130" s="5"/>
      <c r="K130" s="14"/>
    </row>
    <row r="131" spans="2:11">
      <c r="B131" s="42">
        <v>246</v>
      </c>
      <c r="C131" s="21" t="s">
        <v>165</v>
      </c>
      <c r="D131" s="22" t="s">
        <v>475</v>
      </c>
      <c r="E131" s="5"/>
      <c r="F131" s="5"/>
      <c r="G131" s="5"/>
      <c r="H131" s="5"/>
      <c r="I131" s="5"/>
      <c r="J131" s="5"/>
      <c r="K131" s="14"/>
    </row>
    <row r="132" spans="2:11">
      <c r="B132" s="42">
        <v>256</v>
      </c>
      <c r="C132" s="21" t="s">
        <v>175</v>
      </c>
      <c r="D132" s="22" t="s">
        <v>475</v>
      </c>
      <c r="E132" s="5"/>
      <c r="F132" s="5"/>
      <c r="G132" s="5"/>
      <c r="H132" s="5"/>
      <c r="I132" s="5"/>
      <c r="J132" s="5"/>
      <c r="K132" s="14"/>
    </row>
    <row r="133" spans="2:11">
      <c r="B133" s="42">
        <v>237</v>
      </c>
      <c r="C133" s="21" t="s">
        <v>156</v>
      </c>
      <c r="D133" s="22" t="s">
        <v>475</v>
      </c>
      <c r="E133" s="5"/>
      <c r="F133" s="5"/>
      <c r="G133" s="5"/>
      <c r="H133" s="5"/>
      <c r="I133" s="5"/>
      <c r="J133" s="5"/>
      <c r="K133" s="14"/>
    </row>
    <row r="134" spans="2:11">
      <c r="B134" s="42">
        <v>247</v>
      </c>
      <c r="C134" s="21" t="s">
        <v>166</v>
      </c>
      <c r="D134" s="22" t="s">
        <v>475</v>
      </c>
      <c r="E134" s="5"/>
      <c r="F134" s="5"/>
      <c r="G134" s="5"/>
      <c r="H134" s="5"/>
      <c r="I134" s="5"/>
      <c r="J134" s="5"/>
      <c r="K134" s="14"/>
    </row>
    <row r="135" spans="2:11">
      <c r="B135" s="42">
        <v>238</v>
      </c>
      <c r="C135" s="21" t="s">
        <v>157</v>
      </c>
      <c r="D135" s="22" t="s">
        <v>475</v>
      </c>
      <c r="E135" s="5"/>
      <c r="F135" s="5"/>
      <c r="G135" s="5"/>
      <c r="H135" s="5"/>
      <c r="I135" s="5"/>
      <c r="J135" s="5"/>
      <c r="K135" s="14"/>
    </row>
    <row r="136" spans="2:11">
      <c r="B136" s="42">
        <v>248</v>
      </c>
      <c r="C136" s="21" t="s">
        <v>167</v>
      </c>
      <c r="D136" s="22" t="s">
        <v>475</v>
      </c>
      <c r="E136" s="5"/>
      <c r="F136" s="5"/>
      <c r="G136" s="5"/>
      <c r="H136" s="5"/>
      <c r="I136" s="5"/>
      <c r="J136" s="5"/>
      <c r="K136" s="14"/>
    </row>
    <row r="137" spans="2:11">
      <c r="B137" s="42">
        <v>239</v>
      </c>
      <c r="C137" s="21" t="s">
        <v>158</v>
      </c>
      <c r="D137" s="22" t="s">
        <v>475</v>
      </c>
      <c r="E137" s="5"/>
      <c r="F137" s="5"/>
      <c r="G137" s="5"/>
      <c r="H137" s="5"/>
      <c r="I137" s="5"/>
      <c r="J137" s="5"/>
      <c r="K137" s="14"/>
    </row>
    <row r="138" spans="2:11">
      <c r="B138" s="42">
        <v>240</v>
      </c>
      <c r="C138" s="21" t="s">
        <v>159</v>
      </c>
      <c r="D138" s="22" t="s">
        <v>514</v>
      </c>
      <c r="E138" s="5"/>
      <c r="F138" s="5"/>
      <c r="G138" s="5"/>
      <c r="H138" s="5"/>
      <c r="I138" s="5"/>
      <c r="J138" s="5"/>
      <c r="K138" s="14"/>
    </row>
    <row r="139" spans="2:11">
      <c r="B139" s="42">
        <v>250</v>
      </c>
      <c r="C139" s="21" t="s">
        <v>169</v>
      </c>
      <c r="D139" s="22" t="s">
        <v>515</v>
      </c>
      <c r="E139" s="5"/>
      <c r="F139" s="5"/>
      <c r="G139" s="5"/>
      <c r="H139" s="5"/>
      <c r="I139" s="5"/>
      <c r="J139" s="5"/>
      <c r="K139" s="14"/>
    </row>
    <row r="140" spans="2:11">
      <c r="B140" s="42">
        <v>249</v>
      </c>
      <c r="C140" s="21" t="s">
        <v>168</v>
      </c>
      <c r="D140" s="22" t="s">
        <v>503</v>
      </c>
      <c r="E140" s="5"/>
      <c r="F140" s="5"/>
      <c r="G140" s="5"/>
      <c r="H140" s="5"/>
      <c r="I140" s="5"/>
      <c r="J140" s="5"/>
      <c r="K140" s="14"/>
    </row>
    <row r="141" spans="2:11">
      <c r="B141" s="42">
        <v>266</v>
      </c>
      <c r="C141" s="21" t="s">
        <v>185</v>
      </c>
      <c r="D141" s="22" t="s">
        <v>476</v>
      </c>
      <c r="E141" s="5"/>
      <c r="F141" s="5"/>
      <c r="G141" s="5"/>
      <c r="H141" s="5"/>
      <c r="I141" s="5"/>
      <c r="J141" s="5"/>
      <c r="K141" s="14"/>
    </row>
    <row r="142" spans="2:11">
      <c r="B142" s="42">
        <v>276</v>
      </c>
      <c r="C142" s="21" t="s">
        <v>195</v>
      </c>
      <c r="D142" s="22" t="s">
        <v>476</v>
      </c>
      <c r="E142" s="5"/>
      <c r="F142" s="5"/>
      <c r="G142" s="5"/>
      <c r="H142" s="5"/>
      <c r="I142" s="5"/>
      <c r="J142" s="5"/>
      <c r="K142" s="14"/>
    </row>
    <row r="143" spans="2:11">
      <c r="B143" s="42">
        <v>286</v>
      </c>
      <c r="C143" s="21" t="s">
        <v>205</v>
      </c>
      <c r="D143" s="22" t="s">
        <v>476</v>
      </c>
      <c r="E143" s="5"/>
      <c r="F143" s="5"/>
      <c r="G143" s="5"/>
      <c r="H143" s="5"/>
      <c r="I143" s="5"/>
      <c r="J143" s="5"/>
      <c r="K143" s="14"/>
    </row>
    <row r="144" spans="2:11">
      <c r="B144" s="42">
        <v>296</v>
      </c>
      <c r="C144" s="21" t="s">
        <v>215</v>
      </c>
      <c r="D144" s="22" t="s">
        <v>476</v>
      </c>
      <c r="E144" s="5"/>
      <c r="F144" s="5"/>
      <c r="G144" s="5"/>
      <c r="H144" s="5"/>
      <c r="I144" s="5"/>
      <c r="J144" s="5"/>
      <c r="K144" s="14"/>
    </row>
    <row r="145" spans="2:11">
      <c r="B145" s="42">
        <v>306</v>
      </c>
      <c r="C145" s="21" t="s">
        <v>225</v>
      </c>
      <c r="D145" s="22" t="s">
        <v>476</v>
      </c>
      <c r="E145" s="5"/>
      <c r="F145" s="5"/>
      <c r="G145" s="5"/>
      <c r="H145" s="5"/>
      <c r="I145" s="5"/>
      <c r="J145" s="5"/>
      <c r="K145" s="14"/>
    </row>
    <row r="146" spans="2:11">
      <c r="B146" s="42">
        <v>316</v>
      </c>
      <c r="C146" s="21" t="s">
        <v>235</v>
      </c>
      <c r="D146" s="22" t="s">
        <v>476</v>
      </c>
      <c r="E146" s="5"/>
      <c r="F146" s="5"/>
      <c r="G146" s="5"/>
      <c r="H146" s="5"/>
      <c r="I146" s="5"/>
      <c r="J146" s="5"/>
      <c r="K146" s="14"/>
    </row>
    <row r="147" spans="2:11">
      <c r="B147" s="42">
        <v>326</v>
      </c>
      <c r="C147" s="21" t="s">
        <v>245</v>
      </c>
      <c r="D147" s="22" t="s">
        <v>476</v>
      </c>
      <c r="E147" s="5"/>
      <c r="F147" s="5"/>
      <c r="G147" s="5"/>
      <c r="H147" s="5"/>
      <c r="I147" s="5"/>
      <c r="J147" s="5"/>
      <c r="K147" s="14"/>
    </row>
    <row r="148" spans="2:11">
      <c r="B148" s="42">
        <v>328</v>
      </c>
      <c r="C148" s="21" t="s">
        <v>247</v>
      </c>
      <c r="D148" s="22" t="s">
        <v>476</v>
      </c>
      <c r="E148" s="5"/>
      <c r="F148" s="5"/>
      <c r="G148" s="5"/>
      <c r="H148" s="5"/>
      <c r="I148" s="5"/>
      <c r="J148" s="5"/>
      <c r="K148" s="14"/>
    </row>
    <row r="149" spans="2:11">
      <c r="B149" s="42">
        <v>329</v>
      </c>
      <c r="C149" s="21" t="s">
        <v>248</v>
      </c>
      <c r="D149" s="22" t="s">
        <v>476</v>
      </c>
      <c r="E149" s="5"/>
      <c r="F149" s="5"/>
      <c r="G149" s="5"/>
      <c r="H149" s="5"/>
      <c r="I149" s="5"/>
      <c r="J149" s="5"/>
      <c r="K149" s="14"/>
    </row>
    <row r="150" spans="2:11">
      <c r="B150" s="42">
        <v>330</v>
      </c>
      <c r="C150" s="21" t="s">
        <v>249</v>
      </c>
      <c r="D150" s="22" t="s">
        <v>476</v>
      </c>
      <c r="E150" s="5"/>
      <c r="F150" s="5"/>
      <c r="G150" s="5"/>
      <c r="H150" s="5"/>
      <c r="I150" s="5"/>
      <c r="J150" s="5"/>
      <c r="K150" s="14"/>
    </row>
    <row r="151" spans="2:11">
      <c r="B151" s="42">
        <v>219</v>
      </c>
      <c r="C151" s="21" t="s">
        <v>138</v>
      </c>
      <c r="D151" s="22" t="s">
        <v>501</v>
      </c>
      <c r="E151" s="5"/>
      <c r="F151" s="5"/>
      <c r="G151" s="5"/>
      <c r="H151" s="5"/>
      <c r="I151" s="5"/>
      <c r="J151" s="5"/>
      <c r="K151" s="14"/>
    </row>
    <row r="152" spans="2:11">
      <c r="B152" s="42">
        <v>220</v>
      </c>
      <c r="C152" s="21" t="s">
        <v>139</v>
      </c>
      <c r="D152" s="327" t="s">
        <v>512</v>
      </c>
      <c r="E152" s="323" t="s">
        <v>874</v>
      </c>
      <c r="F152" s="5"/>
      <c r="G152" s="388" t="s">
        <v>187</v>
      </c>
      <c r="H152" s="5"/>
      <c r="I152" s="5"/>
      <c r="J152" s="5"/>
      <c r="K152" s="14"/>
    </row>
    <row r="153" spans="2:11">
      <c r="B153" s="42">
        <v>229</v>
      </c>
      <c r="C153" s="21" t="s">
        <v>148</v>
      </c>
      <c r="D153" s="327" t="s">
        <v>502</v>
      </c>
      <c r="E153" s="323" t="s">
        <v>874</v>
      </c>
      <c r="F153" s="324"/>
      <c r="G153" s="387" t="s">
        <v>970</v>
      </c>
      <c r="H153" s="5"/>
      <c r="I153" s="5"/>
      <c r="J153" s="5"/>
      <c r="K153" s="14"/>
    </row>
    <row r="154" spans="2:11">
      <c r="B154" s="42">
        <v>230</v>
      </c>
      <c r="C154" s="21" t="s">
        <v>149</v>
      </c>
      <c r="D154" s="327" t="s">
        <v>513</v>
      </c>
      <c r="E154" s="323" t="s">
        <v>874</v>
      </c>
      <c r="F154" s="324"/>
      <c r="G154" s="387" t="s">
        <v>971</v>
      </c>
      <c r="H154" s="5"/>
      <c r="I154" s="5"/>
      <c r="J154" s="5"/>
      <c r="K154" s="14"/>
    </row>
    <row r="155" spans="2:11">
      <c r="B155" s="42">
        <v>269</v>
      </c>
      <c r="C155" s="21" t="s">
        <v>188</v>
      </c>
      <c r="D155" s="22" t="s">
        <v>517</v>
      </c>
      <c r="E155" s="323" t="s">
        <v>874</v>
      </c>
      <c r="F155" s="5"/>
      <c r="G155" s="319" t="s">
        <v>317</v>
      </c>
      <c r="H155" s="5"/>
      <c r="I155" s="5"/>
      <c r="J155" s="5"/>
      <c r="K155" s="14"/>
    </row>
    <row r="156" spans="2:11">
      <c r="B156" s="42">
        <v>270</v>
      </c>
      <c r="C156" s="21" t="s">
        <v>189</v>
      </c>
      <c r="D156" s="327" t="s">
        <v>505</v>
      </c>
      <c r="E156" s="323" t="s">
        <v>874</v>
      </c>
      <c r="F156" s="5"/>
      <c r="G156" s="387" t="s">
        <v>297</v>
      </c>
      <c r="H156" s="5"/>
      <c r="I156" s="5"/>
      <c r="J156" s="5"/>
      <c r="K156" s="14"/>
    </row>
    <row r="157" spans="2:11">
      <c r="B157" s="197">
        <v>400</v>
      </c>
      <c r="C157" s="198" t="s">
        <v>319</v>
      </c>
      <c r="D157" s="292" t="s">
        <v>709</v>
      </c>
      <c r="E157" s="199"/>
      <c r="F157" s="199"/>
      <c r="G157" s="199"/>
      <c r="H157" s="199"/>
      <c r="I157" s="199"/>
      <c r="J157" s="199"/>
      <c r="K157" s="200"/>
    </row>
    <row r="158" spans="2:11">
      <c r="B158" s="197">
        <v>399</v>
      </c>
      <c r="C158" s="198" t="s">
        <v>318</v>
      </c>
      <c r="D158" s="292" t="s">
        <v>687</v>
      </c>
      <c r="E158" s="199"/>
      <c r="F158" s="199"/>
      <c r="G158" s="199"/>
      <c r="H158" s="199"/>
      <c r="I158" s="199"/>
      <c r="J158" s="199"/>
      <c r="K158" s="200"/>
    </row>
    <row r="159" spans="2:11">
      <c r="B159" s="197">
        <v>398</v>
      </c>
      <c r="C159" s="198" t="s">
        <v>317</v>
      </c>
      <c r="D159" s="292" t="s">
        <v>665</v>
      </c>
      <c r="E159" s="199"/>
      <c r="F159" s="199"/>
      <c r="G159" s="199"/>
      <c r="H159" s="199"/>
      <c r="I159" s="199"/>
      <c r="J159" s="199"/>
      <c r="K159" s="200"/>
    </row>
    <row r="160" spans="2:11">
      <c r="B160" s="197">
        <v>397</v>
      </c>
      <c r="C160" s="198" t="s">
        <v>316</v>
      </c>
      <c r="D160" s="292" t="s">
        <v>642</v>
      </c>
      <c r="E160" s="199"/>
      <c r="F160" s="199"/>
      <c r="G160" s="199"/>
      <c r="H160" s="199"/>
      <c r="I160" s="199"/>
      <c r="J160" s="199"/>
      <c r="K160" s="200"/>
    </row>
    <row r="161" spans="2:11">
      <c r="B161" s="197">
        <v>366</v>
      </c>
      <c r="C161" s="198" t="s">
        <v>285</v>
      </c>
      <c r="D161" s="292" t="s">
        <v>618</v>
      </c>
      <c r="E161" s="199"/>
      <c r="F161" s="199"/>
      <c r="G161" s="199"/>
      <c r="H161" s="199"/>
      <c r="I161" s="199"/>
      <c r="J161" s="199"/>
      <c r="K161" s="200"/>
    </row>
    <row r="162" spans="2:11">
      <c r="B162" s="197">
        <v>376</v>
      </c>
      <c r="C162" s="198" t="s">
        <v>295</v>
      </c>
      <c r="D162" s="292" t="s">
        <v>619</v>
      </c>
      <c r="E162" s="199"/>
      <c r="F162" s="199"/>
      <c r="G162" s="199"/>
      <c r="H162" s="199"/>
      <c r="I162" s="199"/>
      <c r="J162" s="199"/>
      <c r="K162" s="200"/>
    </row>
    <row r="163" spans="2:11">
      <c r="B163" s="197">
        <v>390</v>
      </c>
      <c r="C163" s="198" t="s">
        <v>309</v>
      </c>
      <c r="D163" s="292" t="s">
        <v>708</v>
      </c>
      <c r="E163" s="199"/>
      <c r="F163" s="199"/>
      <c r="G163" s="199"/>
      <c r="H163" s="199"/>
      <c r="I163" s="199"/>
      <c r="J163" s="199"/>
      <c r="K163" s="200"/>
    </row>
    <row r="164" spans="2:11">
      <c r="B164" s="197">
        <v>389</v>
      </c>
      <c r="C164" s="198" t="s">
        <v>308</v>
      </c>
      <c r="D164" s="292" t="s">
        <v>686</v>
      </c>
      <c r="E164" s="199"/>
      <c r="F164" s="199"/>
      <c r="G164" s="199"/>
      <c r="H164" s="199"/>
      <c r="I164" s="199"/>
      <c r="J164" s="199"/>
      <c r="K164" s="200"/>
    </row>
    <row r="165" spans="2:11">
      <c r="B165" s="197">
        <v>370</v>
      </c>
      <c r="C165" s="198" t="s">
        <v>289</v>
      </c>
      <c r="D165" s="292" t="s">
        <v>706</v>
      </c>
      <c r="E165" s="199"/>
      <c r="F165" s="199"/>
      <c r="G165" s="199"/>
      <c r="H165" s="199"/>
      <c r="I165" s="199"/>
      <c r="J165" s="199"/>
      <c r="K165" s="200"/>
    </row>
    <row r="166" spans="2:11">
      <c r="B166" s="197">
        <v>369</v>
      </c>
      <c r="C166" s="198" t="s">
        <v>288</v>
      </c>
      <c r="D166" s="292" t="s">
        <v>684</v>
      </c>
      <c r="E166" s="199"/>
      <c r="F166" s="199"/>
      <c r="G166" s="199"/>
      <c r="H166" s="199"/>
      <c r="I166" s="199"/>
      <c r="J166" s="199"/>
      <c r="K166" s="200"/>
    </row>
    <row r="167" spans="2:11">
      <c r="B167" s="197">
        <v>377</v>
      </c>
      <c r="C167" s="198" t="s">
        <v>296</v>
      </c>
      <c r="D167" s="292" t="s">
        <v>641</v>
      </c>
      <c r="E167" s="199"/>
      <c r="F167" s="199"/>
      <c r="G167" s="199"/>
      <c r="H167" s="199"/>
      <c r="I167" s="199"/>
      <c r="J167" s="199"/>
      <c r="K167" s="200"/>
    </row>
    <row r="168" spans="2:11">
      <c r="B168" s="197">
        <v>378</v>
      </c>
      <c r="C168" s="198" t="s">
        <v>297</v>
      </c>
      <c r="D168" s="292" t="s">
        <v>664</v>
      </c>
      <c r="E168" s="199"/>
      <c r="F168" s="199"/>
      <c r="G168" s="199"/>
      <c r="H168" s="199"/>
      <c r="I168" s="199"/>
      <c r="J168" s="199"/>
      <c r="K168" s="200"/>
    </row>
    <row r="169" spans="2:11">
      <c r="B169" s="197">
        <v>367</v>
      </c>
      <c r="C169" s="198" t="s">
        <v>286</v>
      </c>
      <c r="D169" s="292" t="s">
        <v>640</v>
      </c>
      <c r="E169" s="199"/>
      <c r="F169" s="199"/>
      <c r="G169" s="199"/>
      <c r="H169" s="199"/>
      <c r="I169" s="199"/>
      <c r="J169" s="199"/>
      <c r="K169" s="200"/>
    </row>
    <row r="170" spans="2:11">
      <c r="B170" s="197">
        <v>368</v>
      </c>
      <c r="C170" s="198" t="s">
        <v>287</v>
      </c>
      <c r="D170" s="292" t="s">
        <v>663</v>
      </c>
      <c r="E170" s="199"/>
      <c r="F170" s="199"/>
      <c r="G170" s="199"/>
      <c r="H170" s="199"/>
      <c r="I170" s="199"/>
      <c r="J170" s="199"/>
      <c r="K170" s="200"/>
    </row>
    <row r="171" spans="2:11">
      <c r="B171" s="197">
        <v>380</v>
      </c>
      <c r="C171" s="198" t="s">
        <v>299</v>
      </c>
      <c r="D171" s="292" t="s">
        <v>707</v>
      </c>
      <c r="E171" s="199"/>
      <c r="F171" s="199"/>
      <c r="G171" s="199"/>
      <c r="H171" s="199"/>
      <c r="I171" s="199"/>
      <c r="J171" s="199"/>
      <c r="K171" s="200"/>
    </row>
    <row r="172" spans="2:11">
      <c r="B172" s="197">
        <v>379</v>
      </c>
      <c r="C172" s="198" t="s">
        <v>298</v>
      </c>
      <c r="D172" s="292" t="s">
        <v>685</v>
      </c>
      <c r="E172" s="199"/>
      <c r="F172" s="199"/>
      <c r="G172" s="199"/>
      <c r="H172" s="199"/>
      <c r="I172" s="199"/>
      <c r="J172" s="199"/>
      <c r="K172" s="200"/>
    </row>
    <row r="173" spans="2:11">
      <c r="B173" s="197">
        <v>394</v>
      </c>
      <c r="C173" s="198" t="s">
        <v>313</v>
      </c>
      <c r="D173" s="292" t="s">
        <v>599</v>
      </c>
      <c r="E173" s="199"/>
      <c r="F173" s="199"/>
      <c r="G173" s="199"/>
      <c r="H173" s="199"/>
      <c r="I173" s="199"/>
      <c r="J173" s="199"/>
      <c r="K173" s="200"/>
    </row>
    <row r="174" spans="2:11">
      <c r="B174" s="197">
        <v>384</v>
      </c>
      <c r="C174" s="198" t="s">
        <v>303</v>
      </c>
      <c r="D174" s="292" t="s">
        <v>598</v>
      </c>
      <c r="E174" s="199"/>
      <c r="F174" s="199"/>
      <c r="G174" s="199"/>
      <c r="H174" s="199"/>
      <c r="I174" s="199"/>
      <c r="J174" s="199"/>
      <c r="K174" s="200"/>
    </row>
    <row r="175" spans="2:11">
      <c r="B175" s="197">
        <v>374</v>
      </c>
      <c r="C175" s="198" t="s">
        <v>293</v>
      </c>
      <c r="D175" s="292" t="s">
        <v>597</v>
      </c>
      <c r="E175" s="199"/>
      <c r="F175" s="199"/>
      <c r="G175" s="199"/>
      <c r="H175" s="199"/>
      <c r="I175" s="199"/>
      <c r="J175" s="199"/>
      <c r="K175" s="200"/>
    </row>
    <row r="176" spans="2:11">
      <c r="B176" s="197">
        <v>364</v>
      </c>
      <c r="C176" s="198" t="s">
        <v>283</v>
      </c>
      <c r="D176" s="292" t="s">
        <v>596</v>
      </c>
      <c r="E176" s="199"/>
      <c r="F176" s="199"/>
      <c r="G176" s="199"/>
      <c r="H176" s="199"/>
      <c r="I176" s="199"/>
      <c r="J176" s="199"/>
      <c r="K176" s="200"/>
    </row>
    <row r="177" spans="2:11">
      <c r="B177" s="197">
        <v>375</v>
      </c>
      <c r="C177" s="198" t="s">
        <v>294</v>
      </c>
      <c r="D177" s="292" t="s">
        <v>609</v>
      </c>
      <c r="E177" s="199"/>
      <c r="F177" s="199"/>
      <c r="G177" s="199"/>
      <c r="H177" s="199"/>
      <c r="I177" s="199"/>
      <c r="J177" s="199"/>
      <c r="K177" s="200"/>
    </row>
    <row r="178" spans="2:11">
      <c r="B178" s="197">
        <v>365</v>
      </c>
      <c r="C178" s="198" t="s">
        <v>284</v>
      </c>
      <c r="D178" s="292" t="s">
        <v>608</v>
      </c>
      <c r="E178" s="199"/>
      <c r="F178" s="199"/>
      <c r="G178" s="199"/>
      <c r="H178" s="199"/>
      <c r="I178" s="199"/>
      <c r="J178" s="199"/>
      <c r="K178" s="200"/>
    </row>
    <row r="179" spans="2:11">
      <c r="B179" s="197">
        <v>373</v>
      </c>
      <c r="C179" s="198" t="s">
        <v>292</v>
      </c>
      <c r="D179" s="292" t="s">
        <v>576</v>
      </c>
      <c r="E179" s="199"/>
      <c r="F179" s="199"/>
      <c r="G179" s="199"/>
      <c r="H179" s="199"/>
      <c r="I179" s="199"/>
      <c r="J179" s="199"/>
      <c r="K179" s="200"/>
    </row>
    <row r="180" spans="2:11">
      <c r="B180" s="197">
        <v>363</v>
      </c>
      <c r="C180" s="198" t="s">
        <v>282</v>
      </c>
      <c r="D180" s="292" t="s">
        <v>575</v>
      </c>
      <c r="E180" s="199"/>
      <c r="F180" s="199"/>
      <c r="G180" s="199"/>
      <c r="H180" s="199"/>
      <c r="I180" s="199"/>
      <c r="J180" s="199"/>
      <c r="K180" s="200"/>
    </row>
    <row r="181" spans="2:11">
      <c r="B181" s="197">
        <v>391</v>
      </c>
      <c r="C181" s="198" t="s">
        <v>310</v>
      </c>
      <c r="D181" s="292" t="s">
        <v>533</v>
      </c>
      <c r="E181" s="199"/>
      <c r="F181" s="199"/>
      <c r="G181" s="199"/>
      <c r="H181" s="199"/>
      <c r="I181" s="199"/>
      <c r="J181" s="199"/>
      <c r="K181" s="200"/>
    </row>
    <row r="182" spans="2:11">
      <c r="B182" s="197">
        <v>381</v>
      </c>
      <c r="C182" s="198" t="s">
        <v>300</v>
      </c>
      <c r="D182" s="292" t="s">
        <v>532</v>
      </c>
      <c r="E182" s="199"/>
      <c r="F182" s="199"/>
      <c r="G182" s="199"/>
      <c r="H182" s="199"/>
      <c r="I182" s="199"/>
      <c r="J182" s="199"/>
      <c r="K182" s="200"/>
    </row>
    <row r="183" spans="2:11">
      <c r="B183" s="197">
        <v>371</v>
      </c>
      <c r="C183" s="198" t="s">
        <v>290</v>
      </c>
      <c r="D183" s="292" t="s">
        <v>531</v>
      </c>
      <c r="E183" s="199"/>
      <c r="F183" s="199"/>
      <c r="G183" s="199"/>
      <c r="H183" s="199"/>
      <c r="I183" s="199"/>
      <c r="J183" s="199"/>
      <c r="K183" s="200"/>
    </row>
    <row r="184" spans="2:11">
      <c r="B184" s="197">
        <v>361</v>
      </c>
      <c r="C184" s="198" t="s">
        <v>280</v>
      </c>
      <c r="D184" s="292" t="s">
        <v>530</v>
      </c>
      <c r="E184" s="199"/>
      <c r="F184" s="199"/>
      <c r="G184" s="199"/>
      <c r="H184" s="199"/>
      <c r="I184" s="199"/>
      <c r="J184" s="199"/>
      <c r="K184" s="200"/>
    </row>
    <row r="185" spans="2:11">
      <c r="B185" s="197">
        <v>372</v>
      </c>
      <c r="C185" s="198" t="s">
        <v>291</v>
      </c>
      <c r="D185" s="292" t="s">
        <v>551</v>
      </c>
      <c r="E185" s="199"/>
      <c r="F185" s="199"/>
      <c r="G185" s="199"/>
      <c r="H185" s="199"/>
      <c r="I185" s="199"/>
      <c r="J185" s="199"/>
      <c r="K185" s="200"/>
    </row>
    <row r="186" spans="2:11">
      <c r="B186" s="197">
        <v>362</v>
      </c>
      <c r="C186" s="198" t="s">
        <v>281</v>
      </c>
      <c r="D186" s="292" t="s">
        <v>550</v>
      </c>
      <c r="E186" s="199"/>
      <c r="F186" s="199"/>
      <c r="G186" s="199"/>
      <c r="H186" s="199"/>
      <c r="I186" s="199"/>
      <c r="J186" s="199"/>
      <c r="K186" s="200"/>
    </row>
    <row r="187" spans="2:11">
      <c r="B187" s="213">
        <v>354</v>
      </c>
      <c r="C187" s="214" t="s">
        <v>273</v>
      </c>
      <c r="D187" s="215" t="s">
        <v>595</v>
      </c>
      <c r="E187" s="199"/>
      <c r="F187" s="216"/>
      <c r="G187" s="216"/>
      <c r="H187" s="199"/>
      <c r="I187" s="216"/>
      <c r="J187" s="216"/>
      <c r="K187" s="217"/>
    </row>
    <row r="188" spans="2:11">
      <c r="B188" s="213">
        <v>353</v>
      </c>
      <c r="C188" s="214" t="s">
        <v>272</v>
      </c>
      <c r="D188" s="215" t="s">
        <v>574</v>
      </c>
      <c r="E188" s="199"/>
      <c r="F188" s="216"/>
      <c r="G188" s="216"/>
      <c r="H188" s="199"/>
      <c r="I188" s="216"/>
      <c r="J188" s="216"/>
      <c r="K188" s="217"/>
    </row>
    <row r="189" spans="2:11">
      <c r="B189" s="42">
        <v>93</v>
      </c>
      <c r="C189" s="258" t="s">
        <v>5</v>
      </c>
      <c r="D189" s="257" t="s">
        <v>558</v>
      </c>
      <c r="E189" s="324" t="s">
        <v>876</v>
      </c>
      <c r="F189" s="324"/>
      <c r="G189" s="389" t="s">
        <v>201</v>
      </c>
      <c r="H189" s="340" t="s">
        <v>898</v>
      </c>
      <c r="I189" s="13"/>
      <c r="J189" s="13"/>
      <c r="K189" s="20"/>
    </row>
    <row r="190" spans="2:11">
      <c r="B190" s="42">
        <v>94</v>
      </c>
      <c r="C190" s="258" t="s">
        <v>6</v>
      </c>
      <c r="D190" s="257" t="s">
        <v>583</v>
      </c>
      <c r="E190" s="324" t="s">
        <v>876</v>
      </c>
      <c r="F190" s="324"/>
      <c r="G190" s="389" t="s">
        <v>211</v>
      </c>
      <c r="H190" s="312" t="s">
        <v>898</v>
      </c>
      <c r="I190" s="13"/>
      <c r="J190" s="13"/>
      <c r="K190" s="20"/>
    </row>
    <row r="191" spans="2:11">
      <c r="B191" s="42">
        <v>103</v>
      </c>
      <c r="C191" s="258" t="s">
        <v>22</v>
      </c>
      <c r="D191" s="257" t="s">
        <v>559</v>
      </c>
      <c r="E191" s="324" t="s">
        <v>876</v>
      </c>
      <c r="F191" s="324"/>
      <c r="G191" s="389" t="s">
        <v>220</v>
      </c>
      <c r="H191" s="312" t="s">
        <v>898</v>
      </c>
      <c r="I191" s="13"/>
      <c r="J191" s="13"/>
      <c r="K191" s="20"/>
    </row>
    <row r="192" spans="2:11">
      <c r="B192" s="42">
        <v>104</v>
      </c>
      <c r="C192" s="258" t="s">
        <v>23</v>
      </c>
      <c r="D192" s="257" t="s">
        <v>584</v>
      </c>
      <c r="E192" s="324" t="s">
        <v>876</v>
      </c>
      <c r="F192" s="324"/>
      <c r="G192" s="389" t="s">
        <v>230</v>
      </c>
      <c r="H192" s="312" t="s">
        <v>898</v>
      </c>
      <c r="I192" s="13"/>
      <c r="J192" s="13"/>
      <c r="K192" s="20"/>
    </row>
    <row r="193" spans="2:11">
      <c r="B193" s="42">
        <v>101</v>
      </c>
      <c r="C193" s="258" t="s">
        <v>20</v>
      </c>
      <c r="D193" s="257" t="s">
        <v>522</v>
      </c>
      <c r="E193" s="324" t="s">
        <v>876</v>
      </c>
      <c r="F193" s="324"/>
      <c r="G193" s="389" t="s">
        <v>180</v>
      </c>
      <c r="H193" s="312" t="s">
        <v>898</v>
      </c>
      <c r="I193" s="13"/>
      <c r="J193" s="13"/>
      <c r="K193" s="20"/>
    </row>
    <row r="194" spans="2:11">
      <c r="B194" s="42">
        <v>102</v>
      </c>
      <c r="C194" s="258" t="s">
        <v>21</v>
      </c>
      <c r="D194" s="257" t="s">
        <v>538</v>
      </c>
      <c r="E194" s="324" t="s">
        <v>876</v>
      </c>
      <c r="F194" s="324"/>
      <c r="G194" s="389" t="s">
        <v>190</v>
      </c>
      <c r="H194" s="312" t="s">
        <v>898</v>
      </c>
      <c r="I194" s="13"/>
      <c r="J194" s="13"/>
      <c r="K194" s="20"/>
    </row>
    <row r="195" spans="2:11">
      <c r="B195" s="213">
        <v>95</v>
      </c>
      <c r="C195" s="214" t="s">
        <v>7</v>
      </c>
      <c r="D195" s="215" t="s">
        <v>602</v>
      </c>
      <c r="E195" s="359"/>
      <c r="F195" s="359"/>
      <c r="G195" s="359"/>
      <c r="H195" s="312"/>
      <c r="I195" s="216"/>
      <c r="J195" s="216"/>
      <c r="K195" s="217"/>
    </row>
    <row r="196" spans="2:11">
      <c r="B196" s="213">
        <v>96</v>
      </c>
      <c r="C196" s="214" t="s">
        <v>8</v>
      </c>
      <c r="D196" s="215" t="s">
        <v>616</v>
      </c>
      <c r="E196" s="359"/>
      <c r="F196" s="359"/>
      <c r="G196" s="359"/>
      <c r="H196" s="312"/>
      <c r="I196" s="216"/>
      <c r="J196" s="216"/>
      <c r="K196" s="217"/>
    </row>
    <row r="197" spans="2:11">
      <c r="B197" s="42">
        <v>86</v>
      </c>
      <c r="C197" s="258" t="s">
        <v>422</v>
      </c>
      <c r="D197" s="257" t="s">
        <v>615</v>
      </c>
      <c r="E197" s="324" t="s">
        <v>876</v>
      </c>
      <c r="F197" s="324"/>
      <c r="G197" s="389" t="s">
        <v>222</v>
      </c>
      <c r="H197" s="312" t="s">
        <v>898</v>
      </c>
      <c r="I197" s="13"/>
      <c r="J197" s="13"/>
      <c r="K197" s="20"/>
    </row>
    <row r="198" spans="2:11">
      <c r="B198" s="42">
        <v>85</v>
      </c>
      <c r="C198" s="258" t="s">
        <v>421</v>
      </c>
      <c r="D198" s="257" t="s">
        <v>601</v>
      </c>
      <c r="E198" s="324" t="s">
        <v>876</v>
      </c>
      <c r="F198" s="324"/>
      <c r="G198" s="389" t="s">
        <v>232</v>
      </c>
      <c r="H198" s="312" t="s">
        <v>898</v>
      </c>
      <c r="I198" s="13"/>
      <c r="J198" s="13"/>
      <c r="K198" s="20"/>
    </row>
    <row r="199" spans="2:11">
      <c r="B199" s="42">
        <v>76</v>
      </c>
      <c r="C199" s="258" t="s">
        <v>412</v>
      </c>
      <c r="D199" s="271" t="s">
        <v>614</v>
      </c>
      <c r="E199" s="324" t="s">
        <v>876</v>
      </c>
      <c r="F199" s="324"/>
      <c r="G199" s="389" t="s">
        <v>182</v>
      </c>
      <c r="H199" s="312" t="s">
        <v>898</v>
      </c>
      <c r="I199" s="13"/>
      <c r="J199" s="13"/>
      <c r="K199" s="20"/>
    </row>
    <row r="200" spans="2:11">
      <c r="B200" s="42">
        <v>75</v>
      </c>
      <c r="C200" s="258" t="s">
        <v>411</v>
      </c>
      <c r="D200" s="271" t="s">
        <v>600</v>
      </c>
      <c r="E200" s="324" t="s">
        <v>876</v>
      </c>
      <c r="F200" s="324"/>
      <c r="G200" s="389" t="s">
        <v>192</v>
      </c>
      <c r="H200" s="312" t="s">
        <v>898</v>
      </c>
      <c r="I200" s="13"/>
      <c r="J200" s="13"/>
      <c r="K200" s="20"/>
    </row>
    <row r="201" spans="2:11">
      <c r="B201" s="42">
        <v>74</v>
      </c>
      <c r="C201" s="258" t="s">
        <v>410</v>
      </c>
      <c r="D201" s="271" t="s">
        <v>581</v>
      </c>
      <c r="E201" s="324" t="s">
        <v>876</v>
      </c>
      <c r="F201" s="324"/>
      <c r="G201" s="389" t="s">
        <v>241</v>
      </c>
      <c r="H201" s="312" t="s">
        <v>898</v>
      </c>
      <c r="I201" s="13"/>
      <c r="J201" s="13"/>
      <c r="K201" s="20"/>
    </row>
    <row r="202" spans="2:11">
      <c r="B202" s="42">
        <v>73</v>
      </c>
      <c r="C202" s="258" t="s">
        <v>409</v>
      </c>
      <c r="D202" s="271" t="s">
        <v>556</v>
      </c>
      <c r="E202" s="324" t="s">
        <v>876</v>
      </c>
      <c r="F202" s="324"/>
      <c r="G202" s="389" t="s">
        <v>251</v>
      </c>
      <c r="H202" s="312" t="s">
        <v>898</v>
      </c>
      <c r="I202" s="13"/>
      <c r="J202" s="13"/>
      <c r="K202" s="20"/>
    </row>
    <row r="203" spans="2:11">
      <c r="B203" s="213">
        <v>83</v>
      </c>
      <c r="C203" s="214" t="s">
        <v>419</v>
      </c>
      <c r="D203" s="215" t="s">
        <v>557</v>
      </c>
      <c r="E203" s="359"/>
      <c r="F203" s="359"/>
      <c r="G203" s="359"/>
      <c r="H203" s="312"/>
      <c r="I203" s="216"/>
      <c r="J203" s="216"/>
      <c r="K203" s="217"/>
    </row>
    <row r="204" spans="2:11">
      <c r="B204" s="213">
        <v>84</v>
      </c>
      <c r="C204" s="214" t="s">
        <v>420</v>
      </c>
      <c r="D204" s="215" t="s">
        <v>582</v>
      </c>
      <c r="E204" s="359"/>
      <c r="F204" s="359"/>
      <c r="G204" s="359"/>
      <c r="H204" s="312"/>
      <c r="I204" s="216"/>
      <c r="J204" s="216"/>
      <c r="K204" s="217"/>
    </row>
    <row r="205" spans="2:11">
      <c r="B205" s="42">
        <v>24</v>
      </c>
      <c r="C205" s="258" t="s">
        <v>360</v>
      </c>
      <c r="D205" s="257" t="s">
        <v>579</v>
      </c>
      <c r="E205" s="324" t="s">
        <v>876</v>
      </c>
      <c r="F205" s="324"/>
      <c r="G205" s="389" t="s">
        <v>184</v>
      </c>
      <c r="H205" s="312" t="s">
        <v>898</v>
      </c>
      <c r="I205" s="13"/>
      <c r="J205" s="13"/>
      <c r="K205" s="20"/>
    </row>
    <row r="206" spans="2:11">
      <c r="B206" s="42">
        <v>34</v>
      </c>
      <c r="C206" s="258" t="s">
        <v>370</v>
      </c>
      <c r="D206" s="257" t="s">
        <v>580</v>
      </c>
      <c r="E206" s="324" t="s">
        <v>876</v>
      </c>
      <c r="F206" s="324"/>
      <c r="G206" s="389" t="s">
        <v>194</v>
      </c>
      <c r="H206" s="312" t="s">
        <v>898</v>
      </c>
      <c r="I206" s="13"/>
      <c r="J206" s="13"/>
      <c r="K206" s="20"/>
    </row>
    <row r="207" spans="2:11">
      <c r="B207" s="42">
        <v>14</v>
      </c>
      <c r="C207" s="258" t="s">
        <v>350</v>
      </c>
      <c r="D207" s="257" t="s">
        <v>578</v>
      </c>
      <c r="E207" s="324" t="s">
        <v>876</v>
      </c>
      <c r="F207" s="324"/>
      <c r="G207" s="389" t="s">
        <v>243</v>
      </c>
      <c r="H207" s="312" t="s">
        <v>898</v>
      </c>
      <c r="I207" s="13"/>
      <c r="J207" s="13"/>
      <c r="K207" s="20"/>
    </row>
    <row r="208" spans="2:11">
      <c r="B208" s="42">
        <v>4</v>
      </c>
      <c r="C208" s="258" t="s">
        <v>340</v>
      </c>
      <c r="D208" s="257" t="s">
        <v>577</v>
      </c>
      <c r="E208" s="324" t="s">
        <v>876</v>
      </c>
      <c r="F208" s="324"/>
      <c r="G208" s="389" t="s">
        <v>253</v>
      </c>
      <c r="H208" s="312" t="s">
        <v>898</v>
      </c>
      <c r="I208" s="13"/>
      <c r="J208" s="13"/>
      <c r="K208" s="20"/>
    </row>
    <row r="209" spans="2:11">
      <c r="B209" s="42">
        <v>13</v>
      </c>
      <c r="C209" s="258" t="s">
        <v>349</v>
      </c>
      <c r="D209" s="257" t="s">
        <v>553</v>
      </c>
      <c r="E209" s="324" t="s">
        <v>876</v>
      </c>
      <c r="F209" s="324"/>
      <c r="G209" s="389" t="s">
        <v>203</v>
      </c>
      <c r="H209" s="312" t="s">
        <v>898</v>
      </c>
      <c r="I209" s="13"/>
      <c r="J209" s="13"/>
      <c r="K209" s="20"/>
    </row>
    <row r="210" spans="2:11">
      <c r="B210" s="42">
        <v>3</v>
      </c>
      <c r="C210" s="258" t="s">
        <v>339</v>
      </c>
      <c r="D210" s="257" t="s">
        <v>552</v>
      </c>
      <c r="E210" s="324" t="s">
        <v>876</v>
      </c>
      <c r="F210" s="324"/>
      <c r="G210" s="389" t="s">
        <v>213</v>
      </c>
      <c r="H210" s="312" t="s">
        <v>898</v>
      </c>
      <c r="I210" s="13"/>
      <c r="J210" s="13"/>
      <c r="K210" s="20"/>
    </row>
    <row r="211" spans="2:11">
      <c r="B211" s="213">
        <v>33</v>
      </c>
      <c r="C211" s="214" t="s">
        <v>369</v>
      </c>
      <c r="D211" s="215" t="s">
        <v>555</v>
      </c>
      <c r="E211" s="359"/>
      <c r="F211" s="359"/>
      <c r="G211" s="359"/>
      <c r="H211" s="312"/>
      <c r="I211" s="216"/>
      <c r="J211" s="216"/>
      <c r="K211" s="217"/>
    </row>
    <row r="212" spans="2:11">
      <c r="B212" s="213">
        <v>23</v>
      </c>
      <c r="C212" s="214" t="s">
        <v>359</v>
      </c>
      <c r="D212" s="215" t="s">
        <v>554</v>
      </c>
      <c r="E212" s="359"/>
      <c r="F212" s="359"/>
      <c r="G212" s="359"/>
      <c r="H212" s="312"/>
      <c r="I212" s="216"/>
      <c r="J212" s="216"/>
      <c r="K212" s="217"/>
    </row>
    <row r="213" spans="2:11">
      <c r="B213" s="42">
        <v>31</v>
      </c>
      <c r="C213" s="258" t="s">
        <v>367</v>
      </c>
      <c r="D213" s="257" t="s">
        <v>521</v>
      </c>
      <c r="E213" s="324" t="s">
        <v>876</v>
      </c>
      <c r="F213" s="324"/>
      <c r="G213" s="389" t="s">
        <v>245</v>
      </c>
      <c r="H213" s="312" t="s">
        <v>898</v>
      </c>
      <c r="I213" s="13"/>
      <c r="J213" s="13"/>
      <c r="K213" s="20"/>
    </row>
    <row r="214" spans="2:11">
      <c r="B214" s="42">
        <v>32</v>
      </c>
      <c r="C214" s="258" t="s">
        <v>368</v>
      </c>
      <c r="D214" s="257" t="s">
        <v>537</v>
      </c>
      <c r="E214" s="324" t="s">
        <v>876</v>
      </c>
      <c r="F214" s="324"/>
      <c r="G214" s="389" t="s">
        <v>255</v>
      </c>
      <c r="H214" s="312" t="s">
        <v>898</v>
      </c>
      <c r="I214" s="13"/>
      <c r="J214" s="13"/>
      <c r="K214" s="20"/>
    </row>
    <row r="215" spans="2:11">
      <c r="B215" s="42">
        <v>21</v>
      </c>
      <c r="C215" s="258" t="s">
        <v>357</v>
      </c>
      <c r="D215" s="257" t="s">
        <v>520</v>
      </c>
      <c r="E215" s="324" t="s">
        <v>876</v>
      </c>
      <c r="F215" s="324"/>
      <c r="G215" s="389" t="s">
        <v>205</v>
      </c>
      <c r="H215" s="312" t="s">
        <v>898</v>
      </c>
      <c r="I215" s="13"/>
      <c r="J215" s="13"/>
      <c r="K215" s="20"/>
    </row>
    <row r="216" spans="2:11">
      <c r="B216" s="42">
        <v>22</v>
      </c>
      <c r="C216" s="258" t="s">
        <v>358</v>
      </c>
      <c r="D216" s="257" t="s">
        <v>536</v>
      </c>
      <c r="E216" s="324" t="s">
        <v>876</v>
      </c>
      <c r="F216" s="324"/>
      <c r="G216" s="389" t="s">
        <v>215</v>
      </c>
      <c r="H216" s="312" t="s">
        <v>898</v>
      </c>
      <c r="I216" s="13"/>
      <c r="J216" s="13"/>
      <c r="K216" s="20"/>
    </row>
    <row r="217" spans="2:11">
      <c r="B217" s="42">
        <v>11</v>
      </c>
      <c r="C217" s="258" t="s">
        <v>347</v>
      </c>
      <c r="D217" s="257" t="s">
        <v>519</v>
      </c>
      <c r="E217" s="324" t="s">
        <v>876</v>
      </c>
      <c r="F217" s="324"/>
      <c r="G217" s="389" t="s">
        <v>224</v>
      </c>
      <c r="H217" s="312" t="s">
        <v>898</v>
      </c>
      <c r="I217" s="13"/>
      <c r="J217" s="13"/>
      <c r="K217" s="20"/>
    </row>
    <row r="218" spans="2:11">
      <c r="B218" s="42">
        <v>12</v>
      </c>
      <c r="C218" s="258" t="s">
        <v>348</v>
      </c>
      <c r="D218" s="257" t="s">
        <v>535</v>
      </c>
      <c r="E218" s="324" t="s">
        <v>876</v>
      </c>
      <c r="F218" s="324"/>
      <c r="G218" s="389" t="s">
        <v>234</v>
      </c>
      <c r="H218" s="312" t="s">
        <v>898</v>
      </c>
      <c r="I218" s="13"/>
      <c r="J218" s="13"/>
      <c r="K218" s="20"/>
    </row>
    <row r="219" spans="2:11">
      <c r="B219" s="213">
        <v>1</v>
      </c>
      <c r="C219" s="214" t="s">
        <v>337</v>
      </c>
      <c r="D219" s="215" t="s">
        <v>518</v>
      </c>
      <c r="E219" s="199"/>
      <c r="F219" s="216"/>
      <c r="G219" s="216"/>
      <c r="H219" s="199"/>
      <c r="I219" s="216"/>
      <c r="J219" s="216"/>
      <c r="K219" s="217"/>
    </row>
    <row r="220" spans="2:11">
      <c r="B220" s="213">
        <v>2</v>
      </c>
      <c r="C220" s="214" t="s">
        <v>338</v>
      </c>
      <c r="D220" s="215" t="s">
        <v>534</v>
      </c>
      <c r="E220" s="199"/>
      <c r="F220" s="216"/>
      <c r="G220" s="216"/>
      <c r="H220" s="199"/>
      <c r="I220" s="216"/>
      <c r="J220" s="216"/>
      <c r="K220" s="217"/>
    </row>
    <row r="221" spans="2:11">
      <c r="B221" s="42">
        <v>43</v>
      </c>
      <c r="C221" s="258" t="s">
        <v>379</v>
      </c>
      <c r="D221" s="330" t="s">
        <v>447</v>
      </c>
      <c r="E221" s="324" t="s">
        <v>876</v>
      </c>
      <c r="F221" s="13"/>
      <c r="G221" s="387" t="s">
        <v>978</v>
      </c>
      <c r="H221" s="13"/>
      <c r="I221" s="13"/>
      <c r="J221" s="13"/>
      <c r="K221" s="20"/>
    </row>
    <row r="222" spans="2:11">
      <c r="B222" s="42">
        <v>44</v>
      </c>
      <c r="C222" s="258" t="s">
        <v>380</v>
      </c>
      <c r="D222" s="330" t="s">
        <v>455</v>
      </c>
      <c r="E222" s="324" t="s">
        <v>876</v>
      </c>
      <c r="F222" s="13"/>
      <c r="G222" s="387" t="s">
        <v>979</v>
      </c>
      <c r="H222" s="13"/>
      <c r="I222" s="13"/>
      <c r="J222" s="13"/>
      <c r="K222" s="20"/>
    </row>
    <row r="223" spans="2:11">
      <c r="B223" s="42">
        <v>62</v>
      </c>
      <c r="C223" s="258" t="s">
        <v>398</v>
      </c>
      <c r="D223" s="271" t="s">
        <v>428</v>
      </c>
      <c r="E223" s="13"/>
      <c r="F223" s="13"/>
      <c r="G223" s="13"/>
      <c r="H223" s="13"/>
      <c r="I223" s="13"/>
      <c r="J223" s="13"/>
      <c r="K223" s="20"/>
    </row>
    <row r="224" spans="2:11">
      <c r="B224" s="42">
        <v>61</v>
      </c>
      <c r="C224" s="258" t="s">
        <v>397</v>
      </c>
      <c r="D224" s="330" t="s">
        <v>322</v>
      </c>
      <c r="E224" s="324" t="s">
        <v>876</v>
      </c>
      <c r="F224" s="324"/>
      <c r="G224" s="388" t="s">
        <v>87</v>
      </c>
      <c r="H224" s="13"/>
      <c r="I224" s="13"/>
      <c r="J224" s="13"/>
      <c r="K224" s="20"/>
    </row>
    <row r="225" spans="2:11">
      <c r="B225" s="42">
        <v>71</v>
      </c>
      <c r="C225" s="258" t="s">
        <v>407</v>
      </c>
      <c r="D225" s="271" t="s">
        <v>323</v>
      </c>
      <c r="E225" s="13"/>
      <c r="F225" s="13"/>
      <c r="G225" s="13"/>
      <c r="H225" s="13"/>
      <c r="I225" s="13"/>
      <c r="J225" s="13"/>
      <c r="K225" s="20"/>
    </row>
    <row r="226" spans="2:11">
      <c r="B226" s="42">
        <v>72</v>
      </c>
      <c r="C226" s="258" t="s">
        <v>408</v>
      </c>
      <c r="D226" s="330" t="s">
        <v>429</v>
      </c>
      <c r="E226" s="324" t="s">
        <v>876</v>
      </c>
      <c r="F226" s="324"/>
      <c r="G226" s="388" t="s">
        <v>97</v>
      </c>
      <c r="H226" s="13"/>
      <c r="I226" s="13"/>
      <c r="J226" s="13"/>
      <c r="K226" s="20"/>
    </row>
    <row r="227" spans="2:11">
      <c r="B227" s="42">
        <v>51</v>
      </c>
      <c r="C227" s="258" t="s">
        <v>387</v>
      </c>
      <c r="D227" s="271" t="s">
        <v>464</v>
      </c>
      <c r="E227" s="13"/>
      <c r="F227" s="13"/>
      <c r="G227" s="13"/>
      <c r="H227" s="13"/>
      <c r="I227" s="13"/>
      <c r="J227" s="13"/>
      <c r="K227" s="20"/>
    </row>
    <row r="228" spans="2:11">
      <c r="B228" s="42">
        <v>52</v>
      </c>
      <c r="C228" s="258" t="s">
        <v>388</v>
      </c>
      <c r="D228" s="271" t="s">
        <v>464</v>
      </c>
      <c r="E228" s="13"/>
      <c r="F228" s="13"/>
      <c r="G228" s="13"/>
      <c r="H228" s="13"/>
      <c r="I228" s="13"/>
      <c r="J228" s="13"/>
      <c r="K228" s="20"/>
    </row>
    <row r="229" spans="2:11">
      <c r="B229" s="42">
        <v>53</v>
      </c>
      <c r="C229" s="258" t="s">
        <v>389</v>
      </c>
      <c r="D229" s="271" t="s">
        <v>464</v>
      </c>
      <c r="E229" s="13"/>
      <c r="F229" s="13"/>
      <c r="G229" s="13"/>
      <c r="H229" s="13"/>
      <c r="I229" s="13"/>
      <c r="J229" s="13"/>
      <c r="K229" s="20"/>
    </row>
    <row r="230" spans="2:11">
      <c r="B230" s="42">
        <v>63</v>
      </c>
      <c r="C230" s="258" t="s">
        <v>399</v>
      </c>
      <c r="D230" s="271" t="s">
        <v>464</v>
      </c>
      <c r="E230" s="13"/>
      <c r="F230" s="13"/>
      <c r="G230" s="13"/>
      <c r="H230" s="13"/>
      <c r="I230" s="13"/>
      <c r="J230" s="13"/>
      <c r="K230" s="20"/>
    </row>
    <row r="231" spans="2:11">
      <c r="B231" s="42">
        <v>54</v>
      </c>
      <c r="C231" s="258" t="s">
        <v>390</v>
      </c>
      <c r="D231" s="271" t="s">
        <v>464</v>
      </c>
      <c r="E231" s="13"/>
      <c r="F231" s="13"/>
      <c r="G231" s="13"/>
      <c r="H231" s="13"/>
      <c r="I231" s="13"/>
      <c r="J231" s="13"/>
      <c r="K231" s="20"/>
    </row>
    <row r="232" spans="2:11">
      <c r="B232" s="42">
        <v>64</v>
      </c>
      <c r="C232" s="258" t="s">
        <v>400</v>
      </c>
      <c r="D232" s="271" t="s">
        <v>464</v>
      </c>
      <c r="E232" s="13"/>
      <c r="F232" s="13"/>
      <c r="G232" s="13"/>
      <c r="H232" s="13"/>
      <c r="I232" s="13"/>
      <c r="J232" s="13"/>
      <c r="K232" s="20"/>
    </row>
    <row r="233" spans="2:11">
      <c r="B233" s="42">
        <v>105</v>
      </c>
      <c r="C233" s="258" t="s">
        <v>24</v>
      </c>
      <c r="D233" s="257" t="s">
        <v>464</v>
      </c>
      <c r="E233" s="13"/>
      <c r="F233" s="13"/>
      <c r="G233" s="13"/>
      <c r="H233" s="13"/>
      <c r="I233" s="13"/>
      <c r="J233" s="13"/>
      <c r="K233" s="20"/>
    </row>
    <row r="234" spans="2:11">
      <c r="B234" s="42">
        <v>46</v>
      </c>
      <c r="C234" s="258" t="s">
        <v>382</v>
      </c>
      <c r="D234" s="271" t="s">
        <v>471</v>
      </c>
      <c r="E234" s="13"/>
      <c r="F234" s="13"/>
      <c r="G234" s="13"/>
      <c r="H234" s="13"/>
      <c r="I234" s="13"/>
      <c r="J234" s="13"/>
      <c r="K234" s="20"/>
    </row>
    <row r="235" spans="2:11">
      <c r="B235" s="42">
        <v>66</v>
      </c>
      <c r="C235" s="258" t="s">
        <v>402</v>
      </c>
      <c r="D235" s="271" t="s">
        <v>473</v>
      </c>
      <c r="E235" s="13"/>
      <c r="F235" s="13"/>
      <c r="G235" s="13"/>
      <c r="H235" s="13"/>
      <c r="I235" s="13"/>
      <c r="J235" s="13"/>
      <c r="K235" s="20"/>
    </row>
    <row r="236" spans="2:11">
      <c r="B236" s="42">
        <v>56</v>
      </c>
      <c r="C236" s="258" t="s">
        <v>392</v>
      </c>
      <c r="D236" s="271" t="s">
        <v>472</v>
      </c>
      <c r="E236" s="13"/>
      <c r="F236" s="13"/>
      <c r="G236" s="13"/>
      <c r="H236" s="13"/>
      <c r="I236" s="13"/>
      <c r="J236" s="13"/>
      <c r="K236" s="20"/>
    </row>
    <row r="237" spans="2:11">
      <c r="B237" s="42">
        <v>5</v>
      </c>
      <c r="C237" s="258" t="s">
        <v>341</v>
      </c>
      <c r="D237" s="257" t="s">
        <v>321</v>
      </c>
      <c r="E237" s="13"/>
      <c r="F237" s="13"/>
      <c r="G237" s="13"/>
      <c r="H237" s="13"/>
      <c r="I237" s="13"/>
      <c r="J237" s="13"/>
      <c r="K237" s="20"/>
    </row>
    <row r="238" spans="2:11">
      <c r="B238" s="42">
        <v>15</v>
      </c>
      <c r="C238" s="258" t="s">
        <v>351</v>
      </c>
      <c r="D238" s="257" t="s">
        <v>321</v>
      </c>
      <c r="E238" s="13"/>
      <c r="F238" s="13"/>
      <c r="G238" s="13"/>
      <c r="H238" s="13"/>
      <c r="I238" s="13"/>
      <c r="J238" s="13"/>
      <c r="K238" s="20"/>
    </row>
    <row r="239" spans="2:11">
      <c r="B239" s="42">
        <v>25</v>
      </c>
      <c r="C239" s="258" t="s">
        <v>361</v>
      </c>
      <c r="D239" s="257" t="s">
        <v>321</v>
      </c>
      <c r="E239" s="13"/>
      <c r="F239" s="13"/>
      <c r="G239" s="13"/>
      <c r="H239" s="13"/>
      <c r="I239" s="13"/>
      <c r="J239" s="13"/>
      <c r="K239" s="20"/>
    </row>
    <row r="240" spans="2:11">
      <c r="B240" s="42">
        <v>35</v>
      </c>
      <c r="C240" s="258" t="s">
        <v>371</v>
      </c>
      <c r="D240" s="257" t="s">
        <v>321</v>
      </c>
      <c r="E240" s="13"/>
      <c r="F240" s="13"/>
      <c r="G240" s="13"/>
      <c r="H240" s="13"/>
      <c r="I240" s="13"/>
      <c r="J240" s="13"/>
      <c r="K240" s="20"/>
    </row>
    <row r="241" spans="2:11">
      <c r="B241" s="42">
        <v>45</v>
      </c>
      <c r="C241" s="258" t="s">
        <v>381</v>
      </c>
      <c r="D241" s="271" t="s">
        <v>321</v>
      </c>
      <c r="E241" s="13"/>
      <c r="F241" s="13"/>
      <c r="G241" s="13"/>
      <c r="H241" s="13"/>
      <c r="I241" s="13"/>
      <c r="J241" s="13"/>
      <c r="K241" s="20"/>
    </row>
    <row r="242" spans="2:11">
      <c r="B242" s="42">
        <v>55</v>
      </c>
      <c r="C242" s="258" t="s">
        <v>391</v>
      </c>
      <c r="D242" s="271" t="s">
        <v>321</v>
      </c>
      <c r="E242" s="13"/>
      <c r="F242" s="13"/>
      <c r="G242" s="13"/>
      <c r="H242" s="13"/>
      <c r="I242" s="13"/>
      <c r="J242" s="13"/>
      <c r="K242" s="20"/>
    </row>
    <row r="243" spans="2:11">
      <c r="B243" s="42">
        <v>65</v>
      </c>
      <c r="C243" s="258" t="s">
        <v>401</v>
      </c>
      <c r="D243" s="271" t="s">
        <v>321</v>
      </c>
      <c r="E243" s="13"/>
      <c r="F243" s="13"/>
      <c r="G243" s="13"/>
      <c r="H243" s="13"/>
      <c r="I243" s="13"/>
      <c r="J243" s="13"/>
      <c r="K243" s="20"/>
    </row>
    <row r="244" spans="2:11">
      <c r="B244" s="42">
        <v>92</v>
      </c>
      <c r="C244" s="258" t="s">
        <v>4</v>
      </c>
      <c r="D244" s="257" t="s">
        <v>431</v>
      </c>
      <c r="E244" s="13"/>
      <c r="F244" s="13"/>
      <c r="G244" s="13"/>
      <c r="H244" s="13"/>
      <c r="I244" s="13"/>
      <c r="J244" s="13"/>
      <c r="K244" s="20"/>
    </row>
    <row r="245" spans="2:11">
      <c r="B245" s="42">
        <v>91</v>
      </c>
      <c r="C245" s="258" t="s">
        <v>0</v>
      </c>
      <c r="D245" s="328" t="s">
        <v>325</v>
      </c>
      <c r="E245" s="324" t="s">
        <v>876</v>
      </c>
      <c r="F245" s="13"/>
      <c r="G245" s="387" t="s">
        <v>27</v>
      </c>
      <c r="H245" s="13"/>
      <c r="I245" s="13"/>
      <c r="J245" s="13"/>
      <c r="K245" s="20"/>
    </row>
    <row r="246" spans="2:11">
      <c r="B246" s="42">
        <v>81</v>
      </c>
      <c r="C246" s="258" t="s">
        <v>417</v>
      </c>
      <c r="D246" s="328" t="s">
        <v>324</v>
      </c>
      <c r="E246" s="324" t="s">
        <v>876</v>
      </c>
      <c r="F246" s="323"/>
      <c r="G246" s="387" t="s">
        <v>1037</v>
      </c>
      <c r="H246" s="13"/>
      <c r="I246" s="13"/>
      <c r="J246" s="13"/>
      <c r="K246" s="20"/>
    </row>
    <row r="247" spans="2:11">
      <c r="B247" s="42">
        <v>82</v>
      </c>
      <c r="C247" s="258" t="s">
        <v>418</v>
      </c>
      <c r="D247" s="328" t="s">
        <v>430</v>
      </c>
      <c r="E247" s="324" t="s">
        <v>876</v>
      </c>
      <c r="F247" s="323"/>
      <c r="G247" s="388" t="s">
        <v>1038</v>
      </c>
      <c r="H247" s="13"/>
      <c r="I247" s="13"/>
      <c r="J247" s="13"/>
      <c r="K247" s="20"/>
    </row>
    <row r="248" spans="2:11">
      <c r="B248" s="42">
        <v>41</v>
      </c>
      <c r="C248" s="258" t="s">
        <v>377</v>
      </c>
      <c r="D248" s="330" t="s">
        <v>427</v>
      </c>
      <c r="E248" s="324" t="s">
        <v>876</v>
      </c>
      <c r="F248" s="5"/>
      <c r="G248" s="320" t="s">
        <v>317</v>
      </c>
      <c r="H248" s="13"/>
      <c r="I248" s="13"/>
      <c r="J248" s="13"/>
      <c r="K248" s="20"/>
    </row>
    <row r="249" spans="2:11">
      <c r="B249" s="42">
        <v>42</v>
      </c>
      <c r="C249" s="258" t="s">
        <v>378</v>
      </c>
      <c r="D249" s="330" t="s">
        <v>320</v>
      </c>
      <c r="E249" s="324" t="s">
        <v>876</v>
      </c>
      <c r="F249" s="13"/>
      <c r="G249" s="387" t="s">
        <v>974</v>
      </c>
      <c r="H249" s="13"/>
      <c r="I249" s="13"/>
      <c r="J249" s="13"/>
      <c r="K249" s="20"/>
    </row>
    <row r="250" spans="2:11">
      <c r="B250" s="197">
        <v>393</v>
      </c>
      <c r="C250" s="198" t="s">
        <v>312</v>
      </c>
      <c r="D250" s="292" t="s">
        <v>453</v>
      </c>
      <c r="E250" s="199"/>
      <c r="F250" s="199"/>
      <c r="G250" s="199"/>
      <c r="H250" s="199"/>
      <c r="I250" s="199"/>
      <c r="J250" s="199"/>
      <c r="K250" s="200"/>
    </row>
    <row r="251" spans="2:11">
      <c r="B251" s="197">
        <v>383</v>
      </c>
      <c r="C251" s="198" t="s">
        <v>302</v>
      </c>
      <c r="D251" s="292" t="s">
        <v>452</v>
      </c>
      <c r="E251" s="199"/>
      <c r="F251" s="199"/>
      <c r="G251" s="199"/>
      <c r="H251" s="199"/>
      <c r="I251" s="199"/>
      <c r="J251" s="199"/>
      <c r="K251" s="200"/>
    </row>
    <row r="252" spans="2:11">
      <c r="B252" s="197">
        <v>337</v>
      </c>
      <c r="C252" s="198" t="s">
        <v>256</v>
      </c>
      <c r="D252" s="292" t="s">
        <v>487</v>
      </c>
      <c r="E252" s="199"/>
      <c r="F252" s="199"/>
      <c r="G252" s="199"/>
      <c r="H252" s="199"/>
      <c r="I252" s="199"/>
      <c r="J252" s="199"/>
      <c r="K252" s="200"/>
    </row>
    <row r="253" spans="2:11">
      <c r="B253" s="197">
        <v>327</v>
      </c>
      <c r="C253" s="198" t="s">
        <v>246</v>
      </c>
      <c r="D253" s="292" t="s">
        <v>486</v>
      </c>
      <c r="E253" s="199"/>
      <c r="F253" s="199"/>
      <c r="G253" s="199"/>
      <c r="H253" s="199"/>
      <c r="I253" s="199"/>
      <c r="J253" s="199"/>
      <c r="K253" s="200"/>
    </row>
    <row r="254" spans="2:11">
      <c r="B254" s="197">
        <v>346</v>
      </c>
      <c r="C254" s="198" t="s">
        <v>265</v>
      </c>
      <c r="D254" s="292" t="s">
        <v>478</v>
      </c>
      <c r="E254" s="199"/>
      <c r="F254" s="199"/>
      <c r="G254" s="199"/>
      <c r="H254" s="199"/>
      <c r="I254" s="199"/>
      <c r="J254" s="199"/>
      <c r="K254" s="200"/>
    </row>
    <row r="255" spans="2:11">
      <c r="B255" s="197">
        <v>336</v>
      </c>
      <c r="C255" s="198" t="s">
        <v>255</v>
      </c>
      <c r="D255" s="292" t="s">
        <v>477</v>
      </c>
      <c r="E255" s="199"/>
      <c r="F255" s="199"/>
      <c r="G255" s="199"/>
      <c r="H255" s="199"/>
      <c r="I255" s="199"/>
      <c r="J255" s="199"/>
      <c r="K255" s="200"/>
    </row>
    <row r="256" spans="2:11">
      <c r="B256" s="197">
        <v>347</v>
      </c>
      <c r="C256" s="198" t="s">
        <v>266</v>
      </c>
      <c r="D256" s="292" t="s">
        <v>488</v>
      </c>
      <c r="E256" s="199"/>
      <c r="F256" s="199"/>
      <c r="G256" s="199"/>
      <c r="H256" s="199"/>
      <c r="I256" s="199"/>
      <c r="J256" s="199"/>
      <c r="K256" s="200"/>
    </row>
    <row r="257" spans="2:11">
      <c r="B257" s="197">
        <v>357</v>
      </c>
      <c r="C257" s="198" t="s">
        <v>276</v>
      </c>
      <c r="D257" s="292" t="s">
        <v>488</v>
      </c>
      <c r="E257" s="199"/>
      <c r="F257" s="199"/>
      <c r="G257" s="199"/>
      <c r="H257" s="199"/>
      <c r="I257" s="199"/>
      <c r="J257" s="199"/>
      <c r="K257" s="200"/>
    </row>
    <row r="258" spans="2:11">
      <c r="B258" s="197">
        <v>338</v>
      </c>
      <c r="C258" s="198" t="s">
        <v>257</v>
      </c>
      <c r="D258" s="292" t="s">
        <v>488</v>
      </c>
      <c r="E258" s="199"/>
      <c r="F258" s="199"/>
      <c r="G258" s="199"/>
      <c r="H258" s="199"/>
      <c r="I258" s="199"/>
      <c r="J258" s="199"/>
      <c r="K258" s="200"/>
    </row>
    <row r="259" spans="2:11">
      <c r="B259" s="197">
        <v>348</v>
      </c>
      <c r="C259" s="198" t="s">
        <v>267</v>
      </c>
      <c r="D259" s="292" t="s">
        <v>488</v>
      </c>
      <c r="E259" s="199"/>
      <c r="F259" s="199"/>
      <c r="G259" s="199"/>
      <c r="H259" s="199"/>
      <c r="I259" s="199"/>
      <c r="J259" s="199"/>
      <c r="K259" s="200"/>
    </row>
    <row r="260" spans="2:11">
      <c r="B260" s="197">
        <v>358</v>
      </c>
      <c r="C260" s="198" t="s">
        <v>277</v>
      </c>
      <c r="D260" s="292" t="s">
        <v>488</v>
      </c>
      <c r="E260" s="199"/>
      <c r="F260" s="199"/>
      <c r="G260" s="199"/>
      <c r="H260" s="199"/>
      <c r="I260" s="199"/>
      <c r="J260" s="199"/>
      <c r="K260" s="200"/>
    </row>
    <row r="261" spans="2:11">
      <c r="B261" s="197">
        <v>339</v>
      </c>
      <c r="C261" s="198" t="s">
        <v>258</v>
      </c>
      <c r="D261" s="292" t="s">
        <v>488</v>
      </c>
      <c r="E261" s="199"/>
      <c r="F261" s="199"/>
      <c r="G261" s="199"/>
      <c r="H261" s="199"/>
      <c r="I261" s="199"/>
      <c r="J261" s="199"/>
      <c r="K261" s="200"/>
    </row>
    <row r="262" spans="2:11">
      <c r="B262" s="197">
        <v>349</v>
      </c>
      <c r="C262" s="198" t="s">
        <v>268</v>
      </c>
      <c r="D262" s="292" t="s">
        <v>488</v>
      </c>
      <c r="E262" s="199"/>
      <c r="F262" s="199"/>
      <c r="G262" s="199"/>
      <c r="H262" s="199"/>
      <c r="I262" s="199"/>
      <c r="J262" s="199"/>
      <c r="K262" s="200"/>
    </row>
    <row r="263" spans="2:11">
      <c r="B263" s="197">
        <v>359</v>
      </c>
      <c r="C263" s="198" t="s">
        <v>278</v>
      </c>
      <c r="D263" s="292" t="s">
        <v>488</v>
      </c>
      <c r="E263" s="199"/>
      <c r="F263" s="199"/>
      <c r="G263" s="199"/>
      <c r="H263" s="199"/>
      <c r="I263" s="199"/>
      <c r="J263" s="199"/>
      <c r="K263" s="200"/>
    </row>
    <row r="264" spans="2:11">
      <c r="B264" s="197">
        <v>340</v>
      </c>
      <c r="C264" s="198" t="s">
        <v>259</v>
      </c>
      <c r="D264" s="292" t="s">
        <v>488</v>
      </c>
      <c r="E264" s="199"/>
      <c r="F264" s="199"/>
      <c r="G264" s="199"/>
      <c r="H264" s="199"/>
      <c r="I264" s="199"/>
      <c r="J264" s="199"/>
      <c r="K264" s="200"/>
    </row>
    <row r="265" spans="2:11">
      <c r="B265" s="197">
        <v>350</v>
      </c>
      <c r="C265" s="198" t="s">
        <v>269</v>
      </c>
      <c r="D265" s="292" t="s">
        <v>488</v>
      </c>
      <c r="E265" s="199"/>
      <c r="F265" s="199"/>
      <c r="G265" s="199"/>
      <c r="H265" s="199"/>
      <c r="I265" s="199"/>
      <c r="J265" s="199"/>
      <c r="K265" s="200"/>
    </row>
    <row r="266" spans="2:11">
      <c r="B266" s="197">
        <v>360</v>
      </c>
      <c r="C266" s="198" t="s">
        <v>279</v>
      </c>
      <c r="D266" s="292" t="s">
        <v>488</v>
      </c>
      <c r="E266" s="199"/>
      <c r="F266" s="199"/>
      <c r="G266" s="199"/>
      <c r="H266" s="199"/>
      <c r="I266" s="199"/>
      <c r="J266" s="199"/>
      <c r="K266" s="200"/>
    </row>
    <row r="267" spans="2:11">
      <c r="B267" s="197">
        <v>356</v>
      </c>
      <c r="C267" s="198" t="s">
        <v>275</v>
      </c>
      <c r="D267" s="292" t="s">
        <v>479</v>
      </c>
      <c r="E267" s="199"/>
      <c r="F267" s="199"/>
      <c r="G267" s="199"/>
      <c r="H267" s="199"/>
      <c r="I267" s="199"/>
      <c r="J267" s="199"/>
      <c r="K267" s="200"/>
    </row>
    <row r="268" spans="2:11">
      <c r="B268" s="197">
        <v>385</v>
      </c>
      <c r="C268" s="198" t="s">
        <v>304</v>
      </c>
      <c r="D268" s="292" t="s">
        <v>469</v>
      </c>
      <c r="E268" s="199"/>
      <c r="F268" s="199"/>
      <c r="G268" s="199"/>
      <c r="H268" s="199"/>
      <c r="I268" s="199"/>
      <c r="J268" s="199"/>
      <c r="K268" s="200"/>
    </row>
    <row r="269" spans="2:11">
      <c r="B269" s="197">
        <v>395</v>
      </c>
      <c r="C269" s="198" t="s">
        <v>314</v>
      </c>
      <c r="D269" s="292" t="s">
        <v>470</v>
      </c>
      <c r="E269" s="199"/>
      <c r="F269" s="199"/>
      <c r="G269" s="199"/>
      <c r="H269" s="199"/>
      <c r="I269" s="199"/>
      <c r="J269" s="199"/>
      <c r="K269" s="200"/>
    </row>
    <row r="270" spans="2:11">
      <c r="B270" s="197">
        <v>341</v>
      </c>
      <c r="C270" s="198" t="s">
        <v>260</v>
      </c>
      <c r="D270" s="292" t="s">
        <v>336</v>
      </c>
      <c r="E270" s="199"/>
      <c r="F270" s="199"/>
      <c r="G270" s="199"/>
      <c r="H270" s="199"/>
      <c r="I270" s="199"/>
      <c r="J270" s="199"/>
      <c r="K270" s="200"/>
    </row>
    <row r="271" spans="2:11">
      <c r="B271" s="197">
        <v>351</v>
      </c>
      <c r="C271" s="198" t="s">
        <v>270</v>
      </c>
      <c r="D271" s="292" t="s">
        <v>336</v>
      </c>
      <c r="E271" s="199"/>
      <c r="F271" s="199"/>
      <c r="G271" s="199"/>
      <c r="H271" s="199"/>
      <c r="I271" s="199"/>
      <c r="J271" s="199"/>
      <c r="K271" s="200"/>
    </row>
    <row r="272" spans="2:11">
      <c r="B272" s="197">
        <v>342</v>
      </c>
      <c r="C272" s="198" t="s">
        <v>261</v>
      </c>
      <c r="D272" s="292" t="s">
        <v>336</v>
      </c>
      <c r="E272" s="199"/>
      <c r="F272" s="199"/>
      <c r="G272" s="199"/>
      <c r="H272" s="199"/>
      <c r="I272" s="199"/>
      <c r="J272" s="199"/>
      <c r="K272" s="200"/>
    </row>
    <row r="273" spans="2:11">
      <c r="B273" s="197">
        <v>352</v>
      </c>
      <c r="C273" s="198" t="s">
        <v>271</v>
      </c>
      <c r="D273" s="292" t="s">
        <v>336</v>
      </c>
      <c r="E273" s="199"/>
      <c r="F273" s="199"/>
      <c r="G273" s="199"/>
      <c r="H273" s="199"/>
      <c r="I273" s="199"/>
      <c r="J273" s="199"/>
      <c r="K273" s="200"/>
    </row>
    <row r="274" spans="2:11">
      <c r="B274" s="197">
        <v>333</v>
      </c>
      <c r="C274" s="198" t="s">
        <v>252</v>
      </c>
      <c r="D274" s="292" t="s">
        <v>336</v>
      </c>
      <c r="E274" s="199"/>
      <c r="F274" s="199"/>
      <c r="G274" s="199"/>
      <c r="H274" s="199"/>
      <c r="I274" s="199"/>
      <c r="J274" s="199"/>
      <c r="K274" s="200"/>
    </row>
    <row r="275" spans="2:11">
      <c r="B275" s="197">
        <v>343</v>
      </c>
      <c r="C275" s="198" t="s">
        <v>262</v>
      </c>
      <c r="D275" s="292" t="s">
        <v>336</v>
      </c>
      <c r="E275" s="199"/>
      <c r="F275" s="199"/>
      <c r="G275" s="199"/>
      <c r="H275" s="199"/>
      <c r="I275" s="199"/>
      <c r="J275" s="199"/>
      <c r="K275" s="200"/>
    </row>
    <row r="276" spans="2:11">
      <c r="B276" s="197">
        <v>334</v>
      </c>
      <c r="C276" s="198" t="s">
        <v>253</v>
      </c>
      <c r="D276" s="292" t="s">
        <v>336</v>
      </c>
      <c r="E276" s="199"/>
      <c r="F276" s="199"/>
      <c r="G276" s="199"/>
      <c r="H276" s="199"/>
      <c r="I276" s="199"/>
      <c r="J276" s="199"/>
      <c r="K276" s="200"/>
    </row>
    <row r="277" spans="2:11">
      <c r="B277" s="197">
        <v>344</v>
      </c>
      <c r="C277" s="198" t="s">
        <v>263</v>
      </c>
      <c r="D277" s="292" t="s">
        <v>336</v>
      </c>
      <c r="E277" s="199"/>
      <c r="F277" s="199"/>
      <c r="G277" s="199"/>
      <c r="H277" s="199"/>
      <c r="I277" s="199"/>
      <c r="J277" s="199"/>
      <c r="K277" s="200"/>
    </row>
    <row r="278" spans="2:11">
      <c r="B278" s="197">
        <v>345</v>
      </c>
      <c r="C278" s="198" t="s">
        <v>264</v>
      </c>
      <c r="D278" s="292" t="s">
        <v>336</v>
      </c>
      <c r="E278" s="199"/>
      <c r="F278" s="199"/>
      <c r="G278" s="199"/>
      <c r="H278" s="199"/>
      <c r="I278" s="199"/>
      <c r="J278" s="199"/>
      <c r="K278" s="200"/>
    </row>
    <row r="279" spans="2:11">
      <c r="B279" s="197">
        <v>355</v>
      </c>
      <c r="C279" s="198" t="s">
        <v>274</v>
      </c>
      <c r="D279" s="292" t="s">
        <v>336</v>
      </c>
      <c r="E279" s="199"/>
      <c r="F279" s="199"/>
      <c r="G279" s="199"/>
      <c r="H279" s="199"/>
      <c r="I279" s="199"/>
      <c r="J279" s="199"/>
      <c r="K279" s="200"/>
    </row>
    <row r="280" spans="2:11">
      <c r="B280" s="197">
        <v>396</v>
      </c>
      <c r="C280" s="198" t="s">
        <v>315</v>
      </c>
      <c r="D280" s="292" t="s">
        <v>481</v>
      </c>
      <c r="E280" s="199"/>
      <c r="F280" s="199"/>
      <c r="G280" s="199"/>
      <c r="H280" s="199"/>
      <c r="I280" s="199"/>
      <c r="J280" s="199"/>
      <c r="K280" s="200"/>
    </row>
    <row r="281" spans="2:11">
      <c r="B281" s="197">
        <v>386</v>
      </c>
      <c r="C281" s="198" t="s">
        <v>305</v>
      </c>
      <c r="D281" s="292" t="s">
        <v>480</v>
      </c>
      <c r="E281" s="199"/>
      <c r="F281" s="199"/>
      <c r="G281" s="199"/>
      <c r="H281" s="199"/>
      <c r="I281" s="199"/>
      <c r="J281" s="199"/>
      <c r="K281" s="200"/>
    </row>
    <row r="282" spans="2:11">
      <c r="B282" s="197">
        <v>387</v>
      </c>
      <c r="C282" s="198" t="s">
        <v>306</v>
      </c>
      <c r="D282" s="292" t="s">
        <v>489</v>
      </c>
      <c r="E282" s="199"/>
      <c r="F282" s="199"/>
      <c r="G282" s="199"/>
      <c r="H282" s="199"/>
      <c r="I282" s="199"/>
      <c r="J282" s="199"/>
      <c r="K282" s="200"/>
    </row>
    <row r="283" spans="2:11">
      <c r="B283" s="197">
        <v>388</v>
      </c>
      <c r="C283" s="198" t="s">
        <v>307</v>
      </c>
      <c r="D283" s="292" t="s">
        <v>495</v>
      </c>
      <c r="E283" s="199"/>
      <c r="F283" s="199"/>
      <c r="G283" s="199"/>
      <c r="H283" s="199"/>
      <c r="I283" s="199"/>
      <c r="J283" s="199"/>
      <c r="K283" s="200"/>
    </row>
    <row r="284" spans="2:11">
      <c r="B284" s="197">
        <v>392</v>
      </c>
      <c r="C284" s="198" t="s">
        <v>311</v>
      </c>
      <c r="D284" s="292" t="s">
        <v>440</v>
      </c>
      <c r="E284" s="199"/>
      <c r="F284" s="199"/>
      <c r="G284" s="199"/>
      <c r="H284" s="199"/>
      <c r="I284" s="199"/>
      <c r="J284" s="199"/>
      <c r="K284" s="200"/>
    </row>
    <row r="285" spans="2:11">
      <c r="B285" s="197">
        <v>382</v>
      </c>
      <c r="C285" s="198" t="s">
        <v>301</v>
      </c>
      <c r="D285" s="292" t="s">
        <v>441</v>
      </c>
      <c r="E285" s="199"/>
      <c r="F285" s="199"/>
      <c r="G285" s="199"/>
      <c r="H285" s="199"/>
      <c r="I285" s="199"/>
      <c r="J285" s="199"/>
      <c r="K285" s="200"/>
    </row>
    <row r="286" spans="2:11">
      <c r="B286" s="42">
        <v>194</v>
      </c>
      <c r="C286" s="21" t="s">
        <v>113</v>
      </c>
      <c r="D286" s="22" t="s">
        <v>587</v>
      </c>
      <c r="E286" s="323" t="s">
        <v>876</v>
      </c>
      <c r="F286" s="5"/>
      <c r="G286" s="389" t="s">
        <v>121</v>
      </c>
      <c r="H286" s="340" t="s">
        <v>901</v>
      </c>
      <c r="I286" s="5"/>
      <c r="J286" s="5"/>
      <c r="K286" s="14"/>
    </row>
    <row r="287" spans="2:11">
      <c r="B287" s="42">
        <v>193</v>
      </c>
      <c r="C287" s="21" t="s">
        <v>112</v>
      </c>
      <c r="D287" s="22" t="s">
        <v>564</v>
      </c>
      <c r="E287" s="323" t="s">
        <v>876</v>
      </c>
      <c r="F287" s="5"/>
      <c r="G287" s="389" t="s">
        <v>131</v>
      </c>
      <c r="H287" s="312" t="s">
        <v>901</v>
      </c>
      <c r="I287" s="5"/>
      <c r="J287" s="5"/>
      <c r="K287" s="14"/>
    </row>
    <row r="288" spans="2:11">
      <c r="B288" s="42">
        <v>184</v>
      </c>
      <c r="C288" s="21" t="s">
        <v>103</v>
      </c>
      <c r="D288" s="22" t="s">
        <v>586</v>
      </c>
      <c r="E288" s="323" t="s">
        <v>876</v>
      </c>
      <c r="F288" s="5"/>
      <c r="G288" s="389" t="s">
        <v>140</v>
      </c>
      <c r="H288" s="312" t="s">
        <v>901</v>
      </c>
      <c r="I288" s="5"/>
      <c r="J288" s="5"/>
      <c r="K288" s="14"/>
    </row>
    <row r="289" spans="2:11">
      <c r="B289" s="42">
        <v>183</v>
      </c>
      <c r="C289" s="21" t="s">
        <v>102</v>
      </c>
      <c r="D289" s="22" t="s">
        <v>563</v>
      </c>
      <c r="E289" s="323" t="s">
        <v>876</v>
      </c>
      <c r="F289" s="5"/>
      <c r="G289" s="389" t="s">
        <v>150</v>
      </c>
      <c r="H289" s="312" t="s">
        <v>901</v>
      </c>
      <c r="I289" s="5"/>
      <c r="J289" s="5"/>
      <c r="K289" s="14"/>
    </row>
    <row r="290" spans="2:11">
      <c r="B290" s="42">
        <v>182</v>
      </c>
      <c r="C290" s="21" t="s">
        <v>101</v>
      </c>
      <c r="D290" s="22" t="s">
        <v>542</v>
      </c>
      <c r="E290" s="323" t="s">
        <v>876</v>
      </c>
      <c r="F290" s="5"/>
      <c r="G290" s="389" t="s">
        <v>100</v>
      </c>
      <c r="H290" s="312" t="s">
        <v>901</v>
      </c>
      <c r="I290" s="5"/>
      <c r="J290" s="5"/>
      <c r="K290" s="14"/>
    </row>
    <row r="291" spans="2:11">
      <c r="B291" s="42">
        <v>192</v>
      </c>
      <c r="C291" s="21" t="s">
        <v>111</v>
      </c>
      <c r="D291" s="22" t="s">
        <v>543</v>
      </c>
      <c r="E291" s="323" t="s">
        <v>876</v>
      </c>
      <c r="F291" s="5"/>
      <c r="G291" s="389" t="s">
        <v>110</v>
      </c>
      <c r="H291" s="312" t="s">
        <v>901</v>
      </c>
      <c r="I291" s="5"/>
      <c r="J291" s="5"/>
      <c r="K291" s="14"/>
    </row>
    <row r="292" spans="2:11">
      <c r="B292" s="42">
        <v>214</v>
      </c>
      <c r="C292" s="21" t="s">
        <v>133</v>
      </c>
      <c r="D292" s="22" t="s">
        <v>589</v>
      </c>
      <c r="E292" s="323" t="s">
        <v>876</v>
      </c>
      <c r="F292" s="5"/>
      <c r="G292" s="389" t="s">
        <v>142</v>
      </c>
      <c r="H292" s="312" t="s">
        <v>901</v>
      </c>
      <c r="I292" s="5"/>
      <c r="J292" s="5"/>
      <c r="K292" s="14"/>
    </row>
    <row r="293" spans="2:11">
      <c r="B293" s="42">
        <v>213</v>
      </c>
      <c r="C293" s="21" t="s">
        <v>132</v>
      </c>
      <c r="D293" s="22" t="s">
        <v>566</v>
      </c>
      <c r="E293" s="323" t="s">
        <v>876</v>
      </c>
      <c r="F293" s="5"/>
      <c r="G293" s="389" t="s">
        <v>152</v>
      </c>
      <c r="H293" s="312" t="s">
        <v>901</v>
      </c>
      <c r="I293" s="5"/>
      <c r="J293" s="5"/>
      <c r="K293" s="14"/>
    </row>
    <row r="294" spans="2:11">
      <c r="B294" s="42">
        <v>204</v>
      </c>
      <c r="C294" s="21" t="s">
        <v>123</v>
      </c>
      <c r="D294" s="22" t="s">
        <v>588</v>
      </c>
      <c r="E294" s="323" t="s">
        <v>876</v>
      </c>
      <c r="F294" s="5"/>
      <c r="G294" s="389" t="s">
        <v>102</v>
      </c>
      <c r="H294" s="312" t="s">
        <v>901</v>
      </c>
      <c r="I294" s="5"/>
      <c r="J294" s="5"/>
      <c r="K294" s="14"/>
    </row>
    <row r="295" spans="2:11">
      <c r="B295" s="42">
        <v>203</v>
      </c>
      <c r="C295" s="21" t="s">
        <v>122</v>
      </c>
      <c r="D295" s="22" t="s">
        <v>565</v>
      </c>
      <c r="E295" s="323" t="s">
        <v>876</v>
      </c>
      <c r="F295" s="5"/>
      <c r="G295" s="389" t="s">
        <v>112</v>
      </c>
      <c r="H295" s="312" t="s">
        <v>901</v>
      </c>
      <c r="I295" s="5"/>
      <c r="J295" s="5"/>
      <c r="K295" s="14"/>
    </row>
    <row r="296" spans="2:11">
      <c r="B296" s="42">
        <v>176</v>
      </c>
      <c r="C296" s="21" t="s">
        <v>95</v>
      </c>
      <c r="D296" s="22" t="s">
        <v>617</v>
      </c>
      <c r="E296" s="323" t="s">
        <v>876</v>
      </c>
      <c r="F296" s="5"/>
      <c r="G296" s="389" t="s">
        <v>161</v>
      </c>
      <c r="H296" s="312" t="s">
        <v>901</v>
      </c>
      <c r="I296" s="5"/>
      <c r="J296" s="5"/>
      <c r="K296" s="14"/>
    </row>
    <row r="297" spans="2:11">
      <c r="B297" s="42">
        <v>175</v>
      </c>
      <c r="C297" s="21" t="s">
        <v>94</v>
      </c>
      <c r="D297" s="22" t="s">
        <v>604</v>
      </c>
      <c r="E297" s="323" t="s">
        <v>876</v>
      </c>
      <c r="F297" s="5"/>
      <c r="G297" s="389" t="s">
        <v>171</v>
      </c>
      <c r="H297" s="312" t="s">
        <v>901</v>
      </c>
      <c r="I297" s="5"/>
      <c r="J297" s="5"/>
      <c r="K297" s="14"/>
    </row>
    <row r="298" spans="2:11">
      <c r="B298" s="42">
        <v>114</v>
      </c>
      <c r="C298" s="21" t="s">
        <v>33</v>
      </c>
      <c r="D298" s="22" t="s">
        <v>585</v>
      </c>
      <c r="E298" s="323" t="s">
        <v>876</v>
      </c>
      <c r="F298" s="5"/>
      <c r="G298" s="389" t="s">
        <v>104</v>
      </c>
      <c r="H298" s="312" t="s">
        <v>901</v>
      </c>
      <c r="I298" s="5"/>
      <c r="J298" s="5"/>
      <c r="K298" s="14"/>
    </row>
    <row r="299" spans="2:11">
      <c r="B299" s="42">
        <v>115</v>
      </c>
      <c r="C299" s="21" t="s">
        <v>34</v>
      </c>
      <c r="D299" s="22" t="s">
        <v>603</v>
      </c>
      <c r="E299" s="323" t="s">
        <v>876</v>
      </c>
      <c r="F299" s="5"/>
      <c r="G299" s="389" t="s">
        <v>114</v>
      </c>
      <c r="H299" s="312" t="s">
        <v>901</v>
      </c>
      <c r="I299" s="5"/>
      <c r="J299" s="5"/>
      <c r="K299" s="14"/>
    </row>
    <row r="300" spans="2:11">
      <c r="B300" s="42">
        <v>122</v>
      </c>
      <c r="C300" s="21" t="s">
        <v>41</v>
      </c>
      <c r="D300" s="22" t="s">
        <v>540</v>
      </c>
      <c r="E300" s="323" t="s">
        <v>876</v>
      </c>
      <c r="F300" s="5"/>
      <c r="G300" s="389" t="s">
        <v>163</v>
      </c>
      <c r="H300" s="312" t="s">
        <v>901</v>
      </c>
      <c r="I300" s="5"/>
      <c r="J300" s="5"/>
      <c r="K300" s="14"/>
    </row>
    <row r="301" spans="2:11">
      <c r="B301" s="42">
        <v>123</v>
      </c>
      <c r="C301" s="21" t="s">
        <v>42</v>
      </c>
      <c r="D301" s="22" t="s">
        <v>561</v>
      </c>
      <c r="E301" s="323" t="s">
        <v>876</v>
      </c>
      <c r="F301" s="5"/>
      <c r="G301" s="389" t="s">
        <v>173</v>
      </c>
      <c r="H301" s="312" t="s">
        <v>901</v>
      </c>
      <c r="I301" s="5"/>
      <c r="J301" s="5"/>
      <c r="K301" s="14"/>
    </row>
    <row r="302" spans="2:11">
      <c r="B302" s="42">
        <v>112</v>
      </c>
      <c r="C302" s="21" t="s">
        <v>31</v>
      </c>
      <c r="D302" s="22" t="s">
        <v>539</v>
      </c>
      <c r="E302" s="323" t="s">
        <v>876</v>
      </c>
      <c r="F302" s="5"/>
      <c r="G302" s="389" t="s">
        <v>123</v>
      </c>
      <c r="H302" s="312" t="s">
        <v>901</v>
      </c>
      <c r="I302" s="5"/>
      <c r="J302" s="5"/>
      <c r="K302" s="14"/>
    </row>
    <row r="303" spans="2:11">
      <c r="B303" s="42">
        <v>113</v>
      </c>
      <c r="C303" s="21" t="s">
        <v>32</v>
      </c>
      <c r="D303" s="22" t="s">
        <v>560</v>
      </c>
      <c r="E303" s="323" t="s">
        <v>876</v>
      </c>
      <c r="F303" s="5"/>
      <c r="G303" s="389" t="s">
        <v>133</v>
      </c>
      <c r="H303" s="312" t="s">
        <v>901</v>
      </c>
      <c r="I303" s="5"/>
      <c r="J303" s="5"/>
      <c r="K303" s="14"/>
    </row>
    <row r="304" spans="2:11">
      <c r="B304" s="42">
        <v>141</v>
      </c>
      <c r="C304" s="21" t="s">
        <v>60</v>
      </c>
      <c r="D304" s="22" t="s">
        <v>526</v>
      </c>
      <c r="E304" s="323" t="s">
        <v>876</v>
      </c>
      <c r="F304" s="5"/>
      <c r="G304" s="389" t="s">
        <v>165</v>
      </c>
      <c r="H304" s="312" t="s">
        <v>901</v>
      </c>
      <c r="I304" s="5"/>
      <c r="J304" s="5"/>
      <c r="K304" s="14"/>
    </row>
    <row r="305" spans="2:11">
      <c r="B305" s="42">
        <v>131</v>
      </c>
      <c r="C305" s="21" t="s">
        <v>50</v>
      </c>
      <c r="D305" s="22" t="s">
        <v>525</v>
      </c>
      <c r="E305" s="323" t="s">
        <v>876</v>
      </c>
      <c r="F305" s="5"/>
      <c r="G305" s="389" t="s">
        <v>175</v>
      </c>
      <c r="H305" s="312" t="s">
        <v>901</v>
      </c>
      <c r="I305" s="5"/>
      <c r="J305" s="5"/>
      <c r="K305" s="14"/>
    </row>
    <row r="306" spans="2:11">
      <c r="B306" s="42">
        <v>121</v>
      </c>
      <c r="C306" s="21" t="s">
        <v>40</v>
      </c>
      <c r="D306" s="22" t="s">
        <v>524</v>
      </c>
      <c r="E306" s="323" t="s">
        <v>876</v>
      </c>
      <c r="F306" s="5"/>
      <c r="G306" s="389" t="s">
        <v>125</v>
      </c>
      <c r="H306" s="312" t="s">
        <v>901</v>
      </c>
      <c r="I306" s="5"/>
      <c r="J306" s="5"/>
      <c r="K306" s="14"/>
    </row>
    <row r="307" spans="2:11">
      <c r="B307" s="42">
        <v>111</v>
      </c>
      <c r="C307" s="21" t="s">
        <v>30</v>
      </c>
      <c r="D307" s="22" t="s">
        <v>523</v>
      </c>
      <c r="E307" s="323" t="s">
        <v>876</v>
      </c>
      <c r="F307" s="5"/>
      <c r="G307" s="389" t="s">
        <v>135</v>
      </c>
      <c r="H307" s="312" t="s">
        <v>901</v>
      </c>
      <c r="I307" s="5"/>
      <c r="J307" s="5"/>
      <c r="K307" s="14"/>
    </row>
    <row r="308" spans="2:11">
      <c r="B308" s="42">
        <v>132</v>
      </c>
      <c r="C308" s="21" t="s">
        <v>51</v>
      </c>
      <c r="D308" s="22" t="s">
        <v>541</v>
      </c>
      <c r="E308" s="323" t="s">
        <v>876</v>
      </c>
      <c r="F308" s="5"/>
      <c r="G308" s="389" t="s">
        <v>144</v>
      </c>
      <c r="H308" s="312" t="s">
        <v>901</v>
      </c>
      <c r="I308" s="5"/>
      <c r="J308" s="5"/>
      <c r="K308" s="14"/>
    </row>
    <row r="309" spans="2:11">
      <c r="B309" s="42">
        <v>133</v>
      </c>
      <c r="C309" s="21" t="s">
        <v>52</v>
      </c>
      <c r="D309" s="22" t="s">
        <v>562</v>
      </c>
      <c r="E309" s="323" t="s">
        <v>876</v>
      </c>
      <c r="F309" s="5"/>
      <c r="G309" s="389" t="s">
        <v>154</v>
      </c>
      <c r="H309" s="312" t="s">
        <v>901</v>
      </c>
      <c r="I309" s="5"/>
      <c r="J309" s="5"/>
      <c r="K309" s="14"/>
    </row>
    <row r="310" spans="2:11">
      <c r="B310" s="42">
        <v>124</v>
      </c>
      <c r="C310" s="21" t="s">
        <v>43</v>
      </c>
      <c r="D310" s="327" t="s">
        <v>465</v>
      </c>
      <c r="E310" s="323" t="s">
        <v>876</v>
      </c>
      <c r="F310" s="5"/>
      <c r="G310" s="387" t="s">
        <v>306</v>
      </c>
      <c r="H310" s="5"/>
      <c r="I310" s="5"/>
      <c r="J310" s="5"/>
      <c r="K310" s="14"/>
    </row>
    <row r="311" spans="2:11">
      <c r="B311" s="42">
        <v>125</v>
      </c>
      <c r="C311" s="21" t="s">
        <v>44</v>
      </c>
      <c r="D311" s="327" t="s">
        <v>456</v>
      </c>
      <c r="E311" s="323" t="s">
        <v>876</v>
      </c>
      <c r="F311" s="5"/>
      <c r="G311" s="387" t="s">
        <v>316</v>
      </c>
      <c r="H311" s="5"/>
      <c r="I311" s="5"/>
      <c r="J311" s="5"/>
      <c r="K311" s="14"/>
    </row>
    <row r="312" spans="2:11">
      <c r="B312" s="42">
        <v>162</v>
      </c>
      <c r="C312" s="21" t="s">
        <v>81</v>
      </c>
      <c r="D312" s="22" t="s">
        <v>433</v>
      </c>
      <c r="E312" s="5"/>
      <c r="F312" s="5"/>
      <c r="G312" s="5"/>
      <c r="H312" s="5"/>
      <c r="I312" s="5"/>
      <c r="J312" s="5"/>
      <c r="K312" s="14"/>
    </row>
    <row r="313" spans="2:11">
      <c r="B313" s="42">
        <v>161</v>
      </c>
      <c r="C313" s="21" t="s">
        <v>80</v>
      </c>
      <c r="D313" s="327" t="s">
        <v>327</v>
      </c>
      <c r="E313" s="323" t="s">
        <v>876</v>
      </c>
      <c r="F313" s="323"/>
      <c r="G313" s="387" t="s">
        <v>47</v>
      </c>
      <c r="H313" s="5"/>
      <c r="I313" s="5"/>
      <c r="J313" s="5"/>
      <c r="K313" s="14"/>
    </row>
    <row r="314" spans="2:11">
      <c r="B314" s="42">
        <v>164</v>
      </c>
      <c r="C314" s="21" t="s">
        <v>83</v>
      </c>
      <c r="D314" s="22" t="s">
        <v>458</v>
      </c>
      <c r="E314" s="5"/>
      <c r="F314" s="5"/>
      <c r="G314" s="5"/>
      <c r="H314" s="5"/>
      <c r="I314" s="5"/>
      <c r="J314" s="5"/>
      <c r="K314" s="14"/>
    </row>
    <row r="315" spans="2:11">
      <c r="B315" s="42">
        <v>163</v>
      </c>
      <c r="C315" s="21" t="s">
        <v>82</v>
      </c>
      <c r="D315" s="327" t="s">
        <v>448</v>
      </c>
      <c r="E315" s="323" t="s">
        <v>876</v>
      </c>
      <c r="F315" s="323"/>
      <c r="G315" s="388" t="s">
        <v>57</v>
      </c>
      <c r="H315" s="5"/>
      <c r="I315" s="5"/>
      <c r="J315" s="5"/>
      <c r="K315" s="14"/>
    </row>
    <row r="316" spans="2:11">
      <c r="B316" s="42">
        <v>181</v>
      </c>
      <c r="C316" s="21" t="s">
        <v>100</v>
      </c>
      <c r="D316" s="22" t="s">
        <v>432</v>
      </c>
      <c r="E316" s="5"/>
      <c r="F316" s="5"/>
      <c r="G316" s="5"/>
      <c r="H316" s="5"/>
      <c r="I316" s="5"/>
      <c r="J316" s="5"/>
      <c r="K316" s="14"/>
    </row>
    <row r="317" spans="2:11">
      <c r="B317" s="42">
        <v>191</v>
      </c>
      <c r="C317" s="21" t="s">
        <v>110</v>
      </c>
      <c r="D317" s="22" t="s">
        <v>432</v>
      </c>
      <c r="E317" s="5"/>
      <c r="F317" s="5"/>
      <c r="G317" s="5"/>
      <c r="H317" s="5"/>
      <c r="I317" s="5"/>
      <c r="J317" s="5"/>
      <c r="K317" s="14"/>
    </row>
    <row r="318" spans="2:11">
      <c r="B318" s="42">
        <v>201</v>
      </c>
      <c r="C318" s="21" t="s">
        <v>120</v>
      </c>
      <c r="D318" s="22" t="s">
        <v>432</v>
      </c>
      <c r="E318" s="5"/>
      <c r="F318" s="5"/>
      <c r="G318" s="5"/>
      <c r="H318" s="5"/>
      <c r="I318" s="5"/>
      <c r="J318" s="5"/>
      <c r="K318" s="14"/>
    </row>
    <row r="319" spans="2:11">
      <c r="B319" s="42">
        <v>211</v>
      </c>
      <c r="C319" s="21" t="s">
        <v>130</v>
      </c>
      <c r="D319" s="22" t="s">
        <v>432</v>
      </c>
      <c r="E319" s="5"/>
      <c r="F319" s="5"/>
      <c r="G319" s="5"/>
      <c r="H319" s="5"/>
      <c r="I319" s="5"/>
      <c r="J319" s="5"/>
      <c r="K319" s="14"/>
    </row>
    <row r="320" spans="2:11">
      <c r="B320" s="42">
        <v>185</v>
      </c>
      <c r="C320" s="21" t="s">
        <v>104</v>
      </c>
      <c r="D320" s="22" t="s">
        <v>432</v>
      </c>
      <c r="E320" s="5"/>
      <c r="F320" s="5"/>
      <c r="G320" s="5"/>
      <c r="H320" s="5"/>
      <c r="I320" s="5"/>
      <c r="J320" s="5"/>
      <c r="K320" s="14"/>
    </row>
    <row r="321" spans="2:11">
      <c r="B321" s="42">
        <v>195</v>
      </c>
      <c r="C321" s="21" t="s">
        <v>114</v>
      </c>
      <c r="D321" s="22" t="s">
        <v>432</v>
      </c>
      <c r="E321" s="5"/>
      <c r="F321" s="5"/>
      <c r="G321" s="5"/>
      <c r="H321" s="5"/>
      <c r="I321" s="5"/>
      <c r="J321" s="5"/>
      <c r="K321" s="14"/>
    </row>
    <row r="322" spans="2:11">
      <c r="B322" s="42">
        <v>205</v>
      </c>
      <c r="C322" s="21" t="s">
        <v>124</v>
      </c>
      <c r="D322" s="22" t="s">
        <v>432</v>
      </c>
      <c r="E322" s="5"/>
      <c r="F322" s="5"/>
      <c r="G322" s="5"/>
      <c r="H322" s="5"/>
      <c r="I322" s="5"/>
      <c r="J322" s="5"/>
      <c r="K322" s="14"/>
    </row>
    <row r="323" spans="2:11">
      <c r="B323" s="42">
        <v>215</v>
      </c>
      <c r="C323" s="21" t="s">
        <v>134</v>
      </c>
      <c r="D323" s="22" t="s">
        <v>432</v>
      </c>
      <c r="E323" s="5"/>
      <c r="F323" s="5"/>
      <c r="G323" s="5"/>
      <c r="H323" s="5"/>
      <c r="I323" s="5"/>
      <c r="J323" s="5"/>
      <c r="K323" s="14"/>
    </row>
    <row r="324" spans="2:11">
      <c r="B324" s="42">
        <v>186</v>
      </c>
      <c r="C324" s="21" t="s">
        <v>105</v>
      </c>
      <c r="D324" s="22" t="s">
        <v>432</v>
      </c>
      <c r="E324" s="5"/>
      <c r="F324" s="5"/>
      <c r="G324" s="5"/>
      <c r="H324" s="5"/>
      <c r="I324" s="5"/>
      <c r="J324" s="5"/>
      <c r="K324" s="14"/>
    </row>
    <row r="325" spans="2:11">
      <c r="B325" s="42">
        <v>196</v>
      </c>
      <c r="C325" s="21" t="s">
        <v>115</v>
      </c>
      <c r="D325" s="22" t="s">
        <v>432</v>
      </c>
      <c r="E325" s="5"/>
      <c r="F325" s="5"/>
      <c r="G325" s="5"/>
      <c r="H325" s="5"/>
      <c r="I325" s="5"/>
      <c r="J325" s="5"/>
      <c r="K325" s="14"/>
    </row>
    <row r="326" spans="2:11">
      <c r="B326" s="42">
        <v>151</v>
      </c>
      <c r="C326" s="21" t="s">
        <v>70</v>
      </c>
      <c r="D326" s="22" t="s">
        <v>326</v>
      </c>
      <c r="E326" s="5"/>
      <c r="F326" s="5"/>
      <c r="G326" s="5"/>
      <c r="H326" s="5"/>
      <c r="I326" s="5"/>
      <c r="J326" s="5"/>
      <c r="K326" s="14"/>
    </row>
    <row r="327" spans="2:11">
      <c r="B327" s="42">
        <v>172</v>
      </c>
      <c r="C327" s="21" t="s">
        <v>91</v>
      </c>
      <c r="D327" s="22" t="s">
        <v>434</v>
      </c>
      <c r="E327" s="5"/>
      <c r="F327" s="5"/>
      <c r="G327" s="5"/>
      <c r="H327" s="5"/>
      <c r="I327" s="5"/>
      <c r="J327" s="5"/>
      <c r="K327" s="14"/>
    </row>
    <row r="328" spans="2:11">
      <c r="B328" s="42">
        <v>171</v>
      </c>
      <c r="C328" s="21" t="s">
        <v>90</v>
      </c>
      <c r="D328" s="22" t="s">
        <v>328</v>
      </c>
      <c r="E328" s="5"/>
      <c r="F328" s="5"/>
      <c r="G328" s="5"/>
      <c r="H328" s="5"/>
      <c r="I328" s="5"/>
      <c r="J328" s="5"/>
      <c r="K328" s="14"/>
    </row>
    <row r="329" spans="2:11">
      <c r="B329" s="42">
        <v>142</v>
      </c>
      <c r="C329" s="21" t="s">
        <v>61</v>
      </c>
      <c r="D329" s="22" t="s">
        <v>329</v>
      </c>
      <c r="E329" s="5"/>
      <c r="F329" s="5"/>
      <c r="G329" s="5"/>
      <c r="H329" s="5"/>
      <c r="I329" s="5"/>
      <c r="J329" s="5"/>
      <c r="K329" s="14"/>
    </row>
    <row r="330" spans="2:11">
      <c r="B330" s="42">
        <v>152</v>
      </c>
      <c r="C330" s="21" t="s">
        <v>71</v>
      </c>
      <c r="D330" s="22" t="s">
        <v>329</v>
      </c>
      <c r="E330" s="5"/>
      <c r="F330" s="5"/>
      <c r="G330" s="5"/>
      <c r="H330" s="5"/>
      <c r="I330" s="5"/>
      <c r="J330" s="5"/>
      <c r="K330" s="14"/>
    </row>
    <row r="331" spans="2:11">
      <c r="B331" s="42">
        <v>143</v>
      </c>
      <c r="C331" s="21" t="s">
        <v>62</v>
      </c>
      <c r="D331" s="22" t="s">
        <v>329</v>
      </c>
      <c r="E331" s="5"/>
      <c r="F331" s="5"/>
      <c r="G331" s="5"/>
      <c r="H331" s="5"/>
      <c r="I331" s="5"/>
      <c r="J331" s="5"/>
      <c r="K331" s="14"/>
    </row>
    <row r="332" spans="2:11">
      <c r="B332" s="42">
        <v>153</v>
      </c>
      <c r="C332" s="21" t="s">
        <v>72</v>
      </c>
      <c r="D332" s="22" t="s">
        <v>329</v>
      </c>
      <c r="E332" s="5"/>
      <c r="F332" s="5"/>
      <c r="G332" s="5"/>
      <c r="H332" s="5"/>
      <c r="I332" s="5"/>
      <c r="J332" s="5"/>
      <c r="K332" s="14"/>
    </row>
    <row r="333" spans="2:11">
      <c r="B333" s="42">
        <v>144</v>
      </c>
      <c r="C333" s="21" t="s">
        <v>63</v>
      </c>
      <c r="D333" s="22" t="s">
        <v>329</v>
      </c>
      <c r="E333" s="5"/>
      <c r="F333" s="5"/>
      <c r="G333" s="5"/>
      <c r="H333" s="5"/>
      <c r="I333" s="5"/>
      <c r="J333" s="5"/>
      <c r="K333" s="14"/>
    </row>
    <row r="334" spans="2:11">
      <c r="B334" s="42">
        <v>154</v>
      </c>
      <c r="C334" s="21" t="s">
        <v>73</v>
      </c>
      <c r="D334" s="22" t="s">
        <v>329</v>
      </c>
      <c r="E334" s="5"/>
      <c r="F334" s="5"/>
      <c r="G334" s="5"/>
      <c r="H334" s="5"/>
      <c r="I334" s="5"/>
      <c r="J334" s="5"/>
      <c r="K334" s="14"/>
    </row>
    <row r="335" spans="2:11">
      <c r="B335" s="42">
        <v>145</v>
      </c>
      <c r="C335" s="21" t="s">
        <v>64</v>
      </c>
      <c r="D335" s="22" t="s">
        <v>329</v>
      </c>
      <c r="E335" s="5"/>
      <c r="F335" s="5"/>
      <c r="G335" s="5"/>
      <c r="H335" s="5"/>
      <c r="I335" s="5"/>
      <c r="J335" s="5"/>
      <c r="K335" s="14"/>
    </row>
    <row r="336" spans="2:11">
      <c r="B336" s="42">
        <v>155</v>
      </c>
      <c r="C336" s="21" t="s">
        <v>74</v>
      </c>
      <c r="D336" s="22" t="s">
        <v>329</v>
      </c>
      <c r="E336" s="5"/>
      <c r="F336" s="5"/>
      <c r="G336" s="5"/>
      <c r="H336" s="5"/>
      <c r="I336" s="5"/>
      <c r="J336" s="5"/>
      <c r="K336" s="14"/>
    </row>
    <row r="337" spans="2:11">
      <c r="B337" s="42">
        <v>165</v>
      </c>
      <c r="C337" s="21" t="s">
        <v>84</v>
      </c>
      <c r="D337" s="22" t="s">
        <v>329</v>
      </c>
      <c r="E337" s="5"/>
      <c r="F337" s="5"/>
      <c r="G337" s="5"/>
      <c r="H337" s="5"/>
      <c r="I337" s="5"/>
      <c r="J337" s="5"/>
      <c r="K337" s="14"/>
    </row>
    <row r="338" spans="2:11">
      <c r="B338" s="42">
        <v>146</v>
      </c>
      <c r="C338" s="21" t="s">
        <v>65</v>
      </c>
      <c r="D338" s="22" t="s">
        <v>329</v>
      </c>
      <c r="E338" s="5"/>
      <c r="F338" s="5"/>
      <c r="G338" s="5"/>
      <c r="H338" s="5"/>
      <c r="I338" s="5"/>
      <c r="J338" s="5"/>
      <c r="K338" s="14"/>
    </row>
    <row r="339" spans="2:11">
      <c r="B339" s="42">
        <v>156</v>
      </c>
      <c r="C339" s="21" t="s">
        <v>75</v>
      </c>
      <c r="D339" s="22" t="s">
        <v>329</v>
      </c>
      <c r="E339" s="5"/>
      <c r="F339" s="5"/>
      <c r="G339" s="5"/>
      <c r="H339" s="5"/>
      <c r="I339" s="5"/>
      <c r="J339" s="5"/>
      <c r="K339" s="14"/>
    </row>
    <row r="340" spans="2:11">
      <c r="B340" s="42">
        <v>166</v>
      </c>
      <c r="C340" s="21" t="s">
        <v>85</v>
      </c>
      <c r="D340" s="22" t="s">
        <v>329</v>
      </c>
      <c r="E340" s="5"/>
      <c r="F340" s="5"/>
      <c r="G340" s="5"/>
      <c r="H340" s="5"/>
      <c r="I340" s="5"/>
      <c r="J340" s="5"/>
      <c r="K340" s="14"/>
    </row>
    <row r="341" spans="2:11">
      <c r="B341" s="42">
        <v>212</v>
      </c>
      <c r="C341" s="21" t="s">
        <v>131</v>
      </c>
      <c r="D341" s="22" t="s">
        <v>436</v>
      </c>
      <c r="E341" s="5"/>
      <c r="F341" s="5"/>
      <c r="G341" s="5"/>
      <c r="H341" s="5"/>
      <c r="I341" s="5"/>
      <c r="J341" s="5"/>
      <c r="K341" s="14"/>
    </row>
    <row r="342" spans="2:11">
      <c r="B342" s="42">
        <v>202</v>
      </c>
      <c r="C342" s="21" t="s">
        <v>121</v>
      </c>
      <c r="D342" s="327" t="s">
        <v>435</v>
      </c>
      <c r="E342" s="323" t="s">
        <v>876</v>
      </c>
      <c r="F342" s="5"/>
      <c r="G342" s="388" t="s">
        <v>187</v>
      </c>
      <c r="H342" s="5"/>
      <c r="I342" s="5"/>
      <c r="J342" s="5"/>
      <c r="K342" s="14"/>
    </row>
    <row r="343" spans="2:11">
      <c r="B343" s="42">
        <v>174</v>
      </c>
      <c r="C343" s="21" t="s">
        <v>93</v>
      </c>
      <c r="D343" s="327" t="s">
        <v>459</v>
      </c>
      <c r="E343" s="323" t="s">
        <v>876</v>
      </c>
      <c r="F343" s="323"/>
      <c r="G343" s="387" t="s">
        <v>970</v>
      </c>
      <c r="H343" s="5"/>
      <c r="I343" s="5"/>
      <c r="J343" s="5"/>
      <c r="K343" s="14"/>
    </row>
    <row r="344" spans="2:11">
      <c r="B344" s="42">
        <v>173</v>
      </c>
      <c r="C344" s="21" t="s">
        <v>92</v>
      </c>
      <c r="D344" s="327" t="s">
        <v>449</v>
      </c>
      <c r="E344" s="323" t="s">
        <v>876</v>
      </c>
      <c r="F344" s="323"/>
      <c r="G344" s="387" t="s">
        <v>971</v>
      </c>
      <c r="H344" s="5"/>
      <c r="I344" s="5"/>
      <c r="J344" s="5"/>
      <c r="K344" s="14"/>
    </row>
    <row r="345" spans="2:11">
      <c r="B345" s="42">
        <v>135</v>
      </c>
      <c r="C345" s="21" t="s">
        <v>54</v>
      </c>
      <c r="D345" s="327" t="s">
        <v>457</v>
      </c>
      <c r="E345" s="323" t="s">
        <v>876</v>
      </c>
      <c r="F345" s="5"/>
      <c r="G345" s="320" t="s">
        <v>317</v>
      </c>
      <c r="H345" s="5"/>
      <c r="I345" s="5"/>
      <c r="J345" s="5"/>
      <c r="K345" s="14"/>
    </row>
    <row r="346" spans="2:11">
      <c r="B346" s="42">
        <v>134</v>
      </c>
      <c r="C346" s="21" t="s">
        <v>53</v>
      </c>
      <c r="D346" s="327" t="s">
        <v>466</v>
      </c>
      <c r="E346" s="323" t="s">
        <v>876</v>
      </c>
      <c r="F346" s="5"/>
      <c r="G346" s="387" t="s">
        <v>297</v>
      </c>
      <c r="H346" s="5"/>
      <c r="I346" s="5"/>
      <c r="J346" s="5"/>
      <c r="K346" s="14"/>
    </row>
    <row r="347" spans="2:11">
      <c r="B347" s="42">
        <v>332</v>
      </c>
      <c r="C347" s="21" t="s">
        <v>251</v>
      </c>
      <c r="D347" s="22" t="s">
        <v>549</v>
      </c>
      <c r="E347" s="323" t="s">
        <v>876</v>
      </c>
      <c r="F347" s="5"/>
      <c r="G347" s="389" t="s">
        <v>41</v>
      </c>
      <c r="H347" s="340" t="s">
        <v>924</v>
      </c>
      <c r="I347" s="5"/>
      <c r="J347" s="5"/>
      <c r="K347" s="14"/>
    </row>
    <row r="348" spans="2:11">
      <c r="B348" s="42">
        <v>331</v>
      </c>
      <c r="C348" s="21" t="s">
        <v>250</v>
      </c>
      <c r="D348" s="22" t="s">
        <v>529</v>
      </c>
      <c r="E348" s="323" t="s">
        <v>876</v>
      </c>
      <c r="F348" s="5"/>
      <c r="G348" s="389" t="s">
        <v>51</v>
      </c>
      <c r="H348" s="316" t="s">
        <v>924</v>
      </c>
      <c r="I348" s="5"/>
      <c r="J348" s="5"/>
      <c r="K348" s="14"/>
    </row>
    <row r="349" spans="2:11">
      <c r="B349" s="42">
        <v>322</v>
      </c>
      <c r="C349" s="21" t="s">
        <v>241</v>
      </c>
      <c r="D349" s="22" t="s">
        <v>548</v>
      </c>
      <c r="E349" s="323" t="s">
        <v>876</v>
      </c>
      <c r="F349" s="5"/>
      <c r="G349" s="389" t="s">
        <v>60</v>
      </c>
      <c r="H349" s="316" t="s">
        <v>924</v>
      </c>
      <c r="I349" s="5"/>
      <c r="J349" s="5"/>
      <c r="K349" s="14"/>
    </row>
    <row r="350" spans="2:11">
      <c r="B350" s="42">
        <v>321</v>
      </c>
      <c r="C350" s="21" t="s">
        <v>240</v>
      </c>
      <c r="D350" s="22" t="s">
        <v>528</v>
      </c>
      <c r="E350" s="323" t="s">
        <v>876</v>
      </c>
      <c r="F350" s="5"/>
      <c r="G350" s="389" t="s">
        <v>70</v>
      </c>
      <c r="H350" s="316" t="s">
        <v>924</v>
      </c>
      <c r="I350" s="5"/>
      <c r="J350" s="5"/>
      <c r="K350" s="14"/>
    </row>
    <row r="351" spans="2:11">
      <c r="B351" s="42">
        <v>312</v>
      </c>
      <c r="C351" s="21" t="s">
        <v>231</v>
      </c>
      <c r="D351" s="22" t="s">
        <v>547</v>
      </c>
      <c r="E351" s="323" t="s">
        <v>876</v>
      </c>
      <c r="F351" s="5"/>
      <c r="G351" s="389" t="s">
        <v>20</v>
      </c>
      <c r="H351" s="316" t="s">
        <v>924</v>
      </c>
      <c r="I351" s="5"/>
      <c r="J351" s="5"/>
      <c r="K351" s="14"/>
    </row>
    <row r="352" spans="2:11">
      <c r="B352" s="42">
        <v>311</v>
      </c>
      <c r="C352" s="21" t="s">
        <v>230</v>
      </c>
      <c r="D352" s="22" t="s">
        <v>527</v>
      </c>
      <c r="E352" s="323" t="s">
        <v>876</v>
      </c>
      <c r="F352" s="5"/>
      <c r="G352" s="389" t="s">
        <v>30</v>
      </c>
      <c r="H352" s="316" t="s">
        <v>924</v>
      </c>
      <c r="I352" s="5"/>
      <c r="J352" s="5"/>
      <c r="K352" s="14"/>
    </row>
    <row r="353" spans="2:11">
      <c r="B353" s="42">
        <v>313</v>
      </c>
      <c r="C353" s="21" t="s">
        <v>232</v>
      </c>
      <c r="D353" s="22" t="s">
        <v>572</v>
      </c>
      <c r="E353" s="323" t="s">
        <v>876</v>
      </c>
      <c r="F353" s="5"/>
      <c r="G353" s="389" t="s">
        <v>62</v>
      </c>
      <c r="H353" s="316" t="s">
        <v>924</v>
      </c>
      <c r="I353" s="5"/>
      <c r="J353" s="5"/>
      <c r="K353" s="14"/>
    </row>
    <row r="354" spans="2:11">
      <c r="B354" s="42">
        <v>323</v>
      </c>
      <c r="C354" s="21" t="s">
        <v>242</v>
      </c>
      <c r="D354" s="22" t="s">
        <v>573</v>
      </c>
      <c r="E354" s="323" t="s">
        <v>876</v>
      </c>
      <c r="F354" s="5"/>
      <c r="G354" s="389" t="s">
        <v>72</v>
      </c>
      <c r="H354" s="316" t="s">
        <v>924</v>
      </c>
      <c r="I354" s="5"/>
      <c r="J354" s="5"/>
      <c r="K354" s="14"/>
    </row>
    <row r="355" spans="2:11">
      <c r="B355" s="42">
        <v>303</v>
      </c>
      <c r="C355" s="21" t="s">
        <v>222</v>
      </c>
      <c r="D355" s="22" t="s">
        <v>571</v>
      </c>
      <c r="E355" s="323" t="s">
        <v>876</v>
      </c>
      <c r="F355" s="5"/>
      <c r="G355" s="389" t="s">
        <v>22</v>
      </c>
      <c r="H355" s="316" t="s">
        <v>924</v>
      </c>
      <c r="I355" s="5"/>
      <c r="J355" s="5"/>
      <c r="K355" s="14"/>
    </row>
    <row r="356" spans="2:11">
      <c r="B356" s="42">
        <v>293</v>
      </c>
      <c r="C356" s="21" t="s">
        <v>212</v>
      </c>
      <c r="D356" s="22" t="s">
        <v>570</v>
      </c>
      <c r="E356" s="323" t="s">
        <v>876</v>
      </c>
      <c r="F356" s="5"/>
      <c r="G356" s="389" t="s">
        <v>32</v>
      </c>
      <c r="H356" s="316" t="s">
        <v>924</v>
      </c>
      <c r="I356" s="5"/>
      <c r="J356" s="5"/>
      <c r="K356" s="14"/>
    </row>
    <row r="357" spans="2:11">
      <c r="B357" s="42">
        <v>324</v>
      </c>
      <c r="C357" s="21" t="s">
        <v>243</v>
      </c>
      <c r="D357" s="22" t="s">
        <v>594</v>
      </c>
      <c r="E357" s="323" t="s">
        <v>876</v>
      </c>
      <c r="F357" s="5"/>
      <c r="G357" s="389" t="s">
        <v>81</v>
      </c>
      <c r="H357" s="316" t="s">
        <v>924</v>
      </c>
      <c r="I357" s="5"/>
      <c r="J357" s="5"/>
      <c r="K357" s="14"/>
    </row>
    <row r="358" spans="2:11">
      <c r="B358" s="42">
        <v>314</v>
      </c>
      <c r="C358" s="21" t="s">
        <v>233</v>
      </c>
      <c r="D358" s="22" t="s">
        <v>593</v>
      </c>
      <c r="E358" s="323" t="s">
        <v>876</v>
      </c>
      <c r="F358" s="5"/>
      <c r="G358" s="389" t="s">
        <v>91</v>
      </c>
      <c r="H358" s="316" t="s">
        <v>924</v>
      </c>
      <c r="I358" s="5"/>
      <c r="J358" s="5"/>
      <c r="K358" s="14"/>
    </row>
    <row r="359" spans="2:11">
      <c r="B359" s="42">
        <v>244</v>
      </c>
      <c r="C359" s="21" t="s">
        <v>163</v>
      </c>
      <c r="D359" s="22" t="s">
        <v>592</v>
      </c>
      <c r="E359" s="323" t="s">
        <v>876</v>
      </c>
      <c r="F359" s="5"/>
      <c r="G359" s="389" t="s">
        <v>24</v>
      </c>
      <c r="H359" s="316" t="s">
        <v>924</v>
      </c>
      <c r="I359" s="5"/>
      <c r="J359" s="5"/>
      <c r="K359" s="14"/>
    </row>
    <row r="360" spans="2:11">
      <c r="B360" s="42">
        <v>245</v>
      </c>
      <c r="C360" s="21" t="s">
        <v>164</v>
      </c>
      <c r="D360" s="22" t="s">
        <v>607</v>
      </c>
      <c r="E360" s="323" t="s">
        <v>876</v>
      </c>
      <c r="F360" s="5"/>
      <c r="G360" s="389" t="s">
        <v>34</v>
      </c>
      <c r="H360" s="316" t="s">
        <v>924</v>
      </c>
      <c r="I360" s="5"/>
      <c r="J360" s="5"/>
      <c r="K360" s="14"/>
    </row>
    <row r="361" spans="2:11">
      <c r="B361" s="42">
        <v>234</v>
      </c>
      <c r="C361" s="21" t="s">
        <v>153</v>
      </c>
      <c r="D361" s="22" t="s">
        <v>591</v>
      </c>
      <c r="E361" s="323" t="s">
        <v>876</v>
      </c>
      <c r="F361" s="5"/>
      <c r="G361" s="389" t="s">
        <v>83</v>
      </c>
      <c r="H361" s="316" t="s">
        <v>924</v>
      </c>
      <c r="I361" s="5"/>
      <c r="J361" s="5"/>
      <c r="K361" s="14"/>
    </row>
    <row r="362" spans="2:11">
      <c r="B362" s="42">
        <v>235</v>
      </c>
      <c r="C362" s="21" t="s">
        <v>154</v>
      </c>
      <c r="D362" s="22" t="s">
        <v>606</v>
      </c>
      <c r="E362" s="323" t="s">
        <v>876</v>
      </c>
      <c r="F362" s="5"/>
      <c r="G362" s="389" t="s">
        <v>93</v>
      </c>
      <c r="H362" s="316" t="s">
        <v>924</v>
      </c>
      <c r="I362" s="5"/>
      <c r="J362" s="5"/>
      <c r="K362" s="14"/>
    </row>
    <row r="363" spans="2:11">
      <c r="B363" s="42">
        <v>224</v>
      </c>
      <c r="C363" s="21" t="s">
        <v>143</v>
      </c>
      <c r="D363" s="22" t="s">
        <v>590</v>
      </c>
      <c r="E363" s="323" t="s">
        <v>876</v>
      </c>
      <c r="F363" s="5"/>
      <c r="G363" s="389" t="s">
        <v>43</v>
      </c>
      <c r="H363" s="316" t="s">
        <v>924</v>
      </c>
      <c r="I363" s="5"/>
      <c r="J363" s="5"/>
      <c r="K363" s="14"/>
    </row>
    <row r="364" spans="2:11">
      <c r="B364" s="42">
        <v>225</v>
      </c>
      <c r="C364" s="21" t="s">
        <v>144</v>
      </c>
      <c r="D364" s="22" t="s">
        <v>605</v>
      </c>
      <c r="E364" s="323" t="s">
        <v>876</v>
      </c>
      <c r="F364" s="5"/>
      <c r="G364" s="389" t="s">
        <v>53</v>
      </c>
      <c r="H364" s="316" t="s">
        <v>924</v>
      </c>
      <c r="I364" s="5"/>
      <c r="J364" s="5"/>
      <c r="K364" s="14"/>
    </row>
    <row r="365" spans="2:11">
      <c r="B365" s="42">
        <v>252</v>
      </c>
      <c r="C365" s="21" t="s">
        <v>171</v>
      </c>
      <c r="D365" s="22" t="s">
        <v>546</v>
      </c>
      <c r="E365" s="323" t="s">
        <v>876</v>
      </c>
      <c r="F365" s="5"/>
      <c r="G365" s="389" t="s">
        <v>85</v>
      </c>
      <c r="H365" s="316" t="s">
        <v>924</v>
      </c>
      <c r="I365" s="5"/>
      <c r="J365" s="5"/>
      <c r="K365" s="14"/>
    </row>
    <row r="366" spans="2:11">
      <c r="B366" s="42">
        <v>253</v>
      </c>
      <c r="C366" s="21" t="s">
        <v>172</v>
      </c>
      <c r="D366" s="22" t="s">
        <v>569</v>
      </c>
      <c r="E366" s="323" t="s">
        <v>876</v>
      </c>
      <c r="F366" s="5"/>
      <c r="G366" s="389" t="s">
        <v>95</v>
      </c>
      <c r="H366" s="316" t="s">
        <v>924</v>
      </c>
      <c r="I366" s="5"/>
      <c r="J366" s="5"/>
      <c r="K366" s="14"/>
    </row>
    <row r="367" spans="2:11">
      <c r="B367" s="42">
        <v>242</v>
      </c>
      <c r="C367" s="21" t="s">
        <v>161</v>
      </c>
      <c r="D367" s="22" t="s">
        <v>545</v>
      </c>
      <c r="E367" s="323" t="s">
        <v>876</v>
      </c>
      <c r="F367" s="5"/>
      <c r="G367" s="389" t="s">
        <v>45</v>
      </c>
      <c r="H367" s="316" t="s">
        <v>924</v>
      </c>
      <c r="I367" s="5"/>
      <c r="J367" s="5"/>
      <c r="K367" s="14"/>
    </row>
    <row r="368" spans="2:11">
      <c r="B368" s="42">
        <v>243</v>
      </c>
      <c r="C368" s="21" t="s">
        <v>162</v>
      </c>
      <c r="D368" s="22" t="s">
        <v>568</v>
      </c>
      <c r="E368" s="323" t="s">
        <v>876</v>
      </c>
      <c r="F368" s="5"/>
      <c r="G368" s="389" t="s">
        <v>55</v>
      </c>
      <c r="H368" s="316" t="s">
        <v>924</v>
      </c>
      <c r="I368" s="5"/>
      <c r="J368" s="5"/>
      <c r="K368" s="14"/>
    </row>
    <row r="369" spans="2:11">
      <c r="B369" s="42">
        <v>222</v>
      </c>
      <c r="C369" s="21" t="s">
        <v>141</v>
      </c>
      <c r="D369" s="22" t="s">
        <v>544</v>
      </c>
      <c r="E369" s="323" t="s">
        <v>876</v>
      </c>
      <c r="F369" s="5"/>
      <c r="G369" s="389" t="s">
        <v>64</v>
      </c>
      <c r="H369" s="316" t="s">
        <v>924</v>
      </c>
      <c r="I369" s="5"/>
      <c r="J369" s="5"/>
      <c r="K369" s="14"/>
    </row>
    <row r="370" spans="2:11">
      <c r="B370" s="42">
        <v>223</v>
      </c>
      <c r="C370" s="21" t="s">
        <v>142</v>
      </c>
      <c r="D370" s="22" t="s">
        <v>567</v>
      </c>
      <c r="E370" s="323" t="s">
        <v>876</v>
      </c>
      <c r="F370" s="5"/>
      <c r="G370" s="389" t="s">
        <v>74</v>
      </c>
      <c r="H370" s="316" t="s">
        <v>924</v>
      </c>
      <c r="I370" s="5"/>
      <c r="J370" s="5"/>
      <c r="K370" s="14"/>
    </row>
    <row r="371" spans="2:11">
      <c r="B371" s="42">
        <v>254</v>
      </c>
      <c r="C371" s="21" t="s">
        <v>173</v>
      </c>
      <c r="D371" s="327" t="s">
        <v>460</v>
      </c>
      <c r="E371" s="323" t="s">
        <v>876</v>
      </c>
      <c r="F371" s="5"/>
      <c r="G371" s="387" t="s">
        <v>266</v>
      </c>
      <c r="H371" s="5"/>
      <c r="I371" s="5"/>
      <c r="J371" s="5"/>
      <c r="K371" s="14"/>
    </row>
    <row r="372" spans="2:11">
      <c r="B372" s="42">
        <v>255</v>
      </c>
      <c r="C372" s="21" t="s">
        <v>174</v>
      </c>
      <c r="D372" s="327" t="s">
        <v>467</v>
      </c>
      <c r="E372" s="323" t="s">
        <v>876</v>
      </c>
      <c r="F372" s="5"/>
      <c r="G372" s="387" t="s">
        <v>276</v>
      </c>
      <c r="H372" s="5"/>
      <c r="I372" s="5"/>
      <c r="J372" s="5"/>
      <c r="K372" s="14"/>
    </row>
    <row r="373" spans="2:11">
      <c r="B373" s="42">
        <v>275</v>
      </c>
      <c r="C373" s="21" t="s">
        <v>194</v>
      </c>
      <c r="D373" s="22" t="s">
        <v>468</v>
      </c>
      <c r="E373" s="5"/>
      <c r="F373" s="5"/>
      <c r="G373" s="5"/>
      <c r="H373" s="5"/>
      <c r="I373" s="5"/>
      <c r="J373" s="5"/>
      <c r="K373" s="14"/>
    </row>
    <row r="374" spans="2:11">
      <c r="B374" s="42">
        <v>274</v>
      </c>
      <c r="C374" s="21" t="s">
        <v>193</v>
      </c>
      <c r="D374" s="327" t="s">
        <v>461</v>
      </c>
      <c r="E374" s="323" t="s">
        <v>876</v>
      </c>
      <c r="F374" s="323"/>
      <c r="G374" s="388" t="s">
        <v>1040</v>
      </c>
      <c r="H374" s="5"/>
      <c r="I374" s="5"/>
      <c r="J374" s="5"/>
      <c r="K374" s="14"/>
    </row>
    <row r="375" spans="2:11">
      <c r="B375" s="42">
        <v>272</v>
      </c>
      <c r="C375" s="21" t="s">
        <v>191</v>
      </c>
      <c r="D375" s="22" t="s">
        <v>438</v>
      </c>
      <c r="E375" s="5"/>
      <c r="F375" s="5"/>
      <c r="G375" s="5"/>
      <c r="H375" s="5"/>
      <c r="I375" s="5"/>
      <c r="J375" s="5"/>
      <c r="K375" s="14"/>
    </row>
    <row r="376" spans="2:11">
      <c r="B376" s="42">
        <v>273</v>
      </c>
      <c r="C376" s="21" t="s">
        <v>192</v>
      </c>
      <c r="D376" s="327" t="s">
        <v>451</v>
      </c>
      <c r="E376" s="323" t="s">
        <v>876</v>
      </c>
      <c r="F376" s="323"/>
      <c r="G376" s="388" t="s">
        <v>10</v>
      </c>
      <c r="H376" s="5"/>
      <c r="I376" s="5"/>
      <c r="J376" s="5"/>
      <c r="K376" s="14"/>
    </row>
    <row r="377" spans="2:11">
      <c r="B377" s="42">
        <v>291</v>
      </c>
      <c r="C377" s="21" t="s">
        <v>210</v>
      </c>
      <c r="D377" s="22" t="s">
        <v>330</v>
      </c>
      <c r="E377" s="5"/>
      <c r="F377" s="5"/>
      <c r="G377" s="5"/>
      <c r="H377" s="5"/>
      <c r="I377" s="5"/>
      <c r="J377" s="5"/>
      <c r="K377" s="14"/>
    </row>
    <row r="378" spans="2:11">
      <c r="B378" s="42">
        <v>292</v>
      </c>
      <c r="C378" s="21" t="s">
        <v>211</v>
      </c>
      <c r="D378" s="22" t="s">
        <v>330</v>
      </c>
      <c r="E378" s="5"/>
      <c r="F378" s="5"/>
      <c r="G378" s="5"/>
      <c r="H378" s="5"/>
      <c r="I378" s="5"/>
      <c r="J378" s="5"/>
      <c r="K378" s="14"/>
    </row>
    <row r="379" spans="2:11">
      <c r="B379" s="42">
        <v>295</v>
      </c>
      <c r="C379" s="21" t="s">
        <v>214</v>
      </c>
      <c r="D379" s="22" t="s">
        <v>330</v>
      </c>
      <c r="E379" s="5"/>
      <c r="F379" s="5"/>
      <c r="G379" s="5"/>
      <c r="H379" s="5"/>
      <c r="I379" s="5"/>
      <c r="J379" s="5"/>
      <c r="K379" s="14"/>
    </row>
    <row r="380" spans="2:11">
      <c r="B380" s="42">
        <v>305</v>
      </c>
      <c r="C380" s="21" t="s">
        <v>224</v>
      </c>
      <c r="D380" s="22" t="s">
        <v>330</v>
      </c>
      <c r="E380" s="5"/>
      <c r="F380" s="5"/>
      <c r="G380" s="5"/>
      <c r="H380" s="5"/>
      <c r="I380" s="5"/>
      <c r="J380" s="5"/>
      <c r="K380" s="14"/>
    </row>
    <row r="381" spans="2:11">
      <c r="B381" s="42">
        <v>315</v>
      </c>
      <c r="C381" s="21" t="s">
        <v>234</v>
      </c>
      <c r="D381" s="22" t="s">
        <v>330</v>
      </c>
      <c r="E381" s="5"/>
      <c r="F381" s="5"/>
      <c r="G381" s="5"/>
      <c r="H381" s="5"/>
      <c r="I381" s="5"/>
      <c r="J381" s="5"/>
      <c r="K381" s="14"/>
    </row>
    <row r="382" spans="2:11">
      <c r="B382" s="42">
        <v>325</v>
      </c>
      <c r="C382" s="21" t="s">
        <v>244</v>
      </c>
      <c r="D382" s="22" t="s">
        <v>330</v>
      </c>
      <c r="E382" s="5"/>
      <c r="F382" s="5"/>
      <c r="G382" s="5"/>
      <c r="H382" s="5"/>
      <c r="I382" s="5"/>
      <c r="J382" s="5"/>
      <c r="K382" s="14"/>
    </row>
    <row r="383" spans="2:11">
      <c r="B383" s="42">
        <v>261</v>
      </c>
      <c r="C383" s="21" t="s">
        <v>180</v>
      </c>
      <c r="D383" s="22" t="s">
        <v>331</v>
      </c>
      <c r="E383" s="5"/>
      <c r="F383" s="5"/>
      <c r="G383" s="5"/>
      <c r="H383" s="5"/>
      <c r="I383" s="5"/>
      <c r="J383" s="5"/>
      <c r="K383" s="14"/>
    </row>
    <row r="384" spans="2:11">
      <c r="B384" s="42">
        <v>281</v>
      </c>
      <c r="C384" s="21" t="s">
        <v>200</v>
      </c>
      <c r="D384" s="22" t="s">
        <v>333</v>
      </c>
      <c r="E384" s="5"/>
      <c r="F384" s="5"/>
      <c r="G384" s="5"/>
      <c r="H384" s="5"/>
      <c r="I384" s="5"/>
      <c r="J384" s="5"/>
      <c r="K384" s="14"/>
    </row>
    <row r="385" spans="2:11">
      <c r="B385" s="42">
        <v>271</v>
      </c>
      <c r="C385" s="21" t="s">
        <v>190</v>
      </c>
      <c r="D385" s="22" t="s">
        <v>332</v>
      </c>
      <c r="E385" s="5"/>
      <c r="F385" s="5"/>
      <c r="G385" s="5"/>
      <c r="H385" s="5"/>
      <c r="I385" s="5"/>
      <c r="J385" s="5"/>
      <c r="K385" s="14"/>
    </row>
    <row r="386" spans="2:11">
      <c r="B386" s="42">
        <v>221</v>
      </c>
      <c r="C386" s="21" t="s">
        <v>140</v>
      </c>
      <c r="D386" s="22" t="s">
        <v>334</v>
      </c>
      <c r="E386" s="5"/>
      <c r="F386" s="5"/>
      <c r="G386" s="5"/>
      <c r="H386" s="5"/>
      <c r="I386" s="5"/>
      <c r="J386" s="5"/>
      <c r="K386" s="14"/>
    </row>
    <row r="387" spans="2:11">
      <c r="B387" s="42">
        <v>231</v>
      </c>
      <c r="C387" s="21" t="s">
        <v>150</v>
      </c>
      <c r="D387" s="22" t="s">
        <v>334</v>
      </c>
      <c r="E387" s="5"/>
      <c r="F387" s="5"/>
      <c r="G387" s="5"/>
      <c r="H387" s="5"/>
      <c r="I387" s="5"/>
      <c r="J387" s="5"/>
      <c r="K387" s="14"/>
    </row>
    <row r="388" spans="2:11">
      <c r="B388" s="42">
        <v>241</v>
      </c>
      <c r="C388" s="21" t="s">
        <v>160</v>
      </c>
      <c r="D388" s="22" t="s">
        <v>334</v>
      </c>
      <c r="E388" s="5"/>
      <c r="F388" s="5"/>
      <c r="G388" s="5"/>
      <c r="H388" s="5"/>
      <c r="I388" s="5"/>
      <c r="J388" s="5"/>
      <c r="K388" s="14"/>
    </row>
    <row r="389" spans="2:11">
      <c r="B389" s="42">
        <v>251</v>
      </c>
      <c r="C389" s="21" t="s">
        <v>170</v>
      </c>
      <c r="D389" s="22" t="s">
        <v>334</v>
      </c>
      <c r="E389" s="5"/>
      <c r="F389" s="5"/>
      <c r="G389" s="5"/>
      <c r="H389" s="5"/>
      <c r="I389" s="5"/>
      <c r="J389" s="5"/>
      <c r="K389" s="14"/>
    </row>
    <row r="390" spans="2:11">
      <c r="B390" s="42">
        <v>262</v>
      </c>
      <c r="C390" s="21" t="s">
        <v>181</v>
      </c>
      <c r="D390" s="22" t="s">
        <v>334</v>
      </c>
      <c r="E390" s="5"/>
      <c r="F390" s="5"/>
      <c r="G390" s="5"/>
      <c r="H390" s="5"/>
      <c r="I390" s="5"/>
      <c r="J390" s="5"/>
      <c r="K390" s="14"/>
    </row>
    <row r="391" spans="2:11">
      <c r="B391" s="42">
        <v>263</v>
      </c>
      <c r="C391" s="21" t="s">
        <v>182</v>
      </c>
      <c r="D391" s="22" t="s">
        <v>334</v>
      </c>
      <c r="E391" s="5"/>
      <c r="F391" s="5"/>
      <c r="G391" s="5"/>
      <c r="H391" s="5"/>
      <c r="I391" s="5"/>
      <c r="J391" s="5"/>
      <c r="K391" s="14"/>
    </row>
    <row r="392" spans="2:11">
      <c r="B392" s="42">
        <v>264</v>
      </c>
      <c r="C392" s="21" t="s">
        <v>183</v>
      </c>
      <c r="D392" s="22" t="s">
        <v>334</v>
      </c>
      <c r="E392" s="5"/>
      <c r="F392" s="5"/>
      <c r="G392" s="5"/>
      <c r="H392" s="5"/>
      <c r="I392" s="5"/>
      <c r="J392" s="5"/>
      <c r="K392" s="14"/>
    </row>
    <row r="393" spans="2:11">
      <c r="B393" s="42">
        <v>265</v>
      </c>
      <c r="C393" s="21" t="s">
        <v>184</v>
      </c>
      <c r="D393" s="22" t="s">
        <v>334</v>
      </c>
      <c r="E393" s="5"/>
      <c r="F393" s="5"/>
      <c r="G393" s="5"/>
      <c r="H393" s="5"/>
      <c r="I393" s="5"/>
      <c r="J393" s="5"/>
      <c r="K393" s="14"/>
    </row>
    <row r="394" spans="2:11">
      <c r="B394" s="42">
        <v>302</v>
      </c>
      <c r="C394" s="21" t="s">
        <v>221</v>
      </c>
      <c r="D394" s="22" t="s">
        <v>439</v>
      </c>
      <c r="E394" s="5"/>
      <c r="F394" s="5"/>
      <c r="G394" s="5"/>
      <c r="H394" s="5"/>
      <c r="I394" s="5"/>
      <c r="J394" s="5"/>
      <c r="K394" s="14"/>
    </row>
    <row r="395" spans="2:11">
      <c r="B395" s="42">
        <v>301</v>
      </c>
      <c r="C395" s="21" t="s">
        <v>220</v>
      </c>
      <c r="D395" s="327" t="s">
        <v>335</v>
      </c>
      <c r="E395" s="323" t="s">
        <v>876</v>
      </c>
      <c r="F395" s="5"/>
      <c r="G395" s="387" t="s">
        <v>1039</v>
      </c>
      <c r="H395" s="5"/>
      <c r="I395" s="5"/>
      <c r="J395" s="5"/>
      <c r="K395" s="14"/>
    </row>
    <row r="396" spans="2:11">
      <c r="B396" s="42">
        <v>304</v>
      </c>
      <c r="C396" s="21" t="s">
        <v>223</v>
      </c>
      <c r="D396" s="327" t="s">
        <v>463</v>
      </c>
      <c r="E396" s="323" t="s">
        <v>876</v>
      </c>
      <c r="F396" s="323"/>
      <c r="G396" s="323" t="s">
        <v>972</v>
      </c>
      <c r="H396" s="5"/>
      <c r="I396" s="5"/>
      <c r="J396" s="5"/>
      <c r="K396" s="14"/>
    </row>
    <row r="397" spans="2:11">
      <c r="B397" s="42">
        <v>294</v>
      </c>
      <c r="C397" s="21" t="s">
        <v>213</v>
      </c>
      <c r="D397" s="327" t="s">
        <v>462</v>
      </c>
      <c r="E397" s="323" t="s">
        <v>876</v>
      </c>
      <c r="F397" s="323"/>
      <c r="G397" s="323" t="s">
        <v>973</v>
      </c>
      <c r="H397" s="5"/>
      <c r="I397" s="5"/>
      <c r="J397" s="5"/>
      <c r="K397" s="14"/>
    </row>
    <row r="398" spans="2:11">
      <c r="B398" s="42">
        <v>232</v>
      </c>
      <c r="C398" s="21" t="s">
        <v>151</v>
      </c>
      <c r="D398" s="327" t="s">
        <v>450</v>
      </c>
      <c r="E398" s="323" t="s">
        <v>876</v>
      </c>
      <c r="F398" s="5"/>
      <c r="G398" s="319" t="s">
        <v>317</v>
      </c>
      <c r="H398" s="5"/>
      <c r="I398" s="5"/>
      <c r="J398" s="5"/>
      <c r="K398" s="14"/>
    </row>
    <row r="399" spans="2:11">
      <c r="B399" s="42">
        <v>233</v>
      </c>
      <c r="C399" s="21" t="s">
        <v>152</v>
      </c>
      <c r="D399" s="327" t="s">
        <v>437</v>
      </c>
      <c r="E399" s="323" t="s">
        <v>876</v>
      </c>
      <c r="F399" s="5"/>
      <c r="G399" s="387" t="s">
        <v>287</v>
      </c>
      <c r="H399" s="5"/>
      <c r="I399" s="5"/>
      <c r="J399" s="5"/>
      <c r="K399" s="14"/>
    </row>
    <row r="400" spans="2:11">
      <c r="B400" s="213">
        <v>282</v>
      </c>
      <c r="C400" s="214" t="s">
        <v>201</v>
      </c>
      <c r="D400" s="267" t="s">
        <v>454</v>
      </c>
      <c r="E400" s="199"/>
      <c r="F400" s="216"/>
      <c r="G400" s="216"/>
      <c r="H400" s="199"/>
      <c r="I400" s="216"/>
      <c r="J400" s="216"/>
      <c r="K400" s="217"/>
    </row>
    <row r="401" spans="2:11">
      <c r="B401" s="213">
        <v>283</v>
      </c>
      <c r="C401" s="214" t="s">
        <v>202</v>
      </c>
      <c r="D401" s="267" t="s">
        <v>454</v>
      </c>
      <c r="E401" s="199"/>
      <c r="F401" s="216"/>
      <c r="G401" s="216"/>
      <c r="H401" s="199"/>
      <c r="I401" s="216"/>
      <c r="J401" s="216"/>
      <c r="K401" s="217"/>
    </row>
    <row r="402" spans="2:11">
      <c r="B402" s="213">
        <v>284</v>
      </c>
      <c r="C402" s="214" t="s">
        <v>203</v>
      </c>
      <c r="D402" s="267" t="s">
        <v>454</v>
      </c>
      <c r="E402" s="199"/>
      <c r="F402" s="216"/>
      <c r="G402" s="216"/>
      <c r="H402" s="199"/>
      <c r="I402" s="216"/>
      <c r="J402" s="216"/>
      <c r="K402" s="217"/>
    </row>
    <row r="403" spans="2:11">
      <c r="B403" s="213">
        <v>285</v>
      </c>
      <c r="C403" s="214" t="s">
        <v>204</v>
      </c>
      <c r="D403" s="267" t="s">
        <v>454</v>
      </c>
      <c r="E403" s="199"/>
      <c r="F403" s="216"/>
      <c r="G403" s="216"/>
      <c r="H403" s="199"/>
      <c r="I403" s="216"/>
      <c r="J403" s="216"/>
      <c r="K403" s="217"/>
    </row>
    <row r="404" spans="2:11">
      <c r="B404" s="213">
        <v>335</v>
      </c>
      <c r="C404" s="214" t="s">
        <v>254</v>
      </c>
      <c r="D404" s="267" t="s">
        <v>454</v>
      </c>
      <c r="E404" s="199"/>
      <c r="F404" s="216"/>
      <c r="G404" s="216"/>
      <c r="H404" s="199"/>
      <c r="I404" s="216"/>
      <c r="J404" s="216"/>
      <c r="K404" s="217"/>
    </row>
    <row r="405" spans="2:11" ht="16.5" thickBot="1">
      <c r="B405" s="298">
        <v>99</v>
      </c>
      <c r="C405" s="315" t="s">
        <v>11</v>
      </c>
      <c r="D405" s="300" t="s">
        <v>454</v>
      </c>
      <c r="E405" s="290"/>
      <c r="F405" s="301"/>
      <c r="G405" s="301"/>
      <c r="H405" s="290"/>
      <c r="I405" s="301"/>
      <c r="J405" s="301"/>
      <c r="K405" s="302"/>
    </row>
  </sheetData>
  <sortState ref="B6:K405">
    <sortCondition ref="D6:D405"/>
  </sortState>
  <mergeCells count="11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</mergeCells>
  <conditionalFormatting sqref="B401:D405 F401:G405 I401:K405">
    <cfRule type="expression" dxfId="116" priority="243">
      <formula>MOD(ROW(),2)=0</formula>
    </cfRule>
  </conditionalFormatting>
  <conditionalFormatting sqref="F121:F122 F221:F222 F124 F126 F224 F226 F313 F315 F374 F376 B6:D400 F399 F346:F372 F249 F156 F395 F286:F311 F213:F218 F205:F210 F197:F202 F189:F194 F44:G120 F34:G35 F24:G25 F14:G15 F396:G397 F377:G394 F342:F344 F316:G341 F245:F247 F227:G244 F152:F154 F127:G151 F400:G400 F250:G285 F157:G188 F375:G375 F314:G314 F225:G225 F125:G125 F373:G373 F223:G223 F123:G123 F312:G312 F219:G220 F211:G212 F203:G204 F195:G196 I6:K400 F6:F13 F16:F23 F26:F33 F36:F43">
    <cfRule type="expression" dxfId="115" priority="241">
      <formula>MOD(ROW(),2)=0</formula>
    </cfRule>
  </conditionalFormatting>
  <conditionalFormatting sqref="G313">
    <cfRule type="expression" dxfId="114" priority="214">
      <formula>MOD(ROW(),2)=0</formula>
    </cfRule>
  </conditionalFormatting>
  <conditionalFormatting sqref="G124">
    <cfRule type="expression" dxfId="113" priority="222">
      <formula>MOD(ROW(),2)=0</formula>
    </cfRule>
  </conditionalFormatting>
  <conditionalFormatting sqref="F345">
    <cfRule type="expression" dxfId="112" priority="190">
      <formula>MOD(ROW(),2)=0</formula>
    </cfRule>
  </conditionalFormatting>
  <conditionalFormatting sqref="G345">
    <cfRule type="expression" dxfId="111" priority="189">
      <formula>MOD(ROW(),2)=0</formula>
    </cfRule>
  </conditionalFormatting>
  <conditionalFormatting sqref="F398">
    <cfRule type="expression" dxfId="110" priority="187">
      <formula>MOD(ROW(),2)=0</formula>
    </cfRule>
  </conditionalFormatting>
  <conditionalFormatting sqref="G398">
    <cfRule type="expression" dxfId="109" priority="186">
      <formula>MOD(ROW(),2)=0</formula>
    </cfRule>
  </conditionalFormatting>
  <conditionalFormatting sqref="G156">
    <cfRule type="expression" dxfId="108" priority="200">
      <formula>MOD(ROW(),2)=0</formula>
    </cfRule>
  </conditionalFormatting>
  <conditionalFormatting sqref="G399">
    <cfRule type="expression" dxfId="107" priority="197">
      <formula>MOD(ROW(),2)=0</formula>
    </cfRule>
  </conditionalFormatting>
  <conditionalFormatting sqref="F155">
    <cfRule type="expression" dxfId="106" priority="196">
      <formula>MOD(ROW(),2)=0</formula>
    </cfRule>
  </conditionalFormatting>
  <conditionalFormatting sqref="G155">
    <cfRule type="expression" dxfId="105" priority="195">
      <formula>MOD(ROW(),2)=0</formula>
    </cfRule>
  </conditionalFormatting>
  <conditionalFormatting sqref="F248">
    <cfRule type="expression" dxfId="104" priority="193">
      <formula>MOD(ROW(),2)=0</formula>
    </cfRule>
  </conditionalFormatting>
  <conditionalFormatting sqref="G248">
    <cfRule type="expression" dxfId="103" priority="192">
      <formula>MOD(ROW(),2)=0</formula>
    </cfRule>
  </conditionalFormatting>
  <conditionalFormatting sqref="G121:G122">
    <cfRule type="expression" dxfId="102" priority="132">
      <formula>MOD(ROW(),2)=0</formula>
    </cfRule>
  </conditionalFormatting>
  <conditionalFormatting sqref="E124">
    <cfRule type="expression" dxfId="101" priority="113">
      <formula>MOD(ROW(),2)=0</formula>
    </cfRule>
  </conditionalFormatting>
  <conditionalFormatting sqref="G221:G222">
    <cfRule type="expression" dxfId="100" priority="130">
      <formula>MOD(ROW(),2)=0</formula>
    </cfRule>
  </conditionalFormatting>
  <conditionalFormatting sqref="E401:E405">
    <cfRule type="expression" dxfId="99" priority="116">
      <formula>MOD(ROW(),2)=0</formula>
    </cfRule>
  </conditionalFormatting>
  <conditionalFormatting sqref="E312 E123 E223 E373 E125 E225 E314 E375 E6:E120 E127:E154 E156:E220 E227:E247 E249:E309 E316:E344 E346:E370 E377:E397 E399:E400">
    <cfRule type="expression" dxfId="98" priority="115">
      <formula>MOD(ROW(),2)=0</formula>
    </cfRule>
  </conditionalFormatting>
  <conditionalFormatting sqref="E126">
    <cfRule type="expression" dxfId="97" priority="112">
      <formula>MOD(ROW(),2)=0</formula>
    </cfRule>
  </conditionalFormatting>
  <conditionalFormatting sqref="H401:H405">
    <cfRule type="expression" dxfId="96" priority="98">
      <formula>MOD(ROW(),2)=0</formula>
    </cfRule>
  </conditionalFormatting>
  <conditionalFormatting sqref="H44:H188 H219:H285 H6:H25 H310:H400">
    <cfRule type="expression" dxfId="95" priority="97">
      <formula>MOD(ROW(),2)=0</formula>
    </cfRule>
  </conditionalFormatting>
  <conditionalFormatting sqref="H189:H218">
    <cfRule type="expression" dxfId="94" priority="96">
      <formula>MOD(ROW(),2)=0</formula>
    </cfRule>
  </conditionalFormatting>
  <conditionalFormatting sqref="H286:H309">
    <cfRule type="expression" dxfId="93" priority="92">
      <formula>MOD(ROW(),2)=0</formula>
    </cfRule>
  </conditionalFormatting>
  <conditionalFormatting sqref="H26:H43">
    <cfRule type="expression" dxfId="92" priority="88">
      <formula>MOD(ROW(),2)=0</formula>
    </cfRule>
  </conditionalFormatting>
  <conditionalFormatting sqref="G12:G13">
    <cfRule type="expression" dxfId="91" priority="87">
      <formula>MOD(ROW(),2)=0</formula>
    </cfRule>
  </conditionalFormatting>
  <conditionalFormatting sqref="G10:G11">
    <cfRule type="expression" dxfId="90" priority="86">
      <formula>MOD(ROW(),2)=0</formula>
    </cfRule>
  </conditionalFormatting>
  <conditionalFormatting sqref="G8:G9">
    <cfRule type="expression" dxfId="89" priority="85">
      <formula>MOD(ROW(),2)=0</formula>
    </cfRule>
  </conditionalFormatting>
  <conditionalFormatting sqref="G6:G7">
    <cfRule type="expression" dxfId="88" priority="84">
      <formula>MOD(ROW(),2)=0</formula>
    </cfRule>
  </conditionalFormatting>
  <conditionalFormatting sqref="G22:G23">
    <cfRule type="expression" dxfId="87" priority="83">
      <formula>MOD(ROW(),2)=0</formula>
    </cfRule>
  </conditionalFormatting>
  <conditionalFormatting sqref="G20:G21">
    <cfRule type="expression" dxfId="86" priority="82">
      <formula>MOD(ROW(),2)=0</formula>
    </cfRule>
  </conditionalFormatting>
  <conditionalFormatting sqref="G18:G19">
    <cfRule type="expression" dxfId="85" priority="81">
      <formula>MOD(ROW(),2)=0</formula>
    </cfRule>
  </conditionalFormatting>
  <conditionalFormatting sqref="G16:G17">
    <cfRule type="expression" dxfId="84" priority="80">
      <formula>MOD(ROW(),2)=0</formula>
    </cfRule>
  </conditionalFormatting>
  <conditionalFormatting sqref="G32:G33">
    <cfRule type="expression" dxfId="83" priority="79">
      <formula>MOD(ROW(),2)=0</formula>
    </cfRule>
  </conditionalFormatting>
  <conditionalFormatting sqref="G30:G31">
    <cfRule type="expression" dxfId="82" priority="78">
      <formula>MOD(ROW(),2)=0</formula>
    </cfRule>
  </conditionalFormatting>
  <conditionalFormatting sqref="G28:G29">
    <cfRule type="expression" dxfId="81" priority="77">
      <formula>MOD(ROW(),2)=0</formula>
    </cfRule>
  </conditionalFormatting>
  <conditionalFormatting sqref="G26:G27">
    <cfRule type="expression" dxfId="80" priority="76">
      <formula>MOD(ROW(),2)=0</formula>
    </cfRule>
  </conditionalFormatting>
  <conditionalFormatting sqref="G42:G43">
    <cfRule type="expression" dxfId="79" priority="75">
      <formula>MOD(ROW(),2)=0</formula>
    </cfRule>
  </conditionalFormatting>
  <conditionalFormatting sqref="G40:G41">
    <cfRule type="expression" dxfId="78" priority="74">
      <formula>MOD(ROW(),2)=0</formula>
    </cfRule>
  </conditionalFormatting>
  <conditionalFormatting sqref="G38:G39">
    <cfRule type="expression" dxfId="77" priority="73">
      <formula>MOD(ROW(),2)=0</formula>
    </cfRule>
  </conditionalFormatting>
  <conditionalFormatting sqref="G36:G37">
    <cfRule type="expression" dxfId="76" priority="72">
      <formula>MOD(ROW(),2)=0</formula>
    </cfRule>
  </conditionalFormatting>
  <conditionalFormatting sqref="G193:G194">
    <cfRule type="expression" dxfId="75" priority="71">
      <formula>MOD(ROW(),2)=0</formula>
    </cfRule>
  </conditionalFormatting>
  <conditionalFormatting sqref="G191:G192">
    <cfRule type="expression" dxfId="74" priority="70">
      <formula>MOD(ROW(),2)=0</formula>
    </cfRule>
  </conditionalFormatting>
  <conditionalFormatting sqref="G189:G190">
    <cfRule type="expression" dxfId="73" priority="69">
      <formula>MOD(ROW(),2)=0</formula>
    </cfRule>
  </conditionalFormatting>
  <conditionalFormatting sqref="G201:G202">
    <cfRule type="expression" dxfId="72" priority="68">
      <formula>MOD(ROW(),2)=0</formula>
    </cfRule>
  </conditionalFormatting>
  <conditionalFormatting sqref="G199:G200">
    <cfRule type="expression" dxfId="71" priority="67">
      <formula>MOD(ROW(),2)=0</formula>
    </cfRule>
  </conditionalFormatting>
  <conditionalFormatting sqref="G197:G198">
    <cfRule type="expression" dxfId="70" priority="66">
      <formula>MOD(ROW(),2)=0</formula>
    </cfRule>
  </conditionalFormatting>
  <conditionalFormatting sqref="G209:G210">
    <cfRule type="expression" dxfId="69" priority="65">
      <formula>MOD(ROW(),2)=0</formula>
    </cfRule>
  </conditionalFormatting>
  <conditionalFormatting sqref="G207:G208">
    <cfRule type="expression" dxfId="68" priority="64">
      <formula>MOD(ROW(),2)=0</formula>
    </cfRule>
  </conditionalFormatting>
  <conditionalFormatting sqref="G205:G206">
    <cfRule type="expression" dxfId="67" priority="63">
      <formula>MOD(ROW(),2)=0</formula>
    </cfRule>
  </conditionalFormatting>
  <conditionalFormatting sqref="G217:G218">
    <cfRule type="expression" dxfId="66" priority="62">
      <formula>MOD(ROW(),2)=0</formula>
    </cfRule>
  </conditionalFormatting>
  <conditionalFormatting sqref="G215:G216">
    <cfRule type="expression" dxfId="65" priority="61">
      <formula>MOD(ROW(),2)=0</formula>
    </cfRule>
  </conditionalFormatting>
  <conditionalFormatting sqref="G213:G214">
    <cfRule type="expression" dxfId="64" priority="60">
      <formula>MOD(ROW(),2)=0</formula>
    </cfRule>
  </conditionalFormatting>
  <conditionalFormatting sqref="G290:G291">
    <cfRule type="expression" dxfId="63" priority="59">
      <formula>MOD(ROW(),2)=0</formula>
    </cfRule>
  </conditionalFormatting>
  <conditionalFormatting sqref="G288:G289">
    <cfRule type="expression" dxfId="62" priority="58">
      <formula>MOD(ROW(),2)=0</formula>
    </cfRule>
  </conditionalFormatting>
  <conditionalFormatting sqref="G286:G287">
    <cfRule type="expression" dxfId="61" priority="57">
      <formula>MOD(ROW(),2)=0</formula>
    </cfRule>
  </conditionalFormatting>
  <conditionalFormatting sqref="G296:G297">
    <cfRule type="expression" dxfId="60" priority="56">
      <formula>MOD(ROW(),2)=0</formula>
    </cfRule>
  </conditionalFormatting>
  <conditionalFormatting sqref="G294:G295">
    <cfRule type="expression" dxfId="59" priority="55">
      <formula>MOD(ROW(),2)=0</formula>
    </cfRule>
  </conditionalFormatting>
  <conditionalFormatting sqref="G292:G293">
    <cfRule type="expression" dxfId="58" priority="54">
      <formula>MOD(ROW(),2)=0</formula>
    </cfRule>
  </conditionalFormatting>
  <conditionalFormatting sqref="G302:G303">
    <cfRule type="expression" dxfId="57" priority="53">
      <formula>MOD(ROW(),2)=0</formula>
    </cfRule>
  </conditionalFormatting>
  <conditionalFormatting sqref="G300:G301">
    <cfRule type="expression" dxfId="56" priority="52">
      <formula>MOD(ROW(),2)=0</formula>
    </cfRule>
  </conditionalFormatting>
  <conditionalFormatting sqref="G298:G299">
    <cfRule type="expression" dxfId="55" priority="51">
      <formula>MOD(ROW(),2)=0</formula>
    </cfRule>
  </conditionalFormatting>
  <conditionalFormatting sqref="G308:G309">
    <cfRule type="expression" dxfId="54" priority="50">
      <formula>MOD(ROW(),2)=0</formula>
    </cfRule>
  </conditionalFormatting>
  <conditionalFormatting sqref="G306:G307">
    <cfRule type="expression" dxfId="53" priority="49">
      <formula>MOD(ROW(),2)=0</formula>
    </cfRule>
  </conditionalFormatting>
  <conditionalFormatting sqref="G304:G305">
    <cfRule type="expression" dxfId="52" priority="48">
      <formula>MOD(ROW(),2)=0</formula>
    </cfRule>
  </conditionalFormatting>
  <conditionalFormatting sqref="G351:G352">
    <cfRule type="expression" dxfId="51" priority="47">
      <formula>MOD(ROW(),2)=0</formula>
    </cfRule>
  </conditionalFormatting>
  <conditionalFormatting sqref="G349:G350">
    <cfRule type="expression" dxfId="50" priority="46">
      <formula>MOD(ROW(),2)=0</formula>
    </cfRule>
  </conditionalFormatting>
  <conditionalFormatting sqref="G347:G348">
    <cfRule type="expression" dxfId="49" priority="45">
      <formula>MOD(ROW(),2)=0</formula>
    </cfRule>
  </conditionalFormatting>
  <conditionalFormatting sqref="G357:G358">
    <cfRule type="expression" dxfId="48" priority="44">
      <formula>MOD(ROW(),2)=0</formula>
    </cfRule>
  </conditionalFormatting>
  <conditionalFormatting sqref="G355:G356">
    <cfRule type="expression" dxfId="47" priority="43">
      <formula>MOD(ROW(),2)=0</formula>
    </cfRule>
  </conditionalFormatting>
  <conditionalFormatting sqref="G353:G354">
    <cfRule type="expression" dxfId="46" priority="42">
      <formula>MOD(ROW(),2)=0</formula>
    </cfRule>
  </conditionalFormatting>
  <conditionalFormatting sqref="G363:G364">
    <cfRule type="expression" dxfId="45" priority="41">
      <formula>MOD(ROW(),2)=0</formula>
    </cfRule>
  </conditionalFormatting>
  <conditionalFormatting sqref="G361:G362">
    <cfRule type="expression" dxfId="44" priority="40">
      <formula>MOD(ROW(),2)=0</formula>
    </cfRule>
  </conditionalFormatting>
  <conditionalFormatting sqref="G359:G360">
    <cfRule type="expression" dxfId="43" priority="39">
      <formula>MOD(ROW(),2)=0</formula>
    </cfRule>
  </conditionalFormatting>
  <conditionalFormatting sqref="G369:G370">
    <cfRule type="expression" dxfId="42" priority="38">
      <formula>MOD(ROW(),2)=0</formula>
    </cfRule>
  </conditionalFormatting>
  <conditionalFormatting sqref="G367:G368">
    <cfRule type="expression" dxfId="41" priority="37">
      <formula>MOD(ROW(),2)=0</formula>
    </cfRule>
  </conditionalFormatting>
  <conditionalFormatting sqref="G365:G366">
    <cfRule type="expression" dxfId="40" priority="36">
      <formula>MOD(ROW(),2)=0</formula>
    </cfRule>
  </conditionalFormatting>
  <conditionalFormatting sqref="E121">
    <cfRule type="expression" dxfId="39" priority="35">
      <formula>MOD(ROW(),2)=0</formula>
    </cfRule>
  </conditionalFormatting>
  <conditionalFormatting sqref="E122">
    <cfRule type="expression" dxfId="38" priority="34">
      <formula>MOD(ROW(),2)=0</formula>
    </cfRule>
  </conditionalFormatting>
  <conditionalFormatting sqref="E155">
    <cfRule type="expression" dxfId="37" priority="33">
      <formula>MOD(ROW(),2)=0</formula>
    </cfRule>
  </conditionalFormatting>
  <conditionalFormatting sqref="G153:G154">
    <cfRule type="expression" dxfId="36" priority="32">
      <formula>MOD(ROW(),2)=0</formula>
    </cfRule>
  </conditionalFormatting>
  <conditionalFormatting sqref="G152">
    <cfRule type="expression" dxfId="35" priority="31">
      <formula>MOD(ROW(),2)=0</formula>
    </cfRule>
  </conditionalFormatting>
  <conditionalFormatting sqref="G126">
    <cfRule type="expression" dxfId="34" priority="30">
      <formula>MOD(ROW(),2)=0</formula>
    </cfRule>
  </conditionalFormatting>
  <conditionalFormatting sqref="E221">
    <cfRule type="expression" dxfId="33" priority="29">
      <formula>MOD(ROW(),2)=0</formula>
    </cfRule>
  </conditionalFormatting>
  <conditionalFormatting sqref="E222">
    <cfRule type="expression" dxfId="32" priority="28">
      <formula>MOD(ROW(),2)=0</formula>
    </cfRule>
  </conditionalFormatting>
  <conditionalFormatting sqref="E224">
    <cfRule type="expression" dxfId="31" priority="27">
      <formula>MOD(ROW(),2)=0</formula>
    </cfRule>
  </conditionalFormatting>
  <conditionalFormatting sqref="E226">
    <cfRule type="expression" dxfId="30" priority="26">
      <formula>MOD(ROW(),2)=0</formula>
    </cfRule>
  </conditionalFormatting>
  <conditionalFormatting sqref="E248">
    <cfRule type="expression" dxfId="29" priority="25">
      <formula>MOD(ROW(),2)=0</formula>
    </cfRule>
  </conditionalFormatting>
  <conditionalFormatting sqref="G246:G247">
    <cfRule type="expression" dxfId="28" priority="24">
      <formula>MOD(ROW(),2)=0</formula>
    </cfRule>
  </conditionalFormatting>
  <conditionalFormatting sqref="G249">
    <cfRule type="expression" dxfId="27" priority="23">
      <formula>MOD(ROW(),2)=0</formula>
    </cfRule>
  </conditionalFormatting>
  <conditionalFormatting sqref="G245">
    <cfRule type="expression" dxfId="26" priority="22">
      <formula>MOD(ROW(),2)=0</formula>
    </cfRule>
  </conditionalFormatting>
  <conditionalFormatting sqref="G224">
    <cfRule type="expression" dxfId="25" priority="21">
      <formula>MOD(ROW(),2)=0</formula>
    </cfRule>
  </conditionalFormatting>
  <conditionalFormatting sqref="G226">
    <cfRule type="expression" dxfId="24" priority="20">
      <formula>MOD(ROW(),2)=0</formula>
    </cfRule>
  </conditionalFormatting>
  <conditionalFormatting sqref="E311">
    <cfRule type="expression" dxfId="23" priority="19">
      <formula>MOD(ROW(),2)=0</formula>
    </cfRule>
  </conditionalFormatting>
  <conditionalFormatting sqref="E310">
    <cfRule type="expression" dxfId="22" priority="18">
      <formula>MOD(ROW(),2)=0</formula>
    </cfRule>
  </conditionalFormatting>
  <conditionalFormatting sqref="E313">
    <cfRule type="expression" dxfId="21" priority="17">
      <formula>MOD(ROW(),2)=0</formula>
    </cfRule>
  </conditionalFormatting>
  <conditionalFormatting sqref="E315">
    <cfRule type="expression" dxfId="20" priority="16">
      <formula>MOD(ROW(),2)=0</formula>
    </cfRule>
  </conditionalFormatting>
  <conditionalFormatting sqref="E345">
    <cfRule type="expression" dxfId="19" priority="15">
      <formula>MOD(ROW(),2)=0</formula>
    </cfRule>
  </conditionalFormatting>
  <conditionalFormatting sqref="G343:G344">
    <cfRule type="expression" dxfId="18" priority="14">
      <formula>MOD(ROW(),2)=0</formula>
    </cfRule>
  </conditionalFormatting>
  <conditionalFormatting sqref="G346">
    <cfRule type="expression" dxfId="17" priority="13">
      <formula>MOD(ROW(),2)=0</formula>
    </cfRule>
  </conditionalFormatting>
  <conditionalFormatting sqref="G342">
    <cfRule type="expression" dxfId="16" priority="12">
      <formula>MOD(ROW(),2)=0</formula>
    </cfRule>
  </conditionalFormatting>
  <conditionalFormatting sqref="G315">
    <cfRule type="expression" dxfId="15" priority="11">
      <formula>MOD(ROW(),2)=0</formula>
    </cfRule>
  </conditionalFormatting>
  <conditionalFormatting sqref="G310:G311">
    <cfRule type="expression" dxfId="14" priority="10">
      <formula>MOD(ROW(),2)=0</formula>
    </cfRule>
  </conditionalFormatting>
  <conditionalFormatting sqref="E371">
    <cfRule type="expression" dxfId="13" priority="9">
      <formula>MOD(ROW(),2)=0</formula>
    </cfRule>
  </conditionalFormatting>
  <conditionalFormatting sqref="E372">
    <cfRule type="expression" dxfId="12" priority="8">
      <formula>MOD(ROW(),2)=0</formula>
    </cfRule>
  </conditionalFormatting>
  <conditionalFormatting sqref="E374">
    <cfRule type="expression" dxfId="11" priority="7">
      <formula>MOD(ROW(),2)=0</formula>
    </cfRule>
  </conditionalFormatting>
  <conditionalFormatting sqref="E376">
    <cfRule type="expression" dxfId="10" priority="6">
      <formula>MOD(ROW(),2)=0</formula>
    </cfRule>
  </conditionalFormatting>
  <conditionalFormatting sqref="E398">
    <cfRule type="expression" dxfId="9" priority="5">
      <formula>MOD(ROW(),2)=0</formula>
    </cfRule>
  </conditionalFormatting>
  <conditionalFormatting sqref="G395">
    <cfRule type="expression" dxfId="8" priority="4">
      <formula>MOD(ROW(),2)=0</formula>
    </cfRule>
  </conditionalFormatting>
  <conditionalFormatting sqref="G374">
    <cfRule type="expression" dxfId="7" priority="3">
      <formula>MOD(ROW(),2)=0</formula>
    </cfRule>
  </conditionalFormatting>
  <conditionalFormatting sqref="G376">
    <cfRule type="expression" dxfId="6" priority="2">
      <formula>MOD(ROW(),2)=0</formula>
    </cfRule>
  </conditionalFormatting>
  <conditionalFormatting sqref="G371:G372">
    <cfRule type="expression" dxfId="5" priority="1">
      <formula>MOD(ROW(),2)=0</formula>
    </cfRule>
  </conditionalFormatting>
  <hyperlinks>
    <hyperlink ref="AL17" location="'0'!A1" tooltip="X stave 0, Front" display="'0'!A1"/>
    <hyperlink ref="AJ17" location="'1'!A1" tooltip="X stave 1, Back" display="'1'!A1"/>
    <hyperlink ref="AH17" location="'2'!A1" tooltip="Stereo stave 0, Back" display="'2'!A1"/>
    <hyperlink ref="AF17" location="'3'!A1" tooltip="Stereo stave 0, Front" display="'3'!A1"/>
    <hyperlink ref="AD17" location="'4'!A1" tooltip="X stave 1, Front" display="'4'!A1"/>
    <hyperlink ref="AB17" location="'5'!A1" tooltip="X stave 1, Back" display="'5'!A1"/>
    <hyperlink ref="Z17" location="'6'!A1" tooltip="Stereo stave 1, Back" display="'6'!A1"/>
    <hyperlink ref="X17" location="'7'!A1" tooltip="Stereo stave 1, Front" display="'7'!A1"/>
    <hyperlink ref="V17" location="'8'!A1" tooltip="X stave 2, Front" display="'8'!A1"/>
    <hyperlink ref="T17" location="'9'!A1" tooltip="X stave 2, Back" display="'9'!A1"/>
    <hyperlink ref="R17" location="'10'!A1" tooltip="Stereo stave 2, Back" display="'10'!A1"/>
    <hyperlink ref="P17" location="'11'!A1" tooltip="Stereo stave 2, Front" display="'11'!A1"/>
    <hyperlink ref="AL18" location="'0'!A1" tooltip="X stave 0, Front" display="'0'!A1"/>
    <hyperlink ref="AJ18" location="'1'!A1" tooltip="X stave 1, Back" display="'1'!A1"/>
    <hyperlink ref="AH18" location="'2'!A1" tooltip="Stereo stave 0, Back" display="'2'!A1"/>
    <hyperlink ref="AF18" location="'3'!A1" tooltip="Stereo stave 0, Front" display="'3'!A1"/>
    <hyperlink ref="AD18" location="'4'!A1" tooltip="X stave 1, Front" display="'4'!A1"/>
    <hyperlink ref="AB18" location="'5'!A1" tooltip="X stave 1, Back" display="'5'!A1"/>
    <hyperlink ref="Z18" location="'6'!A1" tooltip="Stereo stave 1, Back" display="'6'!A1"/>
    <hyperlink ref="X18" location="'7'!A1" tooltip="Stereo stave 1, Front" display="'7'!A1"/>
    <hyperlink ref="V18" location="'8'!A1" tooltip="X stave 2, Front" display="'8'!A1"/>
    <hyperlink ref="T18" location="'9'!A1" tooltip="X stave 2, Back" display="'9'!A1"/>
    <hyperlink ref="R18" location="'10'!A1" tooltip="Stereo stave 2, Back" display="'10'!A1"/>
    <hyperlink ref="P18" location="'11'!A1" tooltip="Stereo stave 2, Front" display="'11'!A1"/>
  </hyperlinks>
  <pageMargins left="0.75" right="0.75" top="1" bottom="1" header="0.5" footer="0.5"/>
  <pageSetup orientation="portrait" horizontalDpi="4294967292" verticalDpi="429496729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R405"/>
  <sheetViews>
    <sheetView zoomScaleNormal="100" workbookViewId="0">
      <pane ySplit="24" topLeftCell="A402" activePane="bottomLeft" state="frozen"/>
      <selection activeCell="P42" sqref="P42"/>
      <selection pane="bottomLeft" activeCell="D402" sqref="D402"/>
    </sheetView>
  </sheetViews>
  <sheetFormatPr defaultColWidth="11" defaultRowHeight="15.75"/>
  <cols>
    <col min="1" max="1" width="2.875" style="276" customWidth="1"/>
    <col min="2" max="2" width="6.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75" style="1" customWidth="1"/>
    <col min="7" max="7" width="7.875" style="1" bestFit="1" customWidth="1"/>
    <col min="8" max="10" width="7.875" style="1" customWidth="1"/>
    <col min="11" max="11" width="7.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1:44" ht="16.5" thickBot="1"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/>
    </row>
    <row r="2" spans="1:44" s="4" customFormat="1" ht="16.5">
      <c r="A2" s="277"/>
      <c r="D2" s="43" t="s">
        <v>855</v>
      </c>
      <c r="E2" s="551" t="s">
        <v>720</v>
      </c>
      <c r="F2" s="551"/>
      <c r="G2" s="552" t="s">
        <v>832</v>
      </c>
      <c r="H2" s="552"/>
      <c r="I2" s="552"/>
      <c r="J2" s="40"/>
      <c r="L2" s="177"/>
      <c r="M2" s="178"/>
      <c r="N2" s="180" t="s">
        <v>17</v>
      </c>
      <c r="O2" s="179"/>
      <c r="P2" s="180" t="s">
        <v>17</v>
      </c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80"/>
      <c r="AM2" s="180"/>
      <c r="AN2" s="180"/>
      <c r="AO2" s="181"/>
      <c r="AP2" s="177"/>
      <c r="AQ2" s="182" t="s">
        <v>712</v>
      </c>
      <c r="AR2"/>
    </row>
    <row r="3" spans="1:44" s="1" customFormat="1">
      <c r="A3" s="278"/>
      <c r="D3"/>
      <c r="E3" s="40"/>
      <c r="F3" s="40"/>
      <c r="G3" s="40"/>
      <c r="H3" s="40"/>
      <c r="I3" s="40"/>
      <c r="J3" s="40"/>
      <c r="L3" s="177"/>
      <c r="M3" s="183"/>
      <c r="N3" s="184" t="s">
        <v>18</v>
      </c>
      <c r="O3" s="184"/>
      <c r="P3" s="184" t="s">
        <v>18</v>
      </c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5"/>
      <c r="AP3" s="177"/>
      <c r="AQ3" s="186"/>
      <c r="AR3"/>
    </row>
    <row r="4" spans="1:44" s="6" customFormat="1" ht="16.5" thickBot="1">
      <c r="A4" s="279"/>
      <c r="B4" s="553" t="s">
        <v>722</v>
      </c>
      <c r="C4" s="554"/>
      <c r="D4" s="554"/>
      <c r="E4" s="554"/>
      <c r="F4" s="554"/>
      <c r="G4" s="554"/>
      <c r="H4" s="554"/>
      <c r="I4" s="554"/>
      <c r="J4" s="554"/>
      <c r="K4" s="555"/>
      <c r="L4" s="177"/>
      <c r="M4" s="187"/>
      <c r="N4" s="184" t="s">
        <v>15</v>
      </c>
      <c r="O4" s="184"/>
      <c r="P4" s="184" t="s">
        <v>15</v>
      </c>
      <c r="Q4" s="184"/>
      <c r="R4" s="16" t="s">
        <v>13</v>
      </c>
      <c r="S4" s="16"/>
      <c r="T4" s="16" t="s">
        <v>14</v>
      </c>
      <c r="U4" s="16"/>
      <c r="V4" s="16" t="s">
        <v>13</v>
      </c>
      <c r="W4" s="16"/>
      <c r="X4" s="16" t="s">
        <v>14</v>
      </c>
      <c r="Y4" s="16"/>
      <c r="Z4" s="16" t="s">
        <v>13</v>
      </c>
      <c r="AA4" s="16"/>
      <c r="AB4" s="16" t="s">
        <v>14</v>
      </c>
      <c r="AC4" s="16"/>
      <c r="AD4" s="16" t="s">
        <v>13</v>
      </c>
      <c r="AE4" s="16"/>
      <c r="AF4" s="16" t="s">
        <v>14</v>
      </c>
      <c r="AG4" s="16"/>
      <c r="AH4" s="16" t="s">
        <v>13</v>
      </c>
      <c r="AI4" s="16"/>
      <c r="AJ4" s="16" t="s">
        <v>14</v>
      </c>
      <c r="AK4" s="16"/>
      <c r="AL4" s="16" t="s">
        <v>13</v>
      </c>
      <c r="AM4" s="16"/>
      <c r="AN4" s="16" t="s">
        <v>14</v>
      </c>
      <c r="AO4" s="185"/>
      <c r="AP4" s="177"/>
      <c r="AQ4" s="182" t="s">
        <v>710</v>
      </c>
      <c r="AR4"/>
    </row>
    <row r="5" spans="1:44" s="12" customFormat="1" ht="32.25" thickBot="1">
      <c r="A5" s="280"/>
      <c r="B5" s="41" t="s">
        <v>19</v>
      </c>
      <c r="C5" s="7" t="s">
        <v>442</v>
      </c>
      <c r="D5" s="8" t="s">
        <v>2</v>
      </c>
      <c r="E5" s="8" t="s">
        <v>1</v>
      </c>
      <c r="F5" s="9" t="s">
        <v>443</v>
      </c>
      <c r="G5" s="9" t="s">
        <v>444</v>
      </c>
      <c r="H5" s="10" t="s">
        <v>3</v>
      </c>
      <c r="I5" s="10" t="s">
        <v>829</v>
      </c>
      <c r="J5" s="10" t="s">
        <v>445</v>
      </c>
      <c r="K5" s="11" t="s">
        <v>446</v>
      </c>
      <c r="L5" s="177"/>
      <c r="M5" s="187"/>
      <c r="N5" s="189"/>
      <c r="O5" s="184"/>
      <c r="P5" s="189"/>
      <c r="Q5" s="188"/>
      <c r="R5" s="175">
        <v>5</v>
      </c>
      <c r="S5" s="175"/>
      <c r="T5" s="175">
        <v>5</v>
      </c>
      <c r="U5" s="175"/>
      <c r="V5" s="175">
        <v>4</v>
      </c>
      <c r="W5" s="175"/>
      <c r="X5" s="175">
        <v>4</v>
      </c>
      <c r="Y5" s="175"/>
      <c r="Z5" s="175">
        <v>3</v>
      </c>
      <c r="AA5" s="175"/>
      <c r="AB5" s="175">
        <v>3</v>
      </c>
      <c r="AC5" s="175"/>
      <c r="AD5" s="175">
        <v>2</v>
      </c>
      <c r="AE5" s="175"/>
      <c r="AF5" s="175">
        <v>2</v>
      </c>
      <c r="AG5" s="175"/>
      <c r="AH5" s="175">
        <v>1</v>
      </c>
      <c r="AI5" s="175"/>
      <c r="AJ5" s="175">
        <v>1</v>
      </c>
      <c r="AK5" s="175"/>
      <c r="AL5" s="175">
        <v>0</v>
      </c>
      <c r="AM5" s="175"/>
      <c r="AN5" s="175">
        <v>0</v>
      </c>
      <c r="AO5" s="185"/>
      <c r="AP5" s="177"/>
      <c r="AQ5" s="254" t="s">
        <v>711</v>
      </c>
      <c r="AR5"/>
    </row>
    <row r="6" spans="1:44">
      <c r="B6" s="42">
        <v>1</v>
      </c>
      <c r="C6" s="270" t="s">
        <v>337</v>
      </c>
      <c r="D6" s="202" t="s">
        <v>518</v>
      </c>
      <c r="E6" s="203"/>
      <c r="F6" s="203"/>
      <c r="G6" s="203"/>
      <c r="H6" s="203"/>
      <c r="I6" s="203"/>
      <c r="J6" s="203"/>
      <c r="K6" s="204"/>
      <c r="L6" s="177"/>
      <c r="M6" s="187"/>
      <c r="N6" s="190"/>
      <c r="O6" s="184"/>
      <c r="P6" s="190"/>
      <c r="Q6" s="184"/>
      <c r="R6" s="189"/>
      <c r="S6" s="184"/>
      <c r="T6" s="189"/>
      <c r="U6" s="184"/>
      <c r="V6" s="189"/>
      <c r="W6" s="184"/>
      <c r="X6" s="189"/>
      <c r="Y6" s="184"/>
      <c r="Z6" s="189"/>
      <c r="AA6" s="184"/>
      <c r="AB6" s="189"/>
      <c r="AC6" s="184"/>
      <c r="AD6" s="189"/>
      <c r="AE6" s="184"/>
      <c r="AF6" s="189"/>
      <c r="AG6" s="184"/>
      <c r="AH6" s="189"/>
      <c r="AI6" s="184"/>
      <c r="AJ6" s="189"/>
      <c r="AK6" s="184"/>
      <c r="AL6" s="189"/>
      <c r="AM6" s="184"/>
      <c r="AN6" s="189"/>
      <c r="AO6" s="185"/>
      <c r="AP6" s="177"/>
      <c r="AQ6" s="186"/>
      <c r="AR6"/>
    </row>
    <row r="7" spans="1:44">
      <c r="B7" s="42">
        <v>11</v>
      </c>
      <c r="C7" s="258" t="s">
        <v>347</v>
      </c>
      <c r="D7" s="22" t="s">
        <v>519</v>
      </c>
      <c r="E7" s="13"/>
      <c r="F7" s="13"/>
      <c r="G7" s="13"/>
      <c r="H7" s="13"/>
      <c r="I7" s="13"/>
      <c r="J7" s="13"/>
      <c r="K7" s="20"/>
      <c r="L7" s="177"/>
      <c r="M7" s="187"/>
      <c r="N7" s="252"/>
      <c r="O7" s="184"/>
      <c r="P7" s="252"/>
      <c r="Q7" s="184"/>
      <c r="R7" s="191"/>
      <c r="S7" s="184"/>
      <c r="T7" s="191"/>
      <c r="U7" s="184"/>
      <c r="V7" s="191"/>
      <c r="W7" s="184"/>
      <c r="X7" s="191"/>
      <c r="Y7" s="184"/>
      <c r="Z7" s="191"/>
      <c r="AA7" s="184"/>
      <c r="AB7" s="191"/>
      <c r="AC7" s="184"/>
      <c r="AD7" s="191"/>
      <c r="AE7" s="184"/>
      <c r="AF7" s="191"/>
      <c r="AG7" s="184"/>
      <c r="AH7" s="191"/>
      <c r="AI7" s="184"/>
      <c r="AJ7" s="191"/>
      <c r="AK7" s="184"/>
      <c r="AL7" s="191"/>
      <c r="AM7" s="184"/>
      <c r="AN7" s="191"/>
      <c r="AO7" s="185"/>
      <c r="AP7" s="177"/>
      <c r="AQ7" s="186"/>
      <c r="AR7"/>
    </row>
    <row r="8" spans="1:44">
      <c r="B8" s="42">
        <v>21</v>
      </c>
      <c r="C8" s="258" t="s">
        <v>357</v>
      </c>
      <c r="D8" s="22" t="s">
        <v>520</v>
      </c>
      <c r="E8" s="13"/>
      <c r="F8" s="13"/>
      <c r="G8" s="13"/>
      <c r="H8" s="13"/>
      <c r="I8" s="13"/>
      <c r="J8" s="13"/>
      <c r="K8" s="20"/>
      <c r="L8" s="177"/>
      <c r="M8" s="187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5"/>
      <c r="AP8" s="177"/>
      <c r="AQ8" s="186"/>
      <c r="AR8"/>
    </row>
    <row r="9" spans="1:44">
      <c r="B9" s="42">
        <v>31</v>
      </c>
      <c r="C9" s="258" t="s">
        <v>367</v>
      </c>
      <c r="D9" s="22" t="s">
        <v>521</v>
      </c>
      <c r="E9" s="13"/>
      <c r="F9" s="13"/>
      <c r="G9" s="13"/>
      <c r="H9" s="13"/>
      <c r="I9" s="13"/>
      <c r="J9" s="13"/>
      <c r="K9" s="20"/>
      <c r="L9" s="177"/>
      <c r="M9" s="187"/>
      <c r="N9" s="189"/>
      <c r="O9" s="184"/>
      <c r="P9" s="189"/>
      <c r="Q9" s="184"/>
      <c r="R9" s="189"/>
      <c r="S9" s="184"/>
      <c r="T9" s="189"/>
      <c r="U9" s="184"/>
      <c r="V9" s="189"/>
      <c r="W9" s="184"/>
      <c r="X9" s="189"/>
      <c r="Y9" s="184"/>
      <c r="Z9" s="189"/>
      <c r="AA9" s="184"/>
      <c r="AB9" s="189"/>
      <c r="AC9" s="184"/>
      <c r="AD9" s="189"/>
      <c r="AE9" s="184"/>
      <c r="AF9" s="189"/>
      <c r="AG9" s="184"/>
      <c r="AH9" s="189"/>
      <c r="AI9" s="184"/>
      <c r="AJ9" s="189"/>
      <c r="AK9" s="184"/>
      <c r="AL9" s="189"/>
      <c r="AM9" s="184"/>
      <c r="AN9" s="189"/>
      <c r="AO9" s="185"/>
      <c r="AP9" s="177"/>
      <c r="AQ9" s="186"/>
      <c r="AR9"/>
    </row>
    <row r="10" spans="1:44">
      <c r="B10" s="42">
        <v>41</v>
      </c>
      <c r="C10" s="258" t="s">
        <v>377</v>
      </c>
      <c r="D10" s="285" t="s">
        <v>427</v>
      </c>
      <c r="E10" s="13"/>
      <c r="F10" s="13"/>
      <c r="G10" s="13"/>
      <c r="H10" s="13"/>
      <c r="I10" s="13"/>
      <c r="J10" s="13"/>
      <c r="K10" s="20"/>
      <c r="L10" s="177"/>
      <c r="M10" s="187"/>
      <c r="N10" s="190"/>
      <c r="O10" s="184"/>
      <c r="P10" s="190"/>
      <c r="Q10" s="184"/>
      <c r="R10" s="191"/>
      <c r="S10" s="184"/>
      <c r="T10" s="191"/>
      <c r="U10" s="184"/>
      <c r="V10" s="191"/>
      <c r="W10" s="184"/>
      <c r="X10" s="191"/>
      <c r="Y10" s="184"/>
      <c r="Z10" s="191"/>
      <c r="AA10" s="184"/>
      <c r="AB10" s="191"/>
      <c r="AC10" s="184"/>
      <c r="AD10" s="191"/>
      <c r="AE10" s="184"/>
      <c r="AF10" s="191"/>
      <c r="AG10" s="184"/>
      <c r="AH10" s="191"/>
      <c r="AI10" s="184"/>
      <c r="AJ10" s="191"/>
      <c r="AK10" s="184"/>
      <c r="AL10" s="190"/>
      <c r="AM10" s="184"/>
      <c r="AN10" s="191"/>
      <c r="AO10" s="192"/>
      <c r="AP10" s="177"/>
      <c r="AQ10" s="186"/>
      <c r="AR10"/>
    </row>
    <row r="11" spans="1:44">
      <c r="B11" s="42">
        <v>51</v>
      </c>
      <c r="C11" s="258" t="s">
        <v>387</v>
      </c>
      <c r="D11" s="285" t="s">
        <v>464</v>
      </c>
      <c r="E11" s="13"/>
      <c r="F11" s="13"/>
      <c r="G11" s="13"/>
      <c r="H11" s="13"/>
      <c r="I11" s="13"/>
      <c r="J11" s="13"/>
      <c r="K11" s="20"/>
      <c r="L11" s="177"/>
      <c r="M11" s="187"/>
      <c r="N11" s="252"/>
      <c r="O11" s="184"/>
      <c r="P11" s="252"/>
      <c r="Q11" s="184"/>
      <c r="R11" s="556">
        <v>11</v>
      </c>
      <c r="S11" s="556"/>
      <c r="T11" s="556">
        <v>10</v>
      </c>
      <c r="U11" s="556"/>
      <c r="V11" s="184">
        <v>9</v>
      </c>
      <c r="W11" s="184"/>
      <c r="X11" s="184">
        <v>8</v>
      </c>
      <c r="Y11" s="184"/>
      <c r="Z11" s="184">
        <v>7</v>
      </c>
      <c r="AA11" s="184"/>
      <c r="AB11" s="184">
        <v>6</v>
      </c>
      <c r="AC11" s="184"/>
      <c r="AD11" s="184">
        <v>5</v>
      </c>
      <c r="AE11" s="184"/>
      <c r="AF11" s="184">
        <v>4</v>
      </c>
      <c r="AG11" s="184"/>
      <c r="AH11" s="249">
        <v>3</v>
      </c>
      <c r="AI11" s="249"/>
      <c r="AJ11" s="249">
        <v>2</v>
      </c>
      <c r="AK11" s="250"/>
      <c r="AL11" s="251">
        <v>1</v>
      </c>
      <c r="AM11" s="249"/>
      <c r="AN11" s="249">
        <v>0</v>
      </c>
      <c r="AO11" s="192"/>
      <c r="AP11" s="177"/>
      <c r="AQ11" s="186"/>
      <c r="AR11"/>
    </row>
    <row r="12" spans="1:44">
      <c r="B12" s="42">
        <v>61</v>
      </c>
      <c r="C12" s="258" t="s">
        <v>397</v>
      </c>
      <c r="D12" s="285" t="s">
        <v>322</v>
      </c>
      <c r="E12" s="13"/>
      <c r="F12" s="13"/>
      <c r="G12" s="13"/>
      <c r="H12" s="13"/>
      <c r="I12" s="13"/>
      <c r="J12" s="13"/>
      <c r="K12" s="20"/>
      <c r="L12" s="177"/>
      <c r="M12" s="187"/>
      <c r="N12" s="184">
        <v>1</v>
      </c>
      <c r="O12" s="184"/>
      <c r="P12" s="184">
        <v>0</v>
      </c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92"/>
      <c r="AP12" s="193"/>
      <c r="AQ12" s="186"/>
      <c r="AR12"/>
    </row>
    <row r="13" spans="1:44">
      <c r="B13" s="42">
        <v>71</v>
      </c>
      <c r="C13" s="258" t="s">
        <v>407</v>
      </c>
      <c r="D13" s="285" t="s">
        <v>323</v>
      </c>
      <c r="E13" s="13"/>
      <c r="F13" s="13"/>
      <c r="G13" s="13"/>
      <c r="H13" s="13"/>
      <c r="I13" s="13"/>
      <c r="J13" s="13"/>
      <c r="K13" s="20"/>
      <c r="L13" s="177"/>
      <c r="M13" s="187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92"/>
      <c r="AP13" s="193"/>
      <c r="AQ13" s="186"/>
      <c r="AR13"/>
    </row>
    <row r="14" spans="1:44">
      <c r="B14" s="42">
        <v>81</v>
      </c>
      <c r="C14" s="258" t="s">
        <v>417</v>
      </c>
      <c r="D14" s="22" t="s">
        <v>324</v>
      </c>
      <c r="E14" s="13"/>
      <c r="F14" s="13"/>
      <c r="G14" s="13"/>
      <c r="H14" s="13"/>
      <c r="I14" s="13"/>
      <c r="J14" s="13"/>
      <c r="K14" s="20"/>
      <c r="L14" s="177"/>
      <c r="M14" s="187"/>
      <c r="N14" s="184"/>
      <c r="O14" s="184"/>
      <c r="P14" s="16" t="s">
        <v>13</v>
      </c>
      <c r="Q14" s="16"/>
      <c r="R14" s="16" t="s">
        <v>13</v>
      </c>
      <c r="S14" s="16"/>
      <c r="T14" s="16" t="s">
        <v>14</v>
      </c>
      <c r="U14" s="16"/>
      <c r="V14" s="16" t="s">
        <v>14</v>
      </c>
      <c r="W14" s="16"/>
      <c r="X14" s="16" t="s">
        <v>13</v>
      </c>
      <c r="Y14" s="16"/>
      <c r="Z14" s="16" t="s">
        <v>13</v>
      </c>
      <c r="AA14" s="16"/>
      <c r="AB14" s="16" t="s">
        <v>14</v>
      </c>
      <c r="AC14" s="16"/>
      <c r="AD14" s="16" t="s">
        <v>14</v>
      </c>
      <c r="AE14" s="16"/>
      <c r="AF14" s="16" t="s">
        <v>13</v>
      </c>
      <c r="AG14" s="16"/>
      <c r="AH14" s="16" t="s">
        <v>13</v>
      </c>
      <c r="AI14" s="16"/>
      <c r="AJ14" s="16" t="s">
        <v>14</v>
      </c>
      <c r="AK14" s="16"/>
      <c r="AL14" s="16" t="s">
        <v>14</v>
      </c>
      <c r="AM14" s="184"/>
      <c r="AN14" s="184"/>
      <c r="AO14" s="192"/>
      <c r="AP14" s="193"/>
      <c r="AQ14" s="182" t="s">
        <v>710</v>
      </c>
      <c r="AR14"/>
    </row>
    <row r="15" spans="1:44">
      <c r="B15" s="42">
        <v>91</v>
      </c>
      <c r="C15" s="258" t="s">
        <v>0</v>
      </c>
      <c r="D15" s="22" t="s">
        <v>325</v>
      </c>
      <c r="E15" s="13"/>
      <c r="F15" s="13"/>
      <c r="G15" s="13"/>
      <c r="H15" s="13"/>
      <c r="I15" s="13"/>
      <c r="J15" s="13"/>
      <c r="K15" s="20"/>
      <c r="L15" s="177"/>
      <c r="M15" s="187"/>
      <c r="N15" s="184"/>
      <c r="O15" s="184"/>
      <c r="P15" s="16">
        <v>2</v>
      </c>
      <c r="Q15" s="16"/>
      <c r="R15" s="16">
        <v>2</v>
      </c>
      <c r="S15" s="16"/>
      <c r="T15" s="16">
        <v>2</v>
      </c>
      <c r="U15" s="16"/>
      <c r="V15" s="16">
        <v>2</v>
      </c>
      <c r="W15" s="16"/>
      <c r="X15" s="16">
        <v>1</v>
      </c>
      <c r="Y15" s="16"/>
      <c r="Z15" s="16">
        <v>1</v>
      </c>
      <c r="AA15" s="16"/>
      <c r="AB15" s="16">
        <v>1</v>
      </c>
      <c r="AC15" s="16"/>
      <c r="AD15" s="16">
        <v>1</v>
      </c>
      <c r="AE15" s="16"/>
      <c r="AF15" s="16">
        <v>0</v>
      </c>
      <c r="AG15" s="16"/>
      <c r="AH15" s="16">
        <v>0</v>
      </c>
      <c r="AI15" s="16"/>
      <c r="AJ15" s="16">
        <v>0</v>
      </c>
      <c r="AK15" s="16"/>
      <c r="AL15" s="16">
        <v>0</v>
      </c>
      <c r="AM15" s="184"/>
      <c r="AN15" s="184"/>
      <c r="AO15" s="192"/>
      <c r="AP15" s="193"/>
      <c r="AQ15" s="182" t="s">
        <v>713</v>
      </c>
      <c r="AR15"/>
    </row>
    <row r="16" spans="1:44">
      <c r="B16" s="42">
        <v>101</v>
      </c>
      <c r="C16" s="258" t="s">
        <v>20</v>
      </c>
      <c r="D16" s="22" t="s">
        <v>522</v>
      </c>
      <c r="E16" s="13"/>
      <c r="F16" s="13"/>
      <c r="G16" s="13"/>
      <c r="H16" s="13"/>
      <c r="I16" s="13"/>
      <c r="J16" s="13"/>
      <c r="K16" s="20"/>
      <c r="L16" s="177"/>
      <c r="M16" s="187"/>
      <c r="N16" s="184"/>
      <c r="O16" s="184"/>
      <c r="P16" s="16" t="s">
        <v>16</v>
      </c>
      <c r="Q16" s="16"/>
      <c r="R16" s="16" t="s">
        <v>15</v>
      </c>
      <c r="S16" s="16"/>
      <c r="T16" s="16" t="s">
        <v>15</v>
      </c>
      <c r="U16" s="16"/>
      <c r="V16" s="16" t="s">
        <v>16</v>
      </c>
      <c r="W16" s="16"/>
      <c r="X16" s="16" t="s">
        <v>16</v>
      </c>
      <c r="Y16" s="16"/>
      <c r="Z16" s="16" t="s">
        <v>15</v>
      </c>
      <c r="AA16" s="16"/>
      <c r="AB16" s="16" t="s">
        <v>15</v>
      </c>
      <c r="AC16" s="16"/>
      <c r="AD16" s="16" t="s">
        <v>16</v>
      </c>
      <c r="AE16" s="16"/>
      <c r="AF16" s="16" t="s">
        <v>16</v>
      </c>
      <c r="AG16" s="16"/>
      <c r="AH16" s="16" t="s">
        <v>15</v>
      </c>
      <c r="AI16" s="16"/>
      <c r="AJ16" s="16" t="s">
        <v>15</v>
      </c>
      <c r="AK16" s="16"/>
      <c r="AL16" s="16" t="s">
        <v>16</v>
      </c>
      <c r="AM16" s="184"/>
      <c r="AN16" s="184"/>
      <c r="AO16" s="192"/>
      <c r="AP16" s="193"/>
      <c r="AQ16" s="182" t="s">
        <v>714</v>
      </c>
      <c r="AR16"/>
    </row>
    <row r="17" spans="1:44">
      <c r="B17" s="42">
        <v>111</v>
      </c>
      <c r="C17" s="258" t="s">
        <v>30</v>
      </c>
      <c r="D17" s="22" t="s">
        <v>523</v>
      </c>
      <c r="E17" s="13"/>
      <c r="F17" s="13"/>
      <c r="G17" s="13"/>
      <c r="H17" s="13"/>
      <c r="I17" s="13"/>
      <c r="J17" s="13"/>
      <c r="K17" s="20"/>
      <c r="L17" s="177"/>
      <c r="M17" s="187"/>
      <c r="N17" s="184"/>
      <c r="O17" s="16"/>
      <c r="P17" s="244">
        <v>11</v>
      </c>
      <c r="Q17" s="35"/>
      <c r="R17" s="244">
        <v>10</v>
      </c>
      <c r="S17" s="35"/>
      <c r="T17" s="244">
        <v>9</v>
      </c>
      <c r="U17" s="35"/>
      <c r="V17" s="244">
        <v>8</v>
      </c>
      <c r="W17" s="35"/>
      <c r="X17" s="244">
        <v>7</v>
      </c>
      <c r="Y17" s="35"/>
      <c r="Z17" s="244">
        <v>6</v>
      </c>
      <c r="AA17" s="35"/>
      <c r="AB17" s="244">
        <v>5</v>
      </c>
      <c r="AC17" s="35"/>
      <c r="AD17" s="244">
        <v>4</v>
      </c>
      <c r="AE17" s="35"/>
      <c r="AF17" s="244">
        <v>3</v>
      </c>
      <c r="AG17" s="35"/>
      <c r="AH17" s="244">
        <v>2</v>
      </c>
      <c r="AI17" s="35"/>
      <c r="AJ17" s="244">
        <v>1</v>
      </c>
      <c r="AK17" s="35"/>
      <c r="AL17" s="244">
        <v>0</v>
      </c>
      <c r="AM17" s="184"/>
      <c r="AN17" s="184"/>
      <c r="AO17" s="192"/>
      <c r="AP17" s="193"/>
      <c r="AQ17" s="182" t="s">
        <v>715</v>
      </c>
      <c r="AR17"/>
    </row>
    <row r="18" spans="1:44" s="1" customFormat="1">
      <c r="A18" s="276"/>
      <c r="B18" s="42">
        <v>121</v>
      </c>
      <c r="C18" s="258" t="s">
        <v>40</v>
      </c>
      <c r="D18" s="22" t="s">
        <v>524</v>
      </c>
      <c r="E18" s="13"/>
      <c r="F18" s="13"/>
      <c r="G18" s="13"/>
      <c r="H18" s="13"/>
      <c r="I18" s="13"/>
      <c r="J18" s="13"/>
      <c r="K18" s="20"/>
      <c r="L18" s="177"/>
      <c r="M18" s="187"/>
      <c r="N18" s="184"/>
      <c r="O18" s="16"/>
      <c r="P18" s="246">
        <v>11</v>
      </c>
      <c r="Q18" s="35"/>
      <c r="R18" s="246">
        <v>10</v>
      </c>
      <c r="S18" s="35"/>
      <c r="T18" s="246">
        <v>9</v>
      </c>
      <c r="U18" s="35"/>
      <c r="V18" s="246">
        <v>8</v>
      </c>
      <c r="W18" s="35"/>
      <c r="X18" s="246">
        <v>7</v>
      </c>
      <c r="Y18" s="35"/>
      <c r="Z18" s="246">
        <v>6</v>
      </c>
      <c r="AA18" s="35"/>
      <c r="AB18" s="246">
        <v>5</v>
      </c>
      <c r="AC18" s="35"/>
      <c r="AD18" s="246">
        <v>4</v>
      </c>
      <c r="AE18" s="35"/>
      <c r="AF18" s="246">
        <v>3</v>
      </c>
      <c r="AG18" s="35"/>
      <c r="AH18" s="246">
        <v>2</v>
      </c>
      <c r="AI18" s="35"/>
      <c r="AJ18" s="246">
        <v>1</v>
      </c>
      <c r="AK18" s="35"/>
      <c r="AL18" s="246">
        <v>0</v>
      </c>
      <c r="AM18" s="184"/>
      <c r="AN18" s="184"/>
      <c r="AO18" s="192"/>
      <c r="AP18" s="193"/>
      <c r="AQ18" s="186"/>
      <c r="AR18"/>
    </row>
    <row r="19" spans="1:44" s="1" customFormat="1" ht="16.5" thickBot="1">
      <c r="A19" s="276"/>
      <c r="B19" s="42">
        <v>131</v>
      </c>
      <c r="C19" s="258" t="s">
        <v>50</v>
      </c>
      <c r="D19" s="22" t="s">
        <v>525</v>
      </c>
      <c r="E19" s="13"/>
      <c r="F19" s="13"/>
      <c r="G19" s="13"/>
      <c r="H19" s="13"/>
      <c r="I19" s="13"/>
      <c r="J19" s="13"/>
      <c r="K19" s="20"/>
      <c r="L19" s="177"/>
      <c r="M19" s="194"/>
      <c r="N19" s="195"/>
      <c r="O19" s="195"/>
      <c r="P19" s="563">
        <v>11</v>
      </c>
      <c r="Q19" s="563"/>
      <c r="R19" s="563">
        <v>10</v>
      </c>
      <c r="S19" s="563"/>
      <c r="T19" s="195">
        <v>9</v>
      </c>
      <c r="U19" s="195"/>
      <c r="V19" s="195">
        <v>8</v>
      </c>
      <c r="W19" s="195"/>
      <c r="X19" s="195">
        <v>7</v>
      </c>
      <c r="Y19" s="195"/>
      <c r="Z19" s="195">
        <v>6</v>
      </c>
      <c r="AA19" s="195"/>
      <c r="AB19" s="195">
        <v>5</v>
      </c>
      <c r="AC19" s="195"/>
      <c r="AD19" s="195">
        <v>4</v>
      </c>
      <c r="AE19" s="195"/>
      <c r="AF19" s="195">
        <v>3</v>
      </c>
      <c r="AG19" s="195"/>
      <c r="AH19" s="195">
        <v>2</v>
      </c>
      <c r="AI19" s="195"/>
      <c r="AJ19" s="253">
        <v>1</v>
      </c>
      <c r="AK19" s="253"/>
      <c r="AL19" s="253">
        <v>0</v>
      </c>
      <c r="AM19" s="253"/>
      <c r="AN19" s="195"/>
      <c r="AO19" s="196"/>
      <c r="AP19" s="193"/>
      <c r="AQ19" s="186"/>
      <c r="AR19"/>
    </row>
    <row r="20" spans="1:44" s="1" customFormat="1">
      <c r="A20" s="276"/>
      <c r="B20" s="42">
        <v>141</v>
      </c>
      <c r="C20" s="258" t="s">
        <v>60</v>
      </c>
      <c r="D20" s="22" t="s">
        <v>526</v>
      </c>
      <c r="E20" s="13"/>
      <c r="F20" s="13"/>
      <c r="G20" s="13"/>
      <c r="H20" s="13"/>
      <c r="I20" s="13"/>
      <c r="J20" s="13"/>
      <c r="K20" s="20"/>
      <c r="L20" s="558" t="s">
        <v>864</v>
      </c>
      <c r="M20" s="559"/>
      <c r="N20" s="559"/>
      <c r="O20" s="559"/>
      <c r="P20" s="559"/>
      <c r="Q20" s="559"/>
      <c r="R20" s="559"/>
      <c r="S20" s="559"/>
      <c r="T20" s="559"/>
      <c r="U20" s="559"/>
      <c r="V20" s="559"/>
      <c r="W20" s="559"/>
      <c r="X20" s="559"/>
      <c r="Y20" s="559"/>
      <c r="Z20" s="559"/>
      <c r="AA20" s="559"/>
      <c r="AB20" s="559"/>
      <c r="AC20" s="559"/>
      <c r="AD20" s="559"/>
      <c r="AE20" s="559"/>
      <c r="AF20" s="559"/>
      <c r="AG20" s="559"/>
      <c r="AH20" s="559"/>
      <c r="AI20" s="559"/>
      <c r="AJ20" s="559"/>
      <c r="AK20" s="559"/>
      <c r="AL20" s="559"/>
      <c r="AM20" s="559"/>
      <c r="AN20" s="559"/>
      <c r="AO20" s="559"/>
      <c r="AP20" s="559"/>
      <c r="AQ20" s="186"/>
      <c r="AR20"/>
    </row>
    <row r="21" spans="1:44" s="1" customFormat="1">
      <c r="A21" s="276"/>
      <c r="B21" s="42">
        <v>151</v>
      </c>
      <c r="C21" s="258" t="s">
        <v>70</v>
      </c>
      <c r="D21" s="22" t="s">
        <v>326</v>
      </c>
      <c r="E21" s="13"/>
      <c r="F21" s="13"/>
      <c r="G21" s="13"/>
      <c r="H21" s="13"/>
      <c r="I21" s="13"/>
      <c r="J21" s="13"/>
      <c r="K21" s="20"/>
      <c r="L21" s="560" t="s">
        <v>721</v>
      </c>
      <c r="M21" s="561"/>
      <c r="N21" s="561"/>
      <c r="O21" s="561"/>
      <c r="P21" s="561"/>
      <c r="Q21" s="561"/>
      <c r="R21" s="561"/>
      <c r="S21" s="561"/>
      <c r="T21" s="561"/>
      <c r="U21" s="561"/>
      <c r="V21" s="561"/>
      <c r="W21" s="561"/>
      <c r="X21" s="561"/>
      <c r="Y21" s="561"/>
      <c r="Z21" s="561"/>
      <c r="AA21" s="561"/>
      <c r="AB21" s="561"/>
      <c r="AC21" s="561"/>
      <c r="AD21" s="561"/>
      <c r="AE21" s="561"/>
      <c r="AF21" s="561"/>
      <c r="AG21" s="561"/>
      <c r="AH21" s="561"/>
      <c r="AI21" s="561"/>
      <c r="AJ21" s="561"/>
      <c r="AK21" s="561"/>
      <c r="AL21" s="561"/>
      <c r="AM21" s="561"/>
      <c r="AN21" s="561"/>
      <c r="AO21" s="561"/>
      <c r="AP21" s="561"/>
      <c r="AQ21" s="193"/>
      <c r="AR21"/>
    </row>
    <row r="22" spans="1:44" s="1" customFormat="1">
      <c r="A22" s="276"/>
      <c r="B22" s="42">
        <v>161</v>
      </c>
      <c r="C22" s="258" t="s">
        <v>80</v>
      </c>
      <c r="D22" s="22" t="s">
        <v>327</v>
      </c>
      <c r="E22" s="13"/>
      <c r="F22" s="13"/>
      <c r="G22" s="13"/>
      <c r="H22" s="13"/>
      <c r="I22" s="13"/>
      <c r="J22" s="13"/>
      <c r="K22" s="20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4" s="1" customFormat="1">
      <c r="A23" s="276"/>
      <c r="B23" s="42">
        <v>171</v>
      </c>
      <c r="C23" s="258" t="s">
        <v>90</v>
      </c>
      <c r="D23" s="22" t="s">
        <v>328</v>
      </c>
      <c r="E23" s="13"/>
      <c r="F23" s="13"/>
      <c r="G23" s="13"/>
      <c r="H23" s="13"/>
      <c r="I23" s="13"/>
      <c r="J23" s="13"/>
      <c r="K23" s="20"/>
      <c r="L23"/>
      <c r="M23" s="562" t="s">
        <v>836</v>
      </c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2"/>
      <c r="AP23"/>
      <c r="AQ23"/>
      <c r="AR23"/>
    </row>
    <row r="24" spans="1:44" s="1" customFormat="1">
      <c r="A24" s="276"/>
      <c r="B24" s="42">
        <v>181</v>
      </c>
      <c r="C24" s="258" t="s">
        <v>100</v>
      </c>
      <c r="D24" s="22" t="s">
        <v>432</v>
      </c>
      <c r="E24" s="13"/>
      <c r="F24" s="13"/>
      <c r="G24" s="13"/>
      <c r="H24" s="13"/>
      <c r="I24" s="13"/>
      <c r="J24" s="13"/>
      <c r="K24" s="20"/>
      <c r="L24"/>
      <c r="M24" s="557" t="s">
        <v>883</v>
      </c>
      <c r="N24" s="557"/>
      <c r="O24" s="557"/>
      <c r="P24" s="557"/>
      <c r="Q24" s="557"/>
      <c r="R24" s="557"/>
      <c r="S24" s="557"/>
      <c r="T24" s="557"/>
      <c r="U24" s="557"/>
      <c r="V24" s="557"/>
      <c r="W24" s="557"/>
      <c r="X24" s="557"/>
      <c r="Y24" s="557"/>
      <c r="Z24" s="557"/>
      <c r="AA24" s="557"/>
      <c r="AB24" s="557"/>
      <c r="AC24" s="557"/>
      <c r="AD24" s="557"/>
      <c r="AE24" s="557"/>
      <c r="AF24" s="557"/>
      <c r="AG24" s="557"/>
      <c r="AH24" s="557"/>
      <c r="AI24" s="557"/>
      <c r="AJ24" s="557"/>
      <c r="AK24" s="557"/>
      <c r="AL24" s="557"/>
      <c r="AM24" s="557"/>
      <c r="AN24" s="557"/>
      <c r="AO24" s="557"/>
      <c r="AP24"/>
      <c r="AQ24"/>
      <c r="AR24"/>
    </row>
    <row r="25" spans="1:44" s="1" customFormat="1">
      <c r="A25" s="276"/>
      <c r="B25" s="42">
        <v>191</v>
      </c>
      <c r="C25" s="258" t="s">
        <v>110</v>
      </c>
      <c r="D25" s="22" t="s">
        <v>432</v>
      </c>
      <c r="E25" s="13"/>
      <c r="F25" s="13"/>
      <c r="G25" s="13"/>
      <c r="H25" s="13"/>
      <c r="I25" s="13"/>
      <c r="J25" s="13"/>
      <c r="K25" s="20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4" s="1" customFormat="1">
      <c r="A26" s="276"/>
      <c r="B26" s="42">
        <v>201</v>
      </c>
      <c r="C26" s="258" t="s">
        <v>120</v>
      </c>
      <c r="D26" s="22" t="s">
        <v>432</v>
      </c>
      <c r="E26" s="13"/>
      <c r="F26" s="13"/>
      <c r="G26" s="13"/>
      <c r="H26" s="13"/>
      <c r="I26" s="13"/>
      <c r="J26" s="13"/>
      <c r="K26" s="20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4" s="1" customFormat="1">
      <c r="A27" s="276"/>
      <c r="B27" s="42">
        <v>211</v>
      </c>
      <c r="C27" s="258" t="s">
        <v>130</v>
      </c>
      <c r="D27" s="22" t="s">
        <v>432</v>
      </c>
      <c r="E27" s="13"/>
      <c r="F27" s="13"/>
      <c r="G27" s="13"/>
      <c r="H27" s="13"/>
      <c r="I27" s="13"/>
      <c r="J27" s="13"/>
      <c r="K27" s="20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4" s="1" customFormat="1">
      <c r="A28" s="276"/>
      <c r="B28" s="42">
        <v>221</v>
      </c>
      <c r="C28" s="258" t="s">
        <v>140</v>
      </c>
      <c r="D28" s="22" t="s">
        <v>334</v>
      </c>
      <c r="E28" s="13"/>
      <c r="F28" s="13"/>
      <c r="G28" s="13"/>
      <c r="H28" s="13"/>
      <c r="I28" s="13"/>
      <c r="J28" s="13"/>
      <c r="K28" s="20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4" s="1" customFormat="1">
      <c r="A29" s="276"/>
      <c r="B29" s="42">
        <v>231</v>
      </c>
      <c r="C29" s="258" t="s">
        <v>150</v>
      </c>
      <c r="D29" s="22" t="s">
        <v>334</v>
      </c>
      <c r="E29" s="13"/>
      <c r="F29" s="13"/>
      <c r="G29" s="13"/>
      <c r="H29" s="13"/>
      <c r="I29" s="13"/>
      <c r="J29" s="13"/>
      <c r="K29" s="20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4" s="1" customFormat="1">
      <c r="A30" s="276"/>
      <c r="B30" s="42">
        <v>241</v>
      </c>
      <c r="C30" s="258" t="s">
        <v>160</v>
      </c>
      <c r="D30" s="22" t="s">
        <v>334</v>
      </c>
      <c r="E30" s="13"/>
      <c r="F30" s="13"/>
      <c r="G30" s="13"/>
      <c r="H30" s="13"/>
      <c r="I30" s="13"/>
      <c r="J30" s="13"/>
      <c r="K30" s="2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4" s="1" customFormat="1">
      <c r="A31" s="276"/>
      <c r="B31" s="42">
        <v>251</v>
      </c>
      <c r="C31" s="258" t="s">
        <v>170</v>
      </c>
      <c r="D31" s="22" t="s">
        <v>334</v>
      </c>
      <c r="E31" s="13"/>
      <c r="F31" s="13"/>
      <c r="G31" s="13"/>
      <c r="H31" s="13"/>
      <c r="I31" s="13"/>
      <c r="J31" s="13"/>
      <c r="K31" s="20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4" s="1" customFormat="1">
      <c r="A32" s="276"/>
      <c r="B32" s="42">
        <v>261</v>
      </c>
      <c r="C32" s="258" t="s">
        <v>180</v>
      </c>
      <c r="D32" s="22" t="s">
        <v>331</v>
      </c>
      <c r="E32" s="13"/>
      <c r="F32" s="13"/>
      <c r="G32" s="13"/>
      <c r="H32" s="13"/>
      <c r="I32" s="13"/>
      <c r="J32" s="13"/>
      <c r="K32" s="20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s="1" customFormat="1">
      <c r="A33" s="276"/>
      <c r="B33" s="42">
        <v>271</v>
      </c>
      <c r="C33" s="258" t="s">
        <v>190</v>
      </c>
      <c r="D33" s="22" t="s">
        <v>332</v>
      </c>
      <c r="E33" s="13"/>
      <c r="F33" s="13"/>
      <c r="G33" s="13"/>
      <c r="H33" s="13"/>
      <c r="I33" s="13"/>
      <c r="J33" s="13"/>
      <c r="K33" s="20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s="1" customFormat="1">
      <c r="A34" s="276"/>
      <c r="B34" s="42">
        <v>281</v>
      </c>
      <c r="C34" s="258" t="s">
        <v>200</v>
      </c>
      <c r="D34" s="22" t="s">
        <v>333</v>
      </c>
      <c r="E34" s="13"/>
      <c r="F34" s="13"/>
      <c r="G34" s="13"/>
      <c r="H34" s="13"/>
      <c r="I34" s="13"/>
      <c r="J34" s="13"/>
      <c r="K34" s="20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s="1" customFormat="1">
      <c r="A35" s="276"/>
      <c r="B35" s="42">
        <v>291</v>
      </c>
      <c r="C35" s="258" t="s">
        <v>210</v>
      </c>
      <c r="D35" s="22" t="s">
        <v>330</v>
      </c>
      <c r="E35" s="13"/>
      <c r="F35" s="13"/>
      <c r="G35" s="13"/>
      <c r="H35" s="13"/>
      <c r="I35" s="13"/>
      <c r="J35" s="13"/>
      <c r="K35" s="20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s="1" customFormat="1">
      <c r="A36" s="276"/>
      <c r="B36" s="42">
        <v>301</v>
      </c>
      <c r="C36" s="258" t="s">
        <v>220</v>
      </c>
      <c r="D36" s="22" t="s">
        <v>335</v>
      </c>
      <c r="E36" s="13"/>
      <c r="F36" s="13"/>
      <c r="G36" s="13"/>
      <c r="H36" s="13"/>
      <c r="I36" s="13"/>
      <c r="J36" s="13"/>
      <c r="K36" s="20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s="1" customFormat="1">
      <c r="A37" s="276"/>
      <c r="B37" s="42">
        <v>311</v>
      </c>
      <c r="C37" s="258" t="s">
        <v>230</v>
      </c>
      <c r="D37" s="22" t="s">
        <v>527</v>
      </c>
      <c r="E37" s="13"/>
      <c r="F37" s="13"/>
      <c r="G37" s="13"/>
      <c r="H37" s="13"/>
      <c r="I37" s="13"/>
      <c r="J37" s="13"/>
      <c r="K37" s="20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1:44" s="1" customFormat="1">
      <c r="A38" s="276"/>
      <c r="B38" s="42">
        <v>321</v>
      </c>
      <c r="C38" s="258" t="s">
        <v>240</v>
      </c>
      <c r="D38" s="22" t="s">
        <v>528</v>
      </c>
      <c r="E38" s="13"/>
      <c r="F38" s="13"/>
      <c r="G38" s="13"/>
      <c r="H38" s="13"/>
      <c r="I38" s="13"/>
      <c r="J38" s="13"/>
      <c r="K38" s="20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1:44" s="1" customFormat="1">
      <c r="A39" s="276"/>
      <c r="B39" s="42">
        <v>331</v>
      </c>
      <c r="C39" s="258" t="s">
        <v>250</v>
      </c>
      <c r="D39" s="22" t="s">
        <v>529</v>
      </c>
      <c r="E39" s="13"/>
      <c r="F39" s="13"/>
      <c r="G39" s="13"/>
      <c r="H39" s="13"/>
      <c r="I39" s="13"/>
      <c r="J39" s="13"/>
      <c r="K39" s="20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1:44" s="1" customFormat="1">
      <c r="A40" s="276"/>
      <c r="B40" s="42">
        <v>341</v>
      </c>
      <c r="C40" s="258" t="s">
        <v>260</v>
      </c>
      <c r="D40" s="22" t="s">
        <v>336</v>
      </c>
      <c r="E40" s="13"/>
      <c r="F40" s="13"/>
      <c r="G40" s="13"/>
      <c r="H40" s="13"/>
      <c r="I40" s="13"/>
      <c r="J40" s="13"/>
      <c r="K40" s="2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1:44" s="1" customFormat="1">
      <c r="A41" s="276"/>
      <c r="B41" s="42">
        <v>351</v>
      </c>
      <c r="C41" s="258" t="s">
        <v>270</v>
      </c>
      <c r="D41" s="22" t="s">
        <v>336</v>
      </c>
      <c r="E41" s="13"/>
      <c r="F41" s="13"/>
      <c r="G41" s="13"/>
      <c r="H41" s="13"/>
      <c r="I41" s="13"/>
      <c r="J41" s="13"/>
      <c r="K41" s="20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1:44" s="1" customFormat="1">
      <c r="A42" s="276"/>
      <c r="B42" s="42">
        <v>361</v>
      </c>
      <c r="C42" s="258" t="s">
        <v>280</v>
      </c>
      <c r="D42" s="22" t="s">
        <v>530</v>
      </c>
      <c r="E42" s="13"/>
      <c r="F42" s="13"/>
      <c r="G42" s="13"/>
      <c r="H42" s="13"/>
      <c r="I42" s="13"/>
      <c r="J42" s="13"/>
      <c r="K42" s="20"/>
      <c r="L42" s="3"/>
    </row>
    <row r="43" spans="1:44" s="1" customFormat="1">
      <c r="A43" s="276"/>
      <c r="B43" s="42">
        <v>371</v>
      </c>
      <c r="C43" s="258" t="s">
        <v>290</v>
      </c>
      <c r="D43" s="22" t="s">
        <v>531</v>
      </c>
      <c r="E43" s="13"/>
      <c r="F43" s="13"/>
      <c r="G43" s="13"/>
      <c r="H43" s="13"/>
      <c r="I43" s="13"/>
      <c r="J43" s="13"/>
      <c r="K43" s="20"/>
      <c r="L43" s="3"/>
    </row>
    <row r="44" spans="1:44" s="1" customFormat="1">
      <c r="A44" s="276"/>
      <c r="B44" s="42">
        <v>381</v>
      </c>
      <c r="C44" s="258" t="s">
        <v>300</v>
      </c>
      <c r="D44" s="22" t="s">
        <v>532</v>
      </c>
      <c r="E44" s="13"/>
      <c r="F44" s="13"/>
      <c r="G44" s="13"/>
      <c r="H44" s="13"/>
      <c r="I44" s="13"/>
      <c r="J44" s="13"/>
      <c r="K44" s="20"/>
      <c r="L44" s="3"/>
    </row>
    <row r="45" spans="1:44" s="1" customFormat="1">
      <c r="A45" s="276"/>
      <c r="B45" s="42">
        <v>391</v>
      </c>
      <c r="C45" s="258" t="s">
        <v>310</v>
      </c>
      <c r="D45" s="22" t="s">
        <v>533</v>
      </c>
      <c r="E45" s="13"/>
      <c r="F45" s="13"/>
      <c r="G45" s="13"/>
      <c r="H45" s="13"/>
      <c r="I45" s="13"/>
      <c r="J45" s="13"/>
      <c r="K45" s="20"/>
      <c r="L45" s="3"/>
    </row>
    <row r="46" spans="1:44" s="1" customFormat="1">
      <c r="A46" s="276"/>
      <c r="B46" s="42">
        <v>2</v>
      </c>
      <c r="C46" s="258" t="s">
        <v>338</v>
      </c>
      <c r="D46" s="22" t="s">
        <v>534</v>
      </c>
      <c r="E46" s="13"/>
      <c r="F46" s="13"/>
      <c r="G46" s="13"/>
      <c r="H46" s="13"/>
      <c r="I46" s="13"/>
      <c r="J46" s="13"/>
      <c r="K46" s="20"/>
      <c r="L46" s="3"/>
    </row>
    <row r="47" spans="1:44" s="1" customFormat="1">
      <c r="A47" s="276"/>
      <c r="B47" s="42">
        <v>12</v>
      </c>
      <c r="C47" s="258" t="s">
        <v>348</v>
      </c>
      <c r="D47" s="22" t="s">
        <v>535</v>
      </c>
      <c r="E47" s="13"/>
      <c r="F47" s="13"/>
      <c r="G47" s="13"/>
      <c r="H47" s="13"/>
      <c r="I47" s="13"/>
      <c r="J47" s="13"/>
      <c r="K47" s="20"/>
      <c r="L47" s="3"/>
    </row>
    <row r="48" spans="1:44">
      <c r="B48" s="42">
        <v>22</v>
      </c>
      <c r="C48" s="258" t="s">
        <v>358</v>
      </c>
      <c r="D48" s="22" t="s">
        <v>536</v>
      </c>
      <c r="E48" s="13"/>
      <c r="F48" s="13"/>
      <c r="G48" s="13"/>
      <c r="H48" s="13"/>
      <c r="I48" s="13"/>
      <c r="J48" s="13"/>
      <c r="K48" s="20"/>
    </row>
    <row r="49" spans="2:11">
      <c r="B49" s="42">
        <v>32</v>
      </c>
      <c r="C49" s="258" t="s">
        <v>368</v>
      </c>
      <c r="D49" s="22" t="s">
        <v>537</v>
      </c>
      <c r="E49" s="13"/>
      <c r="F49" s="13"/>
      <c r="G49" s="13"/>
      <c r="H49" s="13"/>
      <c r="I49" s="13"/>
      <c r="J49" s="13"/>
      <c r="K49" s="20"/>
    </row>
    <row r="50" spans="2:11">
      <c r="B50" s="42">
        <v>42</v>
      </c>
      <c r="C50" s="258" t="s">
        <v>378</v>
      </c>
      <c r="D50" s="285" t="s">
        <v>320</v>
      </c>
      <c r="E50" s="13"/>
      <c r="F50" s="13"/>
      <c r="G50" s="13"/>
      <c r="H50" s="13"/>
      <c r="I50" s="13"/>
      <c r="J50" s="13"/>
      <c r="K50" s="20"/>
    </row>
    <row r="51" spans="2:11">
      <c r="B51" s="42">
        <v>52</v>
      </c>
      <c r="C51" s="258" t="s">
        <v>388</v>
      </c>
      <c r="D51" s="285" t="s">
        <v>464</v>
      </c>
      <c r="E51" s="13"/>
      <c r="F51" s="13"/>
      <c r="G51" s="13"/>
      <c r="H51" s="13"/>
      <c r="I51" s="13"/>
      <c r="J51" s="13"/>
      <c r="K51" s="20"/>
    </row>
    <row r="52" spans="2:11">
      <c r="B52" s="42">
        <v>62</v>
      </c>
      <c r="C52" s="258" t="s">
        <v>398</v>
      </c>
      <c r="D52" s="285" t="s">
        <v>428</v>
      </c>
      <c r="E52" s="13"/>
      <c r="F52" s="13"/>
      <c r="G52" s="13"/>
      <c r="H52" s="13"/>
      <c r="I52" s="13"/>
      <c r="J52" s="13"/>
      <c r="K52" s="20"/>
    </row>
    <row r="53" spans="2:11">
      <c r="B53" s="42">
        <v>72</v>
      </c>
      <c r="C53" s="258" t="s">
        <v>408</v>
      </c>
      <c r="D53" s="285" t="s">
        <v>429</v>
      </c>
      <c r="E53" s="13"/>
      <c r="F53" s="13"/>
      <c r="G53" s="13"/>
      <c r="H53" s="13"/>
      <c r="I53" s="13"/>
      <c r="J53" s="13"/>
      <c r="K53" s="20"/>
    </row>
    <row r="54" spans="2:11">
      <c r="B54" s="42">
        <v>82</v>
      </c>
      <c r="C54" s="258" t="s">
        <v>418</v>
      </c>
      <c r="D54" s="22" t="s">
        <v>430</v>
      </c>
      <c r="E54" s="13"/>
      <c r="F54" s="13"/>
      <c r="G54" s="13"/>
      <c r="H54" s="13"/>
      <c r="I54" s="13"/>
      <c r="J54" s="13"/>
      <c r="K54" s="20"/>
    </row>
    <row r="55" spans="2:11">
      <c r="B55" s="42">
        <v>92</v>
      </c>
      <c r="C55" s="258" t="s">
        <v>4</v>
      </c>
      <c r="D55" s="22" t="s">
        <v>431</v>
      </c>
      <c r="E55" s="13"/>
      <c r="F55" s="13"/>
      <c r="G55" s="13"/>
      <c r="H55" s="13"/>
      <c r="I55" s="13"/>
      <c r="J55" s="13"/>
      <c r="K55" s="20"/>
    </row>
    <row r="56" spans="2:11">
      <c r="B56" s="42">
        <v>102</v>
      </c>
      <c r="C56" s="258" t="s">
        <v>21</v>
      </c>
      <c r="D56" s="22" t="s">
        <v>538</v>
      </c>
      <c r="E56" s="13"/>
      <c r="F56" s="13"/>
      <c r="G56" s="13"/>
      <c r="H56" s="13"/>
      <c r="I56" s="13"/>
      <c r="J56" s="13"/>
      <c r="K56" s="20"/>
    </row>
    <row r="57" spans="2:11">
      <c r="B57" s="42">
        <v>112</v>
      </c>
      <c r="C57" s="258" t="s">
        <v>31</v>
      </c>
      <c r="D57" s="22" t="s">
        <v>539</v>
      </c>
      <c r="E57" s="13"/>
      <c r="F57" s="13"/>
      <c r="G57" s="13"/>
      <c r="H57" s="13"/>
      <c r="I57" s="13"/>
      <c r="J57" s="13"/>
      <c r="K57" s="20"/>
    </row>
    <row r="58" spans="2:11">
      <c r="B58" s="42">
        <v>122</v>
      </c>
      <c r="C58" s="258" t="s">
        <v>41</v>
      </c>
      <c r="D58" s="22" t="s">
        <v>540</v>
      </c>
      <c r="E58" s="13"/>
      <c r="F58" s="13"/>
      <c r="G58" s="13"/>
      <c r="H58" s="13"/>
      <c r="I58" s="13"/>
      <c r="J58" s="13"/>
      <c r="K58" s="20"/>
    </row>
    <row r="59" spans="2:11">
      <c r="B59" s="42">
        <v>132</v>
      </c>
      <c r="C59" s="258" t="s">
        <v>51</v>
      </c>
      <c r="D59" s="22" t="s">
        <v>541</v>
      </c>
      <c r="E59" s="13"/>
      <c r="F59" s="13"/>
      <c r="G59" s="13"/>
      <c r="H59" s="13"/>
      <c r="I59" s="13"/>
      <c r="J59" s="13"/>
      <c r="K59" s="20"/>
    </row>
    <row r="60" spans="2:11">
      <c r="B60" s="42">
        <v>142</v>
      </c>
      <c r="C60" s="258" t="s">
        <v>61</v>
      </c>
      <c r="D60" s="22" t="s">
        <v>329</v>
      </c>
      <c r="E60" s="13"/>
      <c r="F60" s="13"/>
      <c r="G60" s="13"/>
      <c r="H60" s="13"/>
      <c r="I60" s="13"/>
      <c r="J60" s="13"/>
      <c r="K60" s="20"/>
    </row>
    <row r="61" spans="2:11">
      <c r="B61" s="42">
        <v>152</v>
      </c>
      <c r="C61" s="258" t="s">
        <v>71</v>
      </c>
      <c r="D61" s="22" t="s">
        <v>329</v>
      </c>
      <c r="E61" s="13"/>
      <c r="F61" s="13"/>
      <c r="G61" s="13"/>
      <c r="H61" s="13"/>
      <c r="I61" s="13"/>
      <c r="J61" s="13"/>
      <c r="K61" s="20"/>
    </row>
    <row r="62" spans="2:11">
      <c r="B62" s="42">
        <v>162</v>
      </c>
      <c r="C62" s="258" t="s">
        <v>81</v>
      </c>
      <c r="D62" s="22" t="s">
        <v>433</v>
      </c>
      <c r="E62" s="13"/>
      <c r="F62" s="13"/>
      <c r="G62" s="13"/>
      <c r="H62" s="13"/>
      <c r="I62" s="13"/>
      <c r="J62" s="13"/>
      <c r="K62" s="20"/>
    </row>
    <row r="63" spans="2:11">
      <c r="B63" s="42">
        <v>172</v>
      </c>
      <c r="C63" s="258" t="s">
        <v>91</v>
      </c>
      <c r="D63" s="22" t="s">
        <v>434</v>
      </c>
      <c r="E63" s="13"/>
      <c r="F63" s="13"/>
      <c r="G63" s="13"/>
      <c r="H63" s="13"/>
      <c r="I63" s="13"/>
      <c r="J63" s="13"/>
      <c r="K63" s="20"/>
    </row>
    <row r="64" spans="2:11">
      <c r="B64" s="42">
        <v>182</v>
      </c>
      <c r="C64" s="258" t="s">
        <v>101</v>
      </c>
      <c r="D64" s="22" t="s">
        <v>542</v>
      </c>
      <c r="E64" s="13"/>
      <c r="F64" s="13"/>
      <c r="G64" s="13"/>
      <c r="H64" s="13"/>
      <c r="I64" s="13"/>
      <c r="J64" s="13"/>
      <c r="K64" s="20"/>
    </row>
    <row r="65" spans="2:11">
      <c r="B65" s="42">
        <v>192</v>
      </c>
      <c r="C65" s="258" t="s">
        <v>111</v>
      </c>
      <c r="D65" s="22" t="s">
        <v>543</v>
      </c>
      <c r="E65" s="13"/>
      <c r="F65" s="13"/>
      <c r="G65" s="13"/>
      <c r="H65" s="13"/>
      <c r="I65" s="13"/>
      <c r="J65" s="13"/>
      <c r="K65" s="20"/>
    </row>
    <row r="66" spans="2:11">
      <c r="B66" s="42">
        <v>202</v>
      </c>
      <c r="C66" s="258" t="s">
        <v>121</v>
      </c>
      <c r="D66" s="22" t="s">
        <v>435</v>
      </c>
      <c r="E66" s="13"/>
      <c r="F66" s="13"/>
      <c r="G66" s="13"/>
      <c r="H66" s="13"/>
      <c r="I66" s="13"/>
      <c r="J66" s="13"/>
      <c r="K66" s="20"/>
    </row>
    <row r="67" spans="2:11">
      <c r="B67" s="42">
        <v>212</v>
      </c>
      <c r="C67" s="258" t="s">
        <v>131</v>
      </c>
      <c r="D67" s="22" t="s">
        <v>436</v>
      </c>
      <c r="E67" s="13"/>
      <c r="F67" s="13"/>
      <c r="G67" s="13"/>
      <c r="H67" s="13"/>
      <c r="I67" s="13"/>
      <c r="J67" s="13"/>
      <c r="K67" s="20"/>
    </row>
    <row r="68" spans="2:11">
      <c r="B68" s="42">
        <v>222</v>
      </c>
      <c r="C68" s="258" t="s">
        <v>141</v>
      </c>
      <c r="D68" s="22" t="s">
        <v>544</v>
      </c>
      <c r="E68" s="13"/>
      <c r="F68" s="13"/>
      <c r="G68" s="13"/>
      <c r="H68" s="13"/>
      <c r="I68" s="13"/>
      <c r="J68" s="13"/>
      <c r="K68" s="20"/>
    </row>
    <row r="69" spans="2:11">
      <c r="B69" s="42">
        <v>232</v>
      </c>
      <c r="C69" s="258" t="s">
        <v>151</v>
      </c>
      <c r="D69" s="22" t="s">
        <v>450</v>
      </c>
      <c r="E69" s="13"/>
      <c r="F69" s="13"/>
      <c r="G69" s="13"/>
      <c r="H69" s="13"/>
      <c r="I69" s="13"/>
      <c r="J69" s="13"/>
      <c r="K69" s="20"/>
    </row>
    <row r="70" spans="2:11">
      <c r="B70" s="42">
        <v>242</v>
      </c>
      <c r="C70" s="258" t="s">
        <v>161</v>
      </c>
      <c r="D70" s="22" t="s">
        <v>545</v>
      </c>
      <c r="E70" s="13"/>
      <c r="F70" s="13"/>
      <c r="G70" s="13"/>
      <c r="H70" s="13"/>
      <c r="I70" s="13"/>
      <c r="J70" s="13"/>
      <c r="K70" s="20"/>
    </row>
    <row r="71" spans="2:11">
      <c r="B71" s="42">
        <v>252</v>
      </c>
      <c r="C71" s="258" t="s">
        <v>171</v>
      </c>
      <c r="D71" s="22" t="s">
        <v>546</v>
      </c>
      <c r="E71" s="13"/>
      <c r="F71" s="13"/>
      <c r="G71" s="13"/>
      <c r="H71" s="13"/>
      <c r="I71" s="13"/>
      <c r="J71" s="13"/>
      <c r="K71" s="20"/>
    </row>
    <row r="72" spans="2:11">
      <c r="B72" s="42">
        <v>262</v>
      </c>
      <c r="C72" s="258" t="s">
        <v>181</v>
      </c>
      <c r="D72" s="22" t="s">
        <v>334</v>
      </c>
      <c r="E72" s="13"/>
      <c r="F72" s="13"/>
      <c r="G72" s="13"/>
      <c r="H72" s="13"/>
      <c r="I72" s="13"/>
      <c r="J72" s="13"/>
      <c r="K72" s="20"/>
    </row>
    <row r="73" spans="2:11">
      <c r="B73" s="42">
        <v>272</v>
      </c>
      <c r="C73" s="258" t="s">
        <v>191</v>
      </c>
      <c r="D73" s="22" t="s">
        <v>438</v>
      </c>
      <c r="E73" s="13"/>
      <c r="F73" s="13"/>
      <c r="G73" s="13"/>
      <c r="H73" s="13"/>
      <c r="I73" s="13"/>
      <c r="J73" s="13"/>
      <c r="K73" s="20"/>
    </row>
    <row r="74" spans="2:11">
      <c r="B74" s="213">
        <v>282</v>
      </c>
      <c r="C74" s="214" t="s">
        <v>201</v>
      </c>
      <c r="D74" s="201" t="s">
        <v>454</v>
      </c>
      <c r="E74" s="216"/>
      <c r="F74" s="216"/>
      <c r="G74" s="216"/>
      <c r="H74" s="216"/>
      <c r="I74" s="216"/>
      <c r="J74" s="216"/>
      <c r="K74" s="217"/>
    </row>
    <row r="75" spans="2:11">
      <c r="B75" s="42">
        <v>292</v>
      </c>
      <c r="C75" s="258" t="s">
        <v>211</v>
      </c>
      <c r="D75" s="22" t="s">
        <v>330</v>
      </c>
      <c r="E75" s="13"/>
      <c r="F75" s="13"/>
      <c r="G75" s="13"/>
      <c r="H75" s="13"/>
      <c r="I75" s="13"/>
      <c r="J75" s="13"/>
      <c r="K75" s="20"/>
    </row>
    <row r="76" spans="2:11">
      <c r="B76" s="42">
        <v>302</v>
      </c>
      <c r="C76" s="258" t="s">
        <v>221</v>
      </c>
      <c r="D76" s="22" t="s">
        <v>439</v>
      </c>
      <c r="E76" s="13"/>
      <c r="F76" s="13"/>
      <c r="G76" s="13"/>
      <c r="H76" s="13"/>
      <c r="I76" s="13"/>
      <c r="J76" s="13"/>
      <c r="K76" s="20"/>
    </row>
    <row r="77" spans="2:11">
      <c r="B77" s="42">
        <v>312</v>
      </c>
      <c r="C77" s="258" t="s">
        <v>231</v>
      </c>
      <c r="D77" s="22" t="s">
        <v>547</v>
      </c>
      <c r="E77" s="13"/>
      <c r="F77" s="13"/>
      <c r="G77" s="13"/>
      <c r="H77" s="13"/>
      <c r="I77" s="13"/>
      <c r="J77" s="13"/>
      <c r="K77" s="20"/>
    </row>
    <row r="78" spans="2:11">
      <c r="B78" s="42">
        <v>322</v>
      </c>
      <c r="C78" s="258" t="s">
        <v>241</v>
      </c>
      <c r="D78" s="22" t="s">
        <v>548</v>
      </c>
      <c r="E78" s="13"/>
      <c r="F78" s="13"/>
      <c r="G78" s="13"/>
      <c r="H78" s="13"/>
      <c r="I78" s="13"/>
      <c r="J78" s="13"/>
      <c r="K78" s="20"/>
    </row>
    <row r="79" spans="2:11">
      <c r="B79" s="42">
        <v>332</v>
      </c>
      <c r="C79" s="258" t="s">
        <v>251</v>
      </c>
      <c r="D79" s="22" t="s">
        <v>549</v>
      </c>
      <c r="E79" s="13"/>
      <c r="F79" s="13"/>
      <c r="G79" s="13"/>
      <c r="H79" s="13"/>
      <c r="I79" s="13"/>
      <c r="J79" s="13"/>
      <c r="K79" s="20"/>
    </row>
    <row r="80" spans="2:11">
      <c r="B80" s="42">
        <v>342</v>
      </c>
      <c r="C80" s="258" t="s">
        <v>261</v>
      </c>
      <c r="D80" s="22" t="s">
        <v>336</v>
      </c>
      <c r="E80" s="13"/>
      <c r="F80" s="13"/>
      <c r="G80" s="13"/>
      <c r="H80" s="13"/>
      <c r="I80" s="13"/>
      <c r="J80" s="13"/>
      <c r="K80" s="20"/>
    </row>
    <row r="81" spans="2:11">
      <c r="B81" s="42">
        <v>352</v>
      </c>
      <c r="C81" s="258" t="s">
        <v>271</v>
      </c>
      <c r="D81" s="22" t="s">
        <v>336</v>
      </c>
      <c r="E81" s="13"/>
      <c r="F81" s="13"/>
      <c r="G81" s="13"/>
      <c r="H81" s="13"/>
      <c r="I81" s="13"/>
      <c r="J81" s="13"/>
      <c r="K81" s="20"/>
    </row>
    <row r="82" spans="2:11">
      <c r="B82" s="42">
        <v>362</v>
      </c>
      <c r="C82" s="258" t="s">
        <v>281</v>
      </c>
      <c r="D82" s="22" t="s">
        <v>550</v>
      </c>
      <c r="E82" s="13"/>
      <c r="F82" s="13"/>
      <c r="G82" s="13"/>
      <c r="H82" s="13"/>
      <c r="I82" s="13"/>
      <c r="J82" s="13"/>
      <c r="K82" s="20"/>
    </row>
    <row r="83" spans="2:11">
      <c r="B83" s="42">
        <v>372</v>
      </c>
      <c r="C83" s="258" t="s">
        <v>291</v>
      </c>
      <c r="D83" s="22" t="s">
        <v>551</v>
      </c>
      <c r="E83" s="13"/>
      <c r="F83" s="13"/>
      <c r="G83" s="13"/>
      <c r="H83" s="13"/>
      <c r="I83" s="13"/>
      <c r="J83" s="13"/>
      <c r="K83" s="20"/>
    </row>
    <row r="84" spans="2:11">
      <c r="B84" s="42">
        <v>382</v>
      </c>
      <c r="C84" s="258" t="s">
        <v>301</v>
      </c>
      <c r="D84" s="22" t="s">
        <v>441</v>
      </c>
      <c r="E84" s="13"/>
      <c r="F84" s="13"/>
      <c r="G84" s="13"/>
      <c r="H84" s="13"/>
      <c r="I84" s="13"/>
      <c r="J84" s="13"/>
      <c r="K84" s="20"/>
    </row>
    <row r="85" spans="2:11">
      <c r="B85" s="42">
        <v>392</v>
      </c>
      <c r="C85" s="258" t="s">
        <v>311</v>
      </c>
      <c r="D85" s="22" t="s">
        <v>440</v>
      </c>
      <c r="E85" s="13"/>
      <c r="F85" s="13"/>
      <c r="G85" s="13"/>
      <c r="H85" s="13"/>
      <c r="I85" s="13"/>
      <c r="J85" s="13"/>
      <c r="K85" s="20"/>
    </row>
    <row r="86" spans="2:11">
      <c r="B86" s="42">
        <v>3</v>
      </c>
      <c r="C86" s="258" t="s">
        <v>339</v>
      </c>
      <c r="D86" s="22" t="s">
        <v>552</v>
      </c>
      <c r="E86" s="13"/>
      <c r="F86" s="13"/>
      <c r="G86" s="13"/>
      <c r="H86" s="13"/>
      <c r="I86" s="13"/>
      <c r="J86" s="13"/>
      <c r="K86" s="20"/>
    </row>
    <row r="87" spans="2:11">
      <c r="B87" s="42">
        <v>13</v>
      </c>
      <c r="C87" s="258" t="s">
        <v>349</v>
      </c>
      <c r="D87" s="22" t="s">
        <v>553</v>
      </c>
      <c r="E87" s="13"/>
      <c r="F87" s="13"/>
      <c r="G87" s="13"/>
      <c r="H87" s="13"/>
      <c r="I87" s="13"/>
      <c r="J87" s="13"/>
      <c r="K87" s="20"/>
    </row>
    <row r="88" spans="2:11">
      <c r="B88" s="42">
        <v>23</v>
      </c>
      <c r="C88" s="258" t="s">
        <v>359</v>
      </c>
      <c r="D88" s="22" t="s">
        <v>554</v>
      </c>
      <c r="E88" s="13"/>
      <c r="F88" s="13"/>
      <c r="G88" s="13"/>
      <c r="H88" s="13"/>
      <c r="I88" s="13"/>
      <c r="J88" s="13"/>
      <c r="K88" s="20"/>
    </row>
    <row r="89" spans="2:11">
      <c r="B89" s="42">
        <v>33</v>
      </c>
      <c r="C89" s="258" t="s">
        <v>369</v>
      </c>
      <c r="D89" s="22" t="s">
        <v>555</v>
      </c>
      <c r="E89" s="13"/>
      <c r="F89" s="13"/>
      <c r="G89" s="13"/>
      <c r="H89" s="13"/>
      <c r="I89" s="13"/>
      <c r="J89" s="13"/>
      <c r="K89" s="20"/>
    </row>
    <row r="90" spans="2:11">
      <c r="B90" s="42">
        <v>43</v>
      </c>
      <c r="C90" s="258" t="s">
        <v>379</v>
      </c>
      <c r="D90" s="285" t="s">
        <v>447</v>
      </c>
      <c r="E90" s="13"/>
      <c r="F90" s="13"/>
      <c r="G90" s="13"/>
      <c r="H90" s="13"/>
      <c r="I90" s="13"/>
      <c r="J90" s="13"/>
      <c r="K90" s="20"/>
    </row>
    <row r="91" spans="2:11">
      <c r="B91" s="42">
        <v>53</v>
      </c>
      <c r="C91" s="258" t="s">
        <v>389</v>
      </c>
      <c r="D91" s="285" t="s">
        <v>464</v>
      </c>
      <c r="E91" s="13"/>
      <c r="F91" s="13"/>
      <c r="G91" s="13"/>
      <c r="H91" s="13"/>
      <c r="I91" s="13"/>
      <c r="J91" s="13"/>
      <c r="K91" s="20"/>
    </row>
    <row r="92" spans="2:11">
      <c r="B92" s="42">
        <v>63</v>
      </c>
      <c r="C92" s="258" t="s">
        <v>399</v>
      </c>
      <c r="D92" s="285" t="s">
        <v>464</v>
      </c>
      <c r="E92" s="13"/>
      <c r="F92" s="13"/>
      <c r="G92" s="13"/>
      <c r="H92" s="13"/>
      <c r="I92" s="13"/>
      <c r="J92" s="13"/>
      <c r="K92" s="20"/>
    </row>
    <row r="93" spans="2:11">
      <c r="B93" s="42">
        <v>73</v>
      </c>
      <c r="C93" s="258" t="s">
        <v>409</v>
      </c>
      <c r="D93" s="285" t="s">
        <v>556</v>
      </c>
      <c r="E93" s="13"/>
      <c r="F93" s="13"/>
      <c r="G93" s="13"/>
      <c r="H93" s="13"/>
      <c r="I93" s="13"/>
      <c r="J93" s="13"/>
      <c r="K93" s="20"/>
    </row>
    <row r="94" spans="2:11">
      <c r="B94" s="42">
        <v>83</v>
      </c>
      <c r="C94" s="258" t="s">
        <v>419</v>
      </c>
      <c r="D94" s="22" t="s">
        <v>557</v>
      </c>
      <c r="E94" s="13"/>
      <c r="F94" s="13"/>
      <c r="G94" s="13"/>
      <c r="H94" s="13"/>
      <c r="I94" s="13"/>
      <c r="J94" s="13"/>
      <c r="K94" s="20"/>
    </row>
    <row r="95" spans="2:11">
      <c r="B95" s="42">
        <v>93</v>
      </c>
      <c r="C95" s="258" t="s">
        <v>5</v>
      </c>
      <c r="D95" s="22" t="s">
        <v>558</v>
      </c>
      <c r="E95" s="13"/>
      <c r="F95" s="13"/>
      <c r="G95" s="13"/>
      <c r="H95" s="13"/>
      <c r="I95" s="13"/>
      <c r="J95" s="13"/>
      <c r="K95" s="20"/>
    </row>
    <row r="96" spans="2:11">
      <c r="B96" s="42">
        <v>103</v>
      </c>
      <c r="C96" s="258" t="s">
        <v>22</v>
      </c>
      <c r="D96" s="22" t="s">
        <v>559</v>
      </c>
      <c r="E96" s="13"/>
      <c r="F96" s="13"/>
      <c r="G96" s="13"/>
      <c r="H96" s="13"/>
      <c r="I96" s="13"/>
      <c r="J96" s="13"/>
      <c r="K96" s="20"/>
    </row>
    <row r="97" spans="2:11">
      <c r="B97" s="42">
        <v>113</v>
      </c>
      <c r="C97" s="258" t="s">
        <v>32</v>
      </c>
      <c r="D97" s="22" t="s">
        <v>560</v>
      </c>
      <c r="E97" s="13"/>
      <c r="F97" s="13"/>
      <c r="G97" s="13"/>
      <c r="H97" s="13"/>
      <c r="I97" s="13"/>
      <c r="J97" s="13"/>
      <c r="K97" s="20"/>
    </row>
    <row r="98" spans="2:11">
      <c r="B98" s="42">
        <v>123</v>
      </c>
      <c r="C98" s="258" t="s">
        <v>42</v>
      </c>
      <c r="D98" s="22" t="s">
        <v>561</v>
      </c>
      <c r="E98" s="13"/>
      <c r="F98" s="13"/>
      <c r="G98" s="13"/>
      <c r="H98" s="13"/>
      <c r="I98" s="13"/>
      <c r="J98" s="13"/>
      <c r="K98" s="20"/>
    </row>
    <row r="99" spans="2:11">
      <c r="B99" s="42">
        <v>133</v>
      </c>
      <c r="C99" s="258" t="s">
        <v>52</v>
      </c>
      <c r="D99" s="22" t="s">
        <v>562</v>
      </c>
      <c r="E99" s="13"/>
      <c r="F99" s="13"/>
      <c r="G99" s="13"/>
      <c r="H99" s="13"/>
      <c r="I99" s="13"/>
      <c r="J99" s="13"/>
      <c r="K99" s="20"/>
    </row>
    <row r="100" spans="2:11">
      <c r="B100" s="42">
        <v>143</v>
      </c>
      <c r="C100" s="258" t="s">
        <v>62</v>
      </c>
      <c r="D100" s="22" t="s">
        <v>329</v>
      </c>
      <c r="E100" s="13"/>
      <c r="F100" s="13"/>
      <c r="G100" s="13"/>
      <c r="H100" s="13"/>
      <c r="I100" s="13"/>
      <c r="J100" s="13"/>
      <c r="K100" s="20"/>
    </row>
    <row r="101" spans="2:11">
      <c r="B101" s="42">
        <v>153</v>
      </c>
      <c r="C101" s="258" t="s">
        <v>72</v>
      </c>
      <c r="D101" s="22" t="s">
        <v>329</v>
      </c>
      <c r="E101" s="13"/>
      <c r="F101" s="13"/>
      <c r="G101" s="13"/>
      <c r="H101" s="13"/>
      <c r="I101" s="13"/>
      <c r="J101" s="13"/>
      <c r="K101" s="20"/>
    </row>
    <row r="102" spans="2:11">
      <c r="B102" s="42">
        <v>163</v>
      </c>
      <c r="C102" s="258" t="s">
        <v>82</v>
      </c>
      <c r="D102" s="22" t="s">
        <v>448</v>
      </c>
      <c r="E102" s="13"/>
      <c r="F102" s="13"/>
      <c r="G102" s="13"/>
      <c r="H102" s="13"/>
      <c r="I102" s="13"/>
      <c r="J102" s="13"/>
      <c r="K102" s="20"/>
    </row>
    <row r="103" spans="2:11">
      <c r="B103" s="42">
        <v>173</v>
      </c>
      <c r="C103" s="258" t="s">
        <v>92</v>
      </c>
      <c r="D103" s="22" t="s">
        <v>449</v>
      </c>
      <c r="E103" s="13"/>
      <c r="F103" s="13"/>
      <c r="G103" s="13"/>
      <c r="H103" s="13"/>
      <c r="I103" s="13"/>
      <c r="J103" s="13"/>
      <c r="K103" s="20"/>
    </row>
    <row r="104" spans="2:11">
      <c r="B104" s="42">
        <v>183</v>
      </c>
      <c r="C104" s="258" t="s">
        <v>102</v>
      </c>
      <c r="D104" s="22" t="s">
        <v>563</v>
      </c>
      <c r="E104" s="13"/>
      <c r="F104" s="13"/>
      <c r="G104" s="13"/>
      <c r="H104" s="13"/>
      <c r="I104" s="13"/>
      <c r="J104" s="13"/>
      <c r="K104" s="20"/>
    </row>
    <row r="105" spans="2:11">
      <c r="B105" s="42">
        <v>193</v>
      </c>
      <c r="C105" s="258" t="s">
        <v>112</v>
      </c>
      <c r="D105" s="22" t="s">
        <v>564</v>
      </c>
      <c r="E105" s="13"/>
      <c r="F105" s="13"/>
      <c r="G105" s="13"/>
      <c r="H105" s="13"/>
      <c r="I105" s="13"/>
      <c r="J105" s="13"/>
      <c r="K105" s="20"/>
    </row>
    <row r="106" spans="2:11">
      <c r="B106" s="42">
        <v>203</v>
      </c>
      <c r="C106" s="258" t="s">
        <v>122</v>
      </c>
      <c r="D106" s="22" t="s">
        <v>565</v>
      </c>
      <c r="E106" s="13"/>
      <c r="F106" s="13"/>
      <c r="G106" s="13"/>
      <c r="H106" s="13"/>
      <c r="I106" s="13"/>
      <c r="J106" s="13"/>
      <c r="K106" s="20"/>
    </row>
    <row r="107" spans="2:11">
      <c r="B107" s="42">
        <v>213</v>
      </c>
      <c r="C107" s="258" t="s">
        <v>132</v>
      </c>
      <c r="D107" s="22" t="s">
        <v>566</v>
      </c>
      <c r="E107" s="13"/>
      <c r="F107" s="13"/>
      <c r="G107" s="13"/>
      <c r="H107" s="13"/>
      <c r="I107" s="13"/>
      <c r="J107" s="13"/>
      <c r="K107" s="20"/>
    </row>
    <row r="108" spans="2:11">
      <c r="B108" s="42">
        <v>223</v>
      </c>
      <c r="C108" s="258" t="s">
        <v>142</v>
      </c>
      <c r="D108" s="22" t="s">
        <v>567</v>
      </c>
      <c r="E108" s="13"/>
      <c r="F108" s="13"/>
      <c r="G108" s="13"/>
      <c r="H108" s="13"/>
      <c r="I108" s="13"/>
      <c r="J108" s="13"/>
      <c r="K108" s="20"/>
    </row>
    <row r="109" spans="2:11">
      <c r="B109" s="42">
        <v>233</v>
      </c>
      <c r="C109" s="258" t="s">
        <v>152</v>
      </c>
      <c r="D109" s="22" t="s">
        <v>437</v>
      </c>
      <c r="E109" s="13"/>
      <c r="F109" s="13"/>
      <c r="G109" s="13"/>
      <c r="H109" s="13"/>
      <c r="I109" s="13"/>
      <c r="J109" s="13"/>
      <c r="K109" s="20"/>
    </row>
    <row r="110" spans="2:11">
      <c r="B110" s="42">
        <v>243</v>
      </c>
      <c r="C110" s="258" t="s">
        <v>162</v>
      </c>
      <c r="D110" s="22" t="s">
        <v>568</v>
      </c>
      <c r="E110" s="13"/>
      <c r="F110" s="13"/>
      <c r="G110" s="13"/>
      <c r="H110" s="13"/>
      <c r="I110" s="13"/>
      <c r="J110" s="13"/>
      <c r="K110" s="20"/>
    </row>
    <row r="111" spans="2:11">
      <c r="B111" s="42">
        <v>253</v>
      </c>
      <c r="C111" s="258" t="s">
        <v>172</v>
      </c>
      <c r="D111" s="22" t="s">
        <v>569</v>
      </c>
      <c r="E111" s="13"/>
      <c r="F111" s="13"/>
      <c r="G111" s="13"/>
      <c r="H111" s="13"/>
      <c r="I111" s="13"/>
      <c r="J111" s="13"/>
      <c r="K111" s="20"/>
    </row>
    <row r="112" spans="2:11">
      <c r="B112" s="42">
        <v>263</v>
      </c>
      <c r="C112" s="258" t="s">
        <v>182</v>
      </c>
      <c r="D112" s="22" t="s">
        <v>334</v>
      </c>
      <c r="E112" s="13"/>
      <c r="F112" s="13"/>
      <c r="G112" s="13"/>
      <c r="H112" s="13"/>
      <c r="I112" s="13"/>
      <c r="J112" s="13"/>
      <c r="K112" s="20"/>
    </row>
    <row r="113" spans="2:11">
      <c r="B113" s="42">
        <v>273</v>
      </c>
      <c r="C113" s="258" t="s">
        <v>192</v>
      </c>
      <c r="D113" s="22" t="s">
        <v>451</v>
      </c>
      <c r="E113" s="13"/>
      <c r="F113" s="13"/>
      <c r="G113" s="13"/>
      <c r="H113" s="13"/>
      <c r="I113" s="13"/>
      <c r="J113" s="13"/>
      <c r="K113" s="20"/>
    </row>
    <row r="114" spans="2:11">
      <c r="B114" s="213">
        <v>283</v>
      </c>
      <c r="C114" s="214" t="s">
        <v>202</v>
      </c>
      <c r="D114" s="201" t="s">
        <v>454</v>
      </c>
      <c r="E114" s="216"/>
      <c r="F114" s="216"/>
      <c r="G114" s="216"/>
      <c r="H114" s="216"/>
      <c r="I114" s="216"/>
      <c r="J114" s="216"/>
      <c r="K114" s="217"/>
    </row>
    <row r="115" spans="2:11">
      <c r="B115" s="42">
        <v>293</v>
      </c>
      <c r="C115" s="258" t="s">
        <v>212</v>
      </c>
      <c r="D115" s="22" t="s">
        <v>570</v>
      </c>
      <c r="E115" s="13"/>
      <c r="F115" s="13"/>
      <c r="G115" s="13"/>
      <c r="H115" s="13"/>
      <c r="I115" s="13"/>
      <c r="J115" s="13"/>
      <c r="K115" s="20"/>
    </row>
    <row r="116" spans="2:11">
      <c r="B116" s="42">
        <v>303</v>
      </c>
      <c r="C116" s="258" t="s">
        <v>222</v>
      </c>
      <c r="D116" s="22" t="s">
        <v>571</v>
      </c>
      <c r="E116" s="13"/>
      <c r="F116" s="13"/>
      <c r="G116" s="13"/>
      <c r="H116" s="13"/>
      <c r="I116" s="13"/>
      <c r="J116" s="13"/>
      <c r="K116" s="20"/>
    </row>
    <row r="117" spans="2:11">
      <c r="B117" s="42">
        <v>313</v>
      </c>
      <c r="C117" s="258" t="s">
        <v>232</v>
      </c>
      <c r="D117" s="22" t="s">
        <v>572</v>
      </c>
      <c r="E117" s="13"/>
      <c r="F117" s="13"/>
      <c r="G117" s="13"/>
      <c r="H117" s="13"/>
      <c r="I117" s="13"/>
      <c r="J117" s="13"/>
      <c r="K117" s="20"/>
    </row>
    <row r="118" spans="2:11">
      <c r="B118" s="42">
        <v>323</v>
      </c>
      <c r="C118" s="258" t="s">
        <v>242</v>
      </c>
      <c r="D118" s="22" t="s">
        <v>573</v>
      </c>
      <c r="E118" s="13"/>
      <c r="F118" s="13"/>
      <c r="G118" s="13"/>
      <c r="H118" s="13"/>
      <c r="I118" s="13"/>
      <c r="J118" s="13"/>
      <c r="K118" s="20"/>
    </row>
    <row r="119" spans="2:11">
      <c r="B119" s="42">
        <v>333</v>
      </c>
      <c r="C119" s="258" t="s">
        <v>252</v>
      </c>
      <c r="D119" s="22" t="s">
        <v>336</v>
      </c>
      <c r="E119" s="13"/>
      <c r="F119" s="13"/>
      <c r="G119" s="13"/>
      <c r="H119" s="13"/>
      <c r="I119" s="13"/>
      <c r="J119" s="13"/>
      <c r="K119" s="20"/>
    </row>
    <row r="120" spans="2:11">
      <c r="B120" s="42">
        <v>343</v>
      </c>
      <c r="C120" s="258" t="s">
        <v>262</v>
      </c>
      <c r="D120" s="22" t="s">
        <v>336</v>
      </c>
      <c r="E120" s="13"/>
      <c r="F120" s="13"/>
      <c r="G120" s="13"/>
      <c r="H120" s="13"/>
      <c r="I120" s="13"/>
      <c r="J120" s="13"/>
      <c r="K120" s="20"/>
    </row>
    <row r="121" spans="2:11">
      <c r="B121" s="42">
        <v>353</v>
      </c>
      <c r="C121" s="258" t="s">
        <v>272</v>
      </c>
      <c r="D121" s="22" t="s">
        <v>574</v>
      </c>
      <c r="E121" s="13"/>
      <c r="F121" s="13"/>
      <c r="G121" s="13"/>
      <c r="H121" s="13"/>
      <c r="I121" s="13"/>
      <c r="J121" s="13"/>
      <c r="K121" s="20"/>
    </row>
    <row r="122" spans="2:11">
      <c r="B122" s="42">
        <v>363</v>
      </c>
      <c r="C122" s="258" t="s">
        <v>282</v>
      </c>
      <c r="D122" s="22" t="s">
        <v>575</v>
      </c>
      <c r="E122" s="13"/>
      <c r="F122" s="13"/>
      <c r="G122" s="13"/>
      <c r="H122" s="13"/>
      <c r="I122" s="13"/>
      <c r="J122" s="13"/>
      <c r="K122" s="20"/>
    </row>
    <row r="123" spans="2:11">
      <c r="B123" s="42">
        <v>373</v>
      </c>
      <c r="C123" s="258" t="s">
        <v>292</v>
      </c>
      <c r="D123" s="22" t="s">
        <v>576</v>
      </c>
      <c r="E123" s="13"/>
      <c r="F123" s="13"/>
      <c r="G123" s="13"/>
      <c r="H123" s="13"/>
      <c r="I123" s="13"/>
      <c r="J123" s="13"/>
      <c r="K123" s="20"/>
    </row>
    <row r="124" spans="2:11">
      <c r="B124" s="42">
        <v>383</v>
      </c>
      <c r="C124" s="258" t="s">
        <v>302</v>
      </c>
      <c r="D124" s="22" t="s">
        <v>452</v>
      </c>
      <c r="E124" s="13"/>
      <c r="F124" s="13"/>
      <c r="G124" s="13"/>
      <c r="H124" s="13"/>
      <c r="I124" s="13"/>
      <c r="J124" s="13"/>
      <c r="K124" s="20"/>
    </row>
    <row r="125" spans="2:11">
      <c r="B125" s="42">
        <v>393</v>
      </c>
      <c r="C125" s="258" t="s">
        <v>312</v>
      </c>
      <c r="D125" s="22" t="s">
        <v>453</v>
      </c>
      <c r="E125" s="13"/>
      <c r="F125" s="13"/>
      <c r="G125" s="13"/>
      <c r="H125" s="13"/>
      <c r="I125" s="13"/>
      <c r="J125" s="13"/>
      <c r="K125" s="20"/>
    </row>
    <row r="126" spans="2:11">
      <c r="B126" s="42">
        <v>4</v>
      </c>
      <c r="C126" s="258" t="s">
        <v>340</v>
      </c>
      <c r="D126" s="22" t="s">
        <v>577</v>
      </c>
      <c r="E126" s="13"/>
      <c r="F126" s="13"/>
      <c r="G126" s="13"/>
      <c r="H126" s="13"/>
      <c r="I126" s="13"/>
      <c r="J126" s="13"/>
      <c r="K126" s="20"/>
    </row>
    <row r="127" spans="2:11">
      <c r="B127" s="42">
        <v>14</v>
      </c>
      <c r="C127" s="258" t="s">
        <v>350</v>
      </c>
      <c r="D127" s="22" t="s">
        <v>578</v>
      </c>
      <c r="E127" s="13"/>
      <c r="F127" s="13"/>
      <c r="G127" s="13"/>
      <c r="H127" s="13"/>
      <c r="I127" s="13"/>
      <c r="J127" s="13"/>
      <c r="K127" s="20"/>
    </row>
    <row r="128" spans="2:11">
      <c r="B128" s="42">
        <v>24</v>
      </c>
      <c r="C128" s="258" t="s">
        <v>360</v>
      </c>
      <c r="D128" s="22" t="s">
        <v>579</v>
      </c>
      <c r="E128" s="13"/>
      <c r="F128" s="13"/>
      <c r="G128" s="13"/>
      <c r="H128" s="13"/>
      <c r="I128" s="13"/>
      <c r="J128" s="13"/>
      <c r="K128" s="20"/>
    </row>
    <row r="129" spans="2:11">
      <c r="B129" s="42">
        <v>34</v>
      </c>
      <c r="C129" s="258" t="s">
        <v>370</v>
      </c>
      <c r="D129" s="22" t="s">
        <v>580</v>
      </c>
      <c r="E129" s="13"/>
      <c r="F129" s="13"/>
      <c r="G129" s="13"/>
      <c r="H129" s="13"/>
      <c r="I129" s="13"/>
      <c r="J129" s="13"/>
      <c r="K129" s="20"/>
    </row>
    <row r="130" spans="2:11">
      <c r="B130" s="42">
        <v>44</v>
      </c>
      <c r="C130" s="258" t="s">
        <v>380</v>
      </c>
      <c r="D130" s="285" t="s">
        <v>455</v>
      </c>
      <c r="E130" s="13"/>
      <c r="F130" s="13"/>
      <c r="G130" s="13"/>
      <c r="H130" s="13"/>
      <c r="I130" s="13"/>
      <c r="J130" s="13"/>
      <c r="K130" s="20"/>
    </row>
    <row r="131" spans="2:11">
      <c r="B131" s="42">
        <v>54</v>
      </c>
      <c r="C131" s="258" t="s">
        <v>390</v>
      </c>
      <c r="D131" s="285" t="s">
        <v>464</v>
      </c>
      <c r="E131" s="13"/>
      <c r="F131" s="13"/>
      <c r="G131" s="13"/>
      <c r="H131" s="13"/>
      <c r="I131" s="13"/>
      <c r="J131" s="13"/>
      <c r="K131" s="20"/>
    </row>
    <row r="132" spans="2:11">
      <c r="B132" s="42">
        <v>64</v>
      </c>
      <c r="C132" s="258" t="s">
        <v>400</v>
      </c>
      <c r="D132" s="285" t="s">
        <v>464</v>
      </c>
      <c r="E132" s="13"/>
      <c r="F132" s="13"/>
      <c r="G132" s="13"/>
      <c r="H132" s="13"/>
      <c r="I132" s="13"/>
      <c r="J132" s="13"/>
      <c r="K132" s="20"/>
    </row>
    <row r="133" spans="2:11">
      <c r="B133" s="42">
        <v>74</v>
      </c>
      <c r="C133" s="258" t="s">
        <v>410</v>
      </c>
      <c r="D133" s="285" t="s">
        <v>581</v>
      </c>
      <c r="E133" s="13"/>
      <c r="F133" s="13"/>
      <c r="G133" s="13"/>
      <c r="H133" s="13"/>
      <c r="I133" s="13"/>
      <c r="J133" s="13"/>
      <c r="K133" s="20"/>
    </row>
    <row r="134" spans="2:11">
      <c r="B134" s="42">
        <v>84</v>
      </c>
      <c r="C134" s="258" t="s">
        <v>420</v>
      </c>
      <c r="D134" s="22" t="s">
        <v>582</v>
      </c>
      <c r="E134" s="13"/>
      <c r="F134" s="13"/>
      <c r="G134" s="13"/>
      <c r="H134" s="13"/>
      <c r="I134" s="13"/>
      <c r="J134" s="13"/>
      <c r="K134" s="20"/>
    </row>
    <row r="135" spans="2:11">
      <c r="B135" s="42">
        <v>94</v>
      </c>
      <c r="C135" s="258" t="s">
        <v>6</v>
      </c>
      <c r="D135" s="22" t="s">
        <v>583</v>
      </c>
      <c r="E135" s="13"/>
      <c r="F135" s="13"/>
      <c r="G135" s="13"/>
      <c r="H135" s="13"/>
      <c r="I135" s="13"/>
      <c r="J135" s="13"/>
      <c r="K135" s="20"/>
    </row>
    <row r="136" spans="2:11">
      <c r="B136" s="42">
        <v>104</v>
      </c>
      <c r="C136" s="258" t="s">
        <v>23</v>
      </c>
      <c r="D136" s="22" t="s">
        <v>584</v>
      </c>
      <c r="E136" s="13"/>
      <c r="F136" s="13"/>
      <c r="G136" s="13"/>
      <c r="H136" s="13"/>
      <c r="I136" s="13"/>
      <c r="J136" s="13"/>
      <c r="K136" s="20"/>
    </row>
    <row r="137" spans="2:11">
      <c r="B137" s="42">
        <v>114</v>
      </c>
      <c r="C137" s="258" t="s">
        <v>33</v>
      </c>
      <c r="D137" s="22" t="s">
        <v>585</v>
      </c>
      <c r="E137" s="13"/>
      <c r="F137" s="13"/>
      <c r="G137" s="13"/>
      <c r="H137" s="13"/>
      <c r="I137" s="13"/>
      <c r="J137" s="13"/>
      <c r="K137" s="20"/>
    </row>
    <row r="138" spans="2:11">
      <c r="B138" s="42">
        <v>124</v>
      </c>
      <c r="C138" s="258" t="s">
        <v>43</v>
      </c>
      <c r="D138" s="22" t="s">
        <v>465</v>
      </c>
      <c r="E138" s="13"/>
      <c r="F138" s="13"/>
      <c r="G138" s="13"/>
      <c r="H138" s="13"/>
      <c r="I138" s="13"/>
      <c r="J138" s="13"/>
      <c r="K138" s="20"/>
    </row>
    <row r="139" spans="2:11">
      <c r="B139" s="42">
        <v>134</v>
      </c>
      <c r="C139" s="258" t="s">
        <v>53</v>
      </c>
      <c r="D139" s="22" t="s">
        <v>466</v>
      </c>
      <c r="E139" s="13"/>
      <c r="F139" s="13"/>
      <c r="G139" s="13"/>
      <c r="H139" s="13"/>
      <c r="I139" s="13"/>
      <c r="J139" s="13"/>
      <c r="K139" s="20"/>
    </row>
    <row r="140" spans="2:11">
      <c r="B140" s="42">
        <v>144</v>
      </c>
      <c r="C140" s="258" t="s">
        <v>63</v>
      </c>
      <c r="D140" s="22" t="s">
        <v>329</v>
      </c>
      <c r="E140" s="13"/>
      <c r="F140" s="13"/>
      <c r="G140" s="13"/>
      <c r="H140" s="13"/>
      <c r="I140" s="13"/>
      <c r="J140" s="13"/>
      <c r="K140" s="20"/>
    </row>
    <row r="141" spans="2:11">
      <c r="B141" s="42">
        <v>154</v>
      </c>
      <c r="C141" s="258" t="s">
        <v>73</v>
      </c>
      <c r="D141" s="22" t="s">
        <v>329</v>
      </c>
      <c r="E141" s="13"/>
      <c r="F141" s="13"/>
      <c r="G141" s="13"/>
      <c r="H141" s="13"/>
      <c r="I141" s="13"/>
      <c r="J141" s="13"/>
      <c r="K141" s="20"/>
    </row>
    <row r="142" spans="2:11">
      <c r="B142" s="42">
        <v>164</v>
      </c>
      <c r="C142" s="258" t="s">
        <v>83</v>
      </c>
      <c r="D142" s="22" t="s">
        <v>458</v>
      </c>
      <c r="E142" s="13"/>
      <c r="F142" s="13"/>
      <c r="G142" s="13"/>
      <c r="H142" s="13"/>
      <c r="I142" s="13"/>
      <c r="J142" s="13"/>
      <c r="K142" s="20"/>
    </row>
    <row r="143" spans="2:11">
      <c r="B143" s="42">
        <v>174</v>
      </c>
      <c r="C143" s="258" t="s">
        <v>93</v>
      </c>
      <c r="D143" s="22" t="s">
        <v>459</v>
      </c>
      <c r="E143" s="13"/>
      <c r="F143" s="13"/>
      <c r="G143" s="13"/>
      <c r="H143" s="13"/>
      <c r="I143" s="13"/>
      <c r="J143" s="13"/>
      <c r="K143" s="20"/>
    </row>
    <row r="144" spans="2:11">
      <c r="B144" s="42">
        <v>184</v>
      </c>
      <c r="C144" s="258" t="s">
        <v>103</v>
      </c>
      <c r="D144" s="22" t="s">
        <v>586</v>
      </c>
      <c r="E144" s="13"/>
      <c r="F144" s="13"/>
      <c r="G144" s="13"/>
      <c r="H144" s="13"/>
      <c r="I144" s="13"/>
      <c r="J144" s="13"/>
      <c r="K144" s="20"/>
    </row>
    <row r="145" spans="2:11">
      <c r="B145" s="42">
        <v>194</v>
      </c>
      <c r="C145" s="258" t="s">
        <v>113</v>
      </c>
      <c r="D145" s="22" t="s">
        <v>587</v>
      </c>
      <c r="E145" s="13"/>
      <c r="F145" s="13"/>
      <c r="G145" s="13"/>
      <c r="H145" s="13"/>
      <c r="I145" s="13"/>
      <c r="J145" s="13"/>
      <c r="K145" s="20"/>
    </row>
    <row r="146" spans="2:11">
      <c r="B146" s="42">
        <v>204</v>
      </c>
      <c r="C146" s="258" t="s">
        <v>123</v>
      </c>
      <c r="D146" s="22" t="s">
        <v>588</v>
      </c>
      <c r="E146" s="13"/>
      <c r="F146" s="13"/>
      <c r="G146" s="13"/>
      <c r="H146" s="13"/>
      <c r="I146" s="13"/>
      <c r="J146" s="13"/>
      <c r="K146" s="20"/>
    </row>
    <row r="147" spans="2:11">
      <c r="B147" s="42">
        <v>214</v>
      </c>
      <c r="C147" s="258" t="s">
        <v>133</v>
      </c>
      <c r="D147" s="22" t="s">
        <v>589</v>
      </c>
      <c r="E147" s="13"/>
      <c r="F147" s="13"/>
      <c r="G147" s="13"/>
      <c r="H147" s="13"/>
      <c r="I147" s="13"/>
      <c r="J147" s="13"/>
      <c r="K147" s="20"/>
    </row>
    <row r="148" spans="2:11">
      <c r="B148" s="42">
        <v>224</v>
      </c>
      <c r="C148" s="258" t="s">
        <v>143</v>
      </c>
      <c r="D148" s="22" t="s">
        <v>590</v>
      </c>
      <c r="E148" s="13"/>
      <c r="F148" s="13"/>
      <c r="G148" s="13"/>
      <c r="H148" s="13"/>
      <c r="I148" s="13"/>
      <c r="J148" s="13"/>
      <c r="K148" s="20"/>
    </row>
    <row r="149" spans="2:11">
      <c r="B149" s="42">
        <v>234</v>
      </c>
      <c r="C149" s="258" t="s">
        <v>153</v>
      </c>
      <c r="D149" s="22" t="s">
        <v>591</v>
      </c>
      <c r="E149" s="13"/>
      <c r="F149" s="13"/>
      <c r="G149" s="13"/>
      <c r="H149" s="13"/>
      <c r="I149" s="13"/>
      <c r="J149" s="13"/>
      <c r="K149" s="20"/>
    </row>
    <row r="150" spans="2:11">
      <c r="B150" s="42">
        <v>244</v>
      </c>
      <c r="C150" s="258" t="s">
        <v>163</v>
      </c>
      <c r="D150" s="22" t="s">
        <v>592</v>
      </c>
      <c r="E150" s="13"/>
      <c r="F150" s="13"/>
      <c r="G150" s="13"/>
      <c r="H150" s="13"/>
      <c r="I150" s="13"/>
      <c r="J150" s="13"/>
      <c r="K150" s="20"/>
    </row>
    <row r="151" spans="2:11">
      <c r="B151" s="42">
        <v>254</v>
      </c>
      <c r="C151" s="258" t="s">
        <v>173</v>
      </c>
      <c r="D151" s="22" t="s">
        <v>460</v>
      </c>
      <c r="E151" s="13"/>
      <c r="F151" s="13"/>
      <c r="G151" s="13"/>
      <c r="H151" s="13"/>
      <c r="I151" s="13"/>
      <c r="J151" s="13"/>
      <c r="K151" s="20"/>
    </row>
    <row r="152" spans="2:11">
      <c r="B152" s="42">
        <v>264</v>
      </c>
      <c r="C152" s="258" t="s">
        <v>183</v>
      </c>
      <c r="D152" s="22" t="s">
        <v>334</v>
      </c>
      <c r="E152" s="13"/>
      <c r="F152" s="13"/>
      <c r="G152" s="13"/>
      <c r="H152" s="13"/>
      <c r="I152" s="13"/>
      <c r="J152" s="13"/>
      <c r="K152" s="20"/>
    </row>
    <row r="153" spans="2:11">
      <c r="B153" s="42">
        <v>274</v>
      </c>
      <c r="C153" s="258" t="s">
        <v>193</v>
      </c>
      <c r="D153" s="22" t="s">
        <v>461</v>
      </c>
      <c r="E153" s="13"/>
      <c r="F153" s="13"/>
      <c r="G153" s="13"/>
      <c r="H153" s="13"/>
      <c r="I153" s="13"/>
      <c r="J153" s="13"/>
      <c r="K153" s="20"/>
    </row>
    <row r="154" spans="2:11">
      <c r="B154" s="213">
        <v>284</v>
      </c>
      <c r="C154" s="214" t="s">
        <v>203</v>
      </c>
      <c r="D154" s="201" t="s">
        <v>454</v>
      </c>
      <c r="E154" s="216"/>
      <c r="F154" s="216"/>
      <c r="G154" s="216"/>
      <c r="H154" s="216"/>
      <c r="I154" s="216"/>
      <c r="J154" s="216"/>
      <c r="K154" s="217"/>
    </row>
    <row r="155" spans="2:11">
      <c r="B155" s="42">
        <v>294</v>
      </c>
      <c r="C155" s="258" t="s">
        <v>213</v>
      </c>
      <c r="D155" s="22" t="s">
        <v>462</v>
      </c>
      <c r="E155" s="13"/>
      <c r="F155" s="13"/>
      <c r="G155" s="13"/>
      <c r="H155" s="13"/>
      <c r="I155" s="13"/>
      <c r="J155" s="13"/>
      <c r="K155" s="20"/>
    </row>
    <row r="156" spans="2:11">
      <c r="B156" s="42">
        <v>304</v>
      </c>
      <c r="C156" s="258" t="s">
        <v>223</v>
      </c>
      <c r="D156" s="22" t="s">
        <v>463</v>
      </c>
      <c r="E156" s="13"/>
      <c r="F156" s="13"/>
      <c r="G156" s="13"/>
      <c r="H156" s="13"/>
      <c r="I156" s="13"/>
      <c r="J156" s="13"/>
      <c r="K156" s="20"/>
    </row>
    <row r="157" spans="2:11">
      <c r="B157" s="42">
        <v>314</v>
      </c>
      <c r="C157" s="258" t="s">
        <v>233</v>
      </c>
      <c r="D157" s="22" t="s">
        <v>593</v>
      </c>
      <c r="E157" s="13"/>
      <c r="F157" s="13"/>
      <c r="G157" s="13"/>
      <c r="H157" s="13"/>
      <c r="I157" s="13"/>
      <c r="J157" s="13"/>
      <c r="K157" s="20"/>
    </row>
    <row r="158" spans="2:11">
      <c r="B158" s="42">
        <v>324</v>
      </c>
      <c r="C158" s="258" t="s">
        <v>243</v>
      </c>
      <c r="D158" s="22" t="s">
        <v>594</v>
      </c>
      <c r="E158" s="13"/>
      <c r="F158" s="13"/>
      <c r="G158" s="13"/>
      <c r="H158" s="13"/>
      <c r="I158" s="13"/>
      <c r="J158" s="13"/>
      <c r="K158" s="20"/>
    </row>
    <row r="159" spans="2:11">
      <c r="B159" s="42">
        <v>334</v>
      </c>
      <c r="C159" s="258" t="s">
        <v>253</v>
      </c>
      <c r="D159" s="22" t="s">
        <v>336</v>
      </c>
      <c r="E159" s="13"/>
      <c r="F159" s="13"/>
      <c r="G159" s="13"/>
      <c r="H159" s="13"/>
      <c r="I159" s="13"/>
      <c r="J159" s="13"/>
      <c r="K159" s="20"/>
    </row>
    <row r="160" spans="2:11">
      <c r="B160" s="42">
        <v>344</v>
      </c>
      <c r="C160" s="258" t="s">
        <v>263</v>
      </c>
      <c r="D160" s="22" t="s">
        <v>336</v>
      </c>
      <c r="E160" s="13"/>
      <c r="F160" s="13"/>
      <c r="G160" s="13"/>
      <c r="H160" s="13"/>
      <c r="I160" s="13"/>
      <c r="J160" s="13"/>
      <c r="K160" s="20"/>
    </row>
    <row r="161" spans="2:11">
      <c r="B161" s="42">
        <v>354</v>
      </c>
      <c r="C161" s="258" t="s">
        <v>273</v>
      </c>
      <c r="D161" s="22" t="s">
        <v>595</v>
      </c>
      <c r="E161" s="13"/>
      <c r="F161" s="13"/>
      <c r="G161" s="13"/>
      <c r="H161" s="13"/>
      <c r="I161" s="13"/>
      <c r="J161" s="13"/>
      <c r="K161" s="20"/>
    </row>
    <row r="162" spans="2:11">
      <c r="B162" s="42">
        <v>364</v>
      </c>
      <c r="C162" s="258" t="s">
        <v>283</v>
      </c>
      <c r="D162" s="22" t="s">
        <v>596</v>
      </c>
      <c r="E162" s="13"/>
      <c r="F162" s="13"/>
      <c r="G162" s="13"/>
      <c r="H162" s="13"/>
      <c r="I162" s="13"/>
      <c r="J162" s="13"/>
      <c r="K162" s="20"/>
    </row>
    <row r="163" spans="2:11">
      <c r="B163" s="42">
        <v>374</v>
      </c>
      <c r="C163" s="258" t="s">
        <v>293</v>
      </c>
      <c r="D163" s="22" t="s">
        <v>597</v>
      </c>
      <c r="E163" s="13"/>
      <c r="F163" s="13"/>
      <c r="G163" s="13"/>
      <c r="H163" s="13"/>
      <c r="I163" s="13"/>
      <c r="J163" s="13"/>
      <c r="K163" s="20"/>
    </row>
    <row r="164" spans="2:11">
      <c r="B164" s="42">
        <v>384</v>
      </c>
      <c r="C164" s="258" t="s">
        <v>303</v>
      </c>
      <c r="D164" s="22" t="s">
        <v>598</v>
      </c>
      <c r="E164" s="13"/>
      <c r="F164" s="13"/>
      <c r="G164" s="13"/>
      <c r="H164" s="13"/>
      <c r="I164" s="13"/>
      <c r="J164" s="13"/>
      <c r="K164" s="20"/>
    </row>
    <row r="165" spans="2:11">
      <c r="B165" s="42">
        <v>394</v>
      </c>
      <c r="C165" s="258" t="s">
        <v>313</v>
      </c>
      <c r="D165" s="22" t="s">
        <v>599</v>
      </c>
      <c r="E165" s="13"/>
      <c r="F165" s="13"/>
      <c r="G165" s="13"/>
      <c r="H165" s="13"/>
      <c r="I165" s="13"/>
      <c r="J165" s="13"/>
      <c r="K165" s="20"/>
    </row>
    <row r="166" spans="2:11">
      <c r="B166" s="42">
        <v>5</v>
      </c>
      <c r="C166" s="258" t="s">
        <v>341</v>
      </c>
      <c r="D166" s="22" t="s">
        <v>321</v>
      </c>
      <c r="E166" s="13"/>
      <c r="F166" s="13"/>
      <c r="G166" s="13"/>
      <c r="H166" s="13"/>
      <c r="I166" s="13"/>
      <c r="J166" s="13"/>
      <c r="K166" s="20"/>
    </row>
    <row r="167" spans="2:11">
      <c r="B167" s="42">
        <v>15</v>
      </c>
      <c r="C167" s="258" t="s">
        <v>351</v>
      </c>
      <c r="D167" s="22" t="s">
        <v>321</v>
      </c>
      <c r="E167" s="13"/>
      <c r="F167" s="13"/>
      <c r="G167" s="13"/>
      <c r="H167" s="13"/>
      <c r="I167" s="13"/>
      <c r="J167" s="13"/>
      <c r="K167" s="20"/>
    </row>
    <row r="168" spans="2:11">
      <c r="B168" s="42">
        <v>25</v>
      </c>
      <c r="C168" s="258" t="s">
        <v>361</v>
      </c>
      <c r="D168" s="22" t="s">
        <v>321</v>
      </c>
      <c r="E168" s="13"/>
      <c r="F168" s="13"/>
      <c r="G168" s="13"/>
      <c r="H168" s="13"/>
      <c r="I168" s="13"/>
      <c r="J168" s="13"/>
      <c r="K168" s="20"/>
    </row>
    <row r="169" spans="2:11">
      <c r="B169" s="42">
        <v>35</v>
      </c>
      <c r="C169" s="258" t="s">
        <v>371</v>
      </c>
      <c r="D169" s="22" t="s">
        <v>321</v>
      </c>
      <c r="E169" s="13"/>
      <c r="F169" s="13"/>
      <c r="G169" s="13"/>
      <c r="H169" s="13"/>
      <c r="I169" s="13"/>
      <c r="J169" s="13"/>
      <c r="K169" s="20"/>
    </row>
    <row r="170" spans="2:11">
      <c r="B170" s="42">
        <v>45</v>
      </c>
      <c r="C170" s="258" t="s">
        <v>381</v>
      </c>
      <c r="D170" s="285" t="s">
        <v>321</v>
      </c>
      <c r="E170" s="13"/>
      <c r="F170" s="13"/>
      <c r="G170" s="13"/>
      <c r="H170" s="13"/>
      <c r="I170" s="13"/>
      <c r="J170" s="13"/>
      <c r="K170" s="20"/>
    </row>
    <row r="171" spans="2:11">
      <c r="B171" s="42">
        <v>55</v>
      </c>
      <c r="C171" s="258" t="s">
        <v>391</v>
      </c>
      <c r="D171" s="285" t="s">
        <v>321</v>
      </c>
      <c r="E171" s="13"/>
      <c r="F171" s="13"/>
      <c r="G171" s="13"/>
      <c r="H171" s="13"/>
      <c r="I171" s="13"/>
      <c r="J171" s="13"/>
      <c r="K171" s="20"/>
    </row>
    <row r="172" spans="2:11">
      <c r="B172" s="42">
        <v>65</v>
      </c>
      <c r="C172" s="258" t="s">
        <v>401</v>
      </c>
      <c r="D172" s="285" t="s">
        <v>321</v>
      </c>
      <c r="E172" s="13"/>
      <c r="F172" s="13"/>
      <c r="G172" s="13"/>
      <c r="H172" s="13"/>
      <c r="I172" s="13"/>
      <c r="J172" s="13"/>
      <c r="K172" s="20"/>
    </row>
    <row r="173" spans="2:11">
      <c r="B173" s="42">
        <v>75</v>
      </c>
      <c r="C173" s="258" t="s">
        <v>411</v>
      </c>
      <c r="D173" s="285" t="s">
        <v>600</v>
      </c>
      <c r="E173" s="13"/>
      <c r="F173" s="13"/>
      <c r="G173" s="13"/>
      <c r="H173" s="13"/>
      <c r="I173" s="13"/>
      <c r="J173" s="13"/>
      <c r="K173" s="20"/>
    </row>
    <row r="174" spans="2:11">
      <c r="B174" s="42">
        <v>85</v>
      </c>
      <c r="C174" s="258" t="s">
        <v>421</v>
      </c>
      <c r="D174" s="22" t="s">
        <v>601</v>
      </c>
      <c r="E174" s="13"/>
      <c r="F174" s="13"/>
      <c r="G174" s="13"/>
      <c r="H174" s="13"/>
      <c r="I174" s="13"/>
      <c r="J174" s="13"/>
      <c r="K174" s="20"/>
    </row>
    <row r="175" spans="2:11">
      <c r="B175" s="42">
        <v>95</v>
      </c>
      <c r="C175" s="258" t="s">
        <v>7</v>
      </c>
      <c r="D175" s="22" t="s">
        <v>602</v>
      </c>
      <c r="E175" s="13"/>
      <c r="F175" s="13"/>
      <c r="G175" s="13"/>
      <c r="H175" s="13"/>
      <c r="I175" s="13"/>
      <c r="J175" s="13"/>
      <c r="K175" s="20"/>
    </row>
    <row r="176" spans="2:11">
      <c r="B176" s="42">
        <v>105</v>
      </c>
      <c r="C176" s="258" t="s">
        <v>24</v>
      </c>
      <c r="D176" s="22" t="s">
        <v>464</v>
      </c>
      <c r="E176" s="13"/>
      <c r="F176" s="13"/>
      <c r="G176" s="13"/>
      <c r="H176" s="13"/>
      <c r="I176" s="13"/>
      <c r="J176" s="13"/>
      <c r="K176" s="20"/>
    </row>
    <row r="177" spans="2:11">
      <c r="B177" s="42">
        <v>115</v>
      </c>
      <c r="C177" s="258" t="s">
        <v>34</v>
      </c>
      <c r="D177" s="22" t="s">
        <v>603</v>
      </c>
      <c r="E177" s="13"/>
      <c r="F177" s="13"/>
      <c r="G177" s="13"/>
      <c r="H177" s="13"/>
      <c r="I177" s="13"/>
      <c r="J177" s="13"/>
      <c r="K177" s="20"/>
    </row>
    <row r="178" spans="2:11">
      <c r="B178" s="42">
        <v>125</v>
      </c>
      <c r="C178" s="258" t="s">
        <v>44</v>
      </c>
      <c r="D178" s="22" t="s">
        <v>456</v>
      </c>
      <c r="E178" s="13"/>
      <c r="F178" s="13"/>
      <c r="G178" s="13"/>
      <c r="H178" s="13"/>
      <c r="I178" s="13"/>
      <c r="J178" s="13"/>
      <c r="K178" s="20"/>
    </row>
    <row r="179" spans="2:11">
      <c r="B179" s="42">
        <v>135</v>
      </c>
      <c r="C179" s="258" t="s">
        <v>54</v>
      </c>
      <c r="D179" s="22" t="s">
        <v>457</v>
      </c>
      <c r="E179" s="13"/>
      <c r="F179" s="13"/>
      <c r="G179" s="13"/>
      <c r="H179" s="13"/>
      <c r="I179" s="13"/>
      <c r="J179" s="13"/>
      <c r="K179" s="20"/>
    </row>
    <row r="180" spans="2:11">
      <c r="B180" s="42">
        <v>145</v>
      </c>
      <c r="C180" s="258" t="s">
        <v>64</v>
      </c>
      <c r="D180" s="22" t="s">
        <v>329</v>
      </c>
      <c r="E180" s="13"/>
      <c r="F180" s="13"/>
      <c r="G180" s="13"/>
      <c r="H180" s="13"/>
      <c r="I180" s="13"/>
      <c r="J180" s="13"/>
      <c r="K180" s="20"/>
    </row>
    <row r="181" spans="2:11">
      <c r="B181" s="42">
        <v>155</v>
      </c>
      <c r="C181" s="258" t="s">
        <v>74</v>
      </c>
      <c r="D181" s="22" t="s">
        <v>329</v>
      </c>
      <c r="E181" s="13"/>
      <c r="F181" s="13"/>
      <c r="G181" s="13"/>
      <c r="H181" s="13"/>
      <c r="I181" s="13"/>
      <c r="J181" s="13"/>
      <c r="K181" s="20"/>
    </row>
    <row r="182" spans="2:11">
      <c r="B182" s="42">
        <v>165</v>
      </c>
      <c r="C182" s="258" t="s">
        <v>84</v>
      </c>
      <c r="D182" s="22" t="s">
        <v>329</v>
      </c>
      <c r="E182" s="13"/>
      <c r="F182" s="13"/>
      <c r="G182" s="13"/>
      <c r="H182" s="13"/>
      <c r="I182" s="13"/>
      <c r="J182" s="13"/>
      <c r="K182" s="20"/>
    </row>
    <row r="183" spans="2:11">
      <c r="B183" s="42">
        <v>175</v>
      </c>
      <c r="C183" s="258" t="s">
        <v>94</v>
      </c>
      <c r="D183" s="22" t="s">
        <v>604</v>
      </c>
      <c r="E183" s="13"/>
      <c r="F183" s="13"/>
      <c r="G183" s="13"/>
      <c r="H183" s="13"/>
      <c r="I183" s="13"/>
      <c r="J183" s="13"/>
      <c r="K183" s="20"/>
    </row>
    <row r="184" spans="2:11">
      <c r="B184" s="42">
        <v>185</v>
      </c>
      <c r="C184" s="258" t="s">
        <v>104</v>
      </c>
      <c r="D184" s="22" t="s">
        <v>432</v>
      </c>
      <c r="E184" s="13"/>
      <c r="F184" s="13"/>
      <c r="G184" s="13"/>
      <c r="H184" s="13"/>
      <c r="I184" s="13"/>
      <c r="J184" s="13"/>
      <c r="K184" s="20"/>
    </row>
    <row r="185" spans="2:11">
      <c r="B185" s="42">
        <v>195</v>
      </c>
      <c r="C185" s="258" t="s">
        <v>114</v>
      </c>
      <c r="D185" s="22" t="s">
        <v>432</v>
      </c>
      <c r="E185" s="13"/>
      <c r="F185" s="13"/>
      <c r="G185" s="13"/>
      <c r="H185" s="13"/>
      <c r="I185" s="13"/>
      <c r="J185" s="13"/>
      <c r="K185" s="20"/>
    </row>
    <row r="186" spans="2:11">
      <c r="B186" s="42">
        <v>205</v>
      </c>
      <c r="C186" s="258" t="s">
        <v>124</v>
      </c>
      <c r="D186" s="22" t="s">
        <v>432</v>
      </c>
      <c r="E186" s="13"/>
      <c r="F186" s="13"/>
      <c r="G186" s="13"/>
      <c r="H186" s="13"/>
      <c r="I186" s="13"/>
      <c r="J186" s="13"/>
      <c r="K186" s="20"/>
    </row>
    <row r="187" spans="2:11">
      <c r="B187" s="42">
        <v>215</v>
      </c>
      <c r="C187" s="258" t="s">
        <v>134</v>
      </c>
      <c r="D187" s="22" t="s">
        <v>432</v>
      </c>
      <c r="E187" s="13"/>
      <c r="F187" s="13"/>
      <c r="G187" s="13"/>
      <c r="H187" s="13"/>
      <c r="I187" s="13"/>
      <c r="J187" s="13"/>
      <c r="K187" s="20"/>
    </row>
    <row r="188" spans="2:11">
      <c r="B188" s="42">
        <v>225</v>
      </c>
      <c r="C188" s="258" t="s">
        <v>144</v>
      </c>
      <c r="D188" s="22" t="s">
        <v>605</v>
      </c>
      <c r="E188" s="13"/>
      <c r="F188" s="13"/>
      <c r="G188" s="13"/>
      <c r="H188" s="13"/>
      <c r="I188" s="13"/>
      <c r="J188" s="13"/>
      <c r="K188" s="20"/>
    </row>
    <row r="189" spans="2:11">
      <c r="B189" s="42">
        <v>235</v>
      </c>
      <c r="C189" s="258" t="s">
        <v>154</v>
      </c>
      <c r="D189" s="22" t="s">
        <v>606</v>
      </c>
      <c r="E189" s="13"/>
      <c r="F189" s="13"/>
      <c r="G189" s="13"/>
      <c r="H189" s="13"/>
      <c r="I189" s="13"/>
      <c r="J189" s="13"/>
      <c r="K189" s="20"/>
    </row>
    <row r="190" spans="2:11">
      <c r="B190" s="42">
        <v>245</v>
      </c>
      <c r="C190" s="258" t="s">
        <v>164</v>
      </c>
      <c r="D190" s="22" t="s">
        <v>607</v>
      </c>
      <c r="E190" s="13"/>
      <c r="F190" s="13"/>
      <c r="G190" s="13"/>
      <c r="H190" s="13"/>
      <c r="I190" s="13"/>
      <c r="J190" s="13"/>
      <c r="K190" s="20"/>
    </row>
    <row r="191" spans="2:11">
      <c r="B191" s="42">
        <v>255</v>
      </c>
      <c r="C191" s="258" t="s">
        <v>174</v>
      </c>
      <c r="D191" s="22" t="s">
        <v>467</v>
      </c>
      <c r="E191" s="13"/>
      <c r="F191" s="13"/>
      <c r="G191" s="13"/>
      <c r="H191" s="13"/>
      <c r="I191" s="13"/>
      <c r="J191" s="13"/>
      <c r="K191" s="20"/>
    </row>
    <row r="192" spans="2:11">
      <c r="B192" s="42">
        <v>265</v>
      </c>
      <c r="C192" s="258" t="s">
        <v>184</v>
      </c>
      <c r="D192" s="22" t="s">
        <v>334</v>
      </c>
      <c r="E192" s="13"/>
      <c r="F192" s="13"/>
      <c r="G192" s="13"/>
      <c r="H192" s="13"/>
      <c r="I192" s="13"/>
      <c r="J192" s="13"/>
      <c r="K192" s="20"/>
    </row>
    <row r="193" spans="2:11">
      <c r="B193" s="42">
        <v>275</v>
      </c>
      <c r="C193" s="258" t="s">
        <v>194</v>
      </c>
      <c r="D193" s="22" t="s">
        <v>468</v>
      </c>
      <c r="E193" s="13"/>
      <c r="F193" s="13"/>
      <c r="G193" s="13"/>
      <c r="H193" s="13"/>
      <c r="I193" s="13"/>
      <c r="J193" s="13"/>
      <c r="K193" s="20"/>
    </row>
    <row r="194" spans="2:11">
      <c r="B194" s="213">
        <v>285</v>
      </c>
      <c r="C194" s="214" t="s">
        <v>204</v>
      </c>
      <c r="D194" s="201" t="s">
        <v>454</v>
      </c>
      <c r="E194" s="216"/>
      <c r="F194" s="216"/>
      <c r="G194" s="216"/>
      <c r="H194" s="216"/>
      <c r="I194" s="216"/>
      <c r="J194" s="216"/>
      <c r="K194" s="217"/>
    </row>
    <row r="195" spans="2:11">
      <c r="B195" s="42">
        <v>295</v>
      </c>
      <c r="C195" s="258" t="s">
        <v>214</v>
      </c>
      <c r="D195" s="22" t="s">
        <v>330</v>
      </c>
      <c r="E195" s="13"/>
      <c r="F195" s="13"/>
      <c r="G195" s="13"/>
      <c r="H195" s="13"/>
      <c r="I195" s="13"/>
      <c r="J195" s="13"/>
      <c r="K195" s="20"/>
    </row>
    <row r="196" spans="2:11">
      <c r="B196" s="42">
        <v>305</v>
      </c>
      <c r="C196" s="258" t="s">
        <v>224</v>
      </c>
      <c r="D196" s="22" t="s">
        <v>330</v>
      </c>
      <c r="E196" s="13"/>
      <c r="F196" s="13"/>
      <c r="G196" s="13"/>
      <c r="H196" s="13"/>
      <c r="I196" s="13"/>
      <c r="J196" s="13"/>
      <c r="K196" s="20"/>
    </row>
    <row r="197" spans="2:11">
      <c r="B197" s="42">
        <v>315</v>
      </c>
      <c r="C197" s="258" t="s">
        <v>234</v>
      </c>
      <c r="D197" s="22" t="s">
        <v>330</v>
      </c>
      <c r="E197" s="13"/>
      <c r="F197" s="13"/>
      <c r="G197" s="13"/>
      <c r="H197" s="13"/>
      <c r="I197" s="13"/>
      <c r="J197" s="13"/>
      <c r="K197" s="20"/>
    </row>
    <row r="198" spans="2:11">
      <c r="B198" s="42">
        <v>325</v>
      </c>
      <c r="C198" s="258" t="s">
        <v>244</v>
      </c>
      <c r="D198" s="22" t="s">
        <v>330</v>
      </c>
      <c r="E198" s="13"/>
      <c r="F198" s="13"/>
      <c r="G198" s="13"/>
      <c r="H198" s="13"/>
      <c r="I198" s="13"/>
      <c r="J198" s="13"/>
      <c r="K198" s="20"/>
    </row>
    <row r="199" spans="2:11">
      <c r="B199" s="213">
        <v>335</v>
      </c>
      <c r="C199" s="214" t="s">
        <v>254</v>
      </c>
      <c r="D199" s="201" t="s">
        <v>454</v>
      </c>
      <c r="E199" s="216"/>
      <c r="F199" s="216"/>
      <c r="G199" s="216"/>
      <c r="H199" s="216"/>
      <c r="I199" s="216"/>
      <c r="J199" s="216"/>
      <c r="K199" s="217"/>
    </row>
    <row r="200" spans="2:11">
      <c r="B200" s="42">
        <v>345</v>
      </c>
      <c r="C200" s="258" t="s">
        <v>264</v>
      </c>
      <c r="D200" s="22" t="s">
        <v>336</v>
      </c>
      <c r="E200" s="13"/>
      <c r="F200" s="13"/>
      <c r="G200" s="13"/>
      <c r="H200" s="13"/>
      <c r="I200" s="13"/>
      <c r="J200" s="13"/>
      <c r="K200" s="20"/>
    </row>
    <row r="201" spans="2:11">
      <c r="B201" s="42">
        <v>355</v>
      </c>
      <c r="C201" s="258" t="s">
        <v>274</v>
      </c>
      <c r="D201" s="22" t="s">
        <v>336</v>
      </c>
      <c r="E201" s="13"/>
      <c r="F201" s="13"/>
      <c r="G201" s="13"/>
      <c r="H201" s="13"/>
      <c r="I201" s="13"/>
      <c r="J201" s="13"/>
      <c r="K201" s="20"/>
    </row>
    <row r="202" spans="2:11">
      <c r="B202" s="42">
        <v>365</v>
      </c>
      <c r="C202" s="258" t="s">
        <v>284</v>
      </c>
      <c r="D202" s="22" t="s">
        <v>608</v>
      </c>
      <c r="E202" s="13"/>
      <c r="F202" s="13"/>
      <c r="G202" s="13"/>
      <c r="H202" s="13"/>
      <c r="I202" s="13"/>
      <c r="J202" s="13"/>
      <c r="K202" s="20"/>
    </row>
    <row r="203" spans="2:11">
      <c r="B203" s="42">
        <v>375</v>
      </c>
      <c r="C203" s="258" t="s">
        <v>294</v>
      </c>
      <c r="D203" s="22" t="s">
        <v>609</v>
      </c>
      <c r="E203" s="13"/>
      <c r="F203" s="13"/>
      <c r="G203" s="13"/>
      <c r="H203" s="13"/>
      <c r="I203" s="13"/>
      <c r="J203" s="13"/>
      <c r="K203" s="20"/>
    </row>
    <row r="204" spans="2:11">
      <c r="B204" s="42">
        <v>385</v>
      </c>
      <c r="C204" s="258" t="s">
        <v>304</v>
      </c>
      <c r="D204" s="22" t="s">
        <v>469</v>
      </c>
      <c r="E204" s="13"/>
      <c r="F204" s="13"/>
      <c r="G204" s="13"/>
      <c r="H204" s="13"/>
      <c r="I204" s="13"/>
      <c r="J204" s="13"/>
      <c r="K204" s="20"/>
    </row>
    <row r="205" spans="2:11">
      <c r="B205" s="42">
        <v>395</v>
      </c>
      <c r="C205" s="258" t="s">
        <v>314</v>
      </c>
      <c r="D205" s="22" t="s">
        <v>470</v>
      </c>
      <c r="E205" s="13"/>
      <c r="F205" s="13"/>
      <c r="G205" s="13"/>
      <c r="H205" s="13"/>
      <c r="I205" s="13"/>
      <c r="J205" s="13"/>
      <c r="K205" s="20"/>
    </row>
    <row r="206" spans="2:11">
      <c r="B206" s="42">
        <v>6</v>
      </c>
      <c r="C206" s="258" t="s">
        <v>342</v>
      </c>
      <c r="D206" s="22" t="s">
        <v>611</v>
      </c>
      <c r="E206" s="13"/>
      <c r="F206" s="13"/>
      <c r="G206" s="13"/>
      <c r="H206" s="13"/>
      <c r="I206" s="13"/>
      <c r="J206" s="13"/>
      <c r="K206" s="20"/>
    </row>
    <row r="207" spans="2:11">
      <c r="B207" s="42">
        <v>16</v>
      </c>
      <c r="C207" s="258" t="s">
        <v>352</v>
      </c>
      <c r="D207" s="22" t="s">
        <v>610</v>
      </c>
      <c r="E207" s="13"/>
      <c r="F207" s="13"/>
      <c r="G207" s="13"/>
      <c r="H207" s="13"/>
      <c r="I207" s="13"/>
      <c r="J207" s="13"/>
      <c r="K207" s="20"/>
    </row>
    <row r="208" spans="2:11">
      <c r="B208" s="42">
        <v>26</v>
      </c>
      <c r="C208" s="258" t="s">
        <v>362</v>
      </c>
      <c r="D208" s="22" t="s">
        <v>613</v>
      </c>
      <c r="E208" s="13"/>
      <c r="F208" s="13"/>
      <c r="G208" s="13"/>
      <c r="H208" s="13"/>
      <c r="I208" s="13"/>
      <c r="J208" s="13"/>
      <c r="K208" s="20"/>
    </row>
    <row r="209" spans="2:11">
      <c r="B209" s="42">
        <v>36</v>
      </c>
      <c r="C209" s="258" t="s">
        <v>372</v>
      </c>
      <c r="D209" s="22" t="s">
        <v>612</v>
      </c>
      <c r="E209" s="13"/>
      <c r="F209" s="13"/>
      <c r="G209" s="13"/>
      <c r="H209" s="13"/>
      <c r="I209" s="13"/>
      <c r="J209" s="13"/>
      <c r="K209" s="20"/>
    </row>
    <row r="210" spans="2:11">
      <c r="B210" s="42">
        <v>46</v>
      </c>
      <c r="C210" s="258" t="s">
        <v>382</v>
      </c>
      <c r="D210" s="285" t="s">
        <v>471</v>
      </c>
      <c r="E210" s="13"/>
      <c r="F210" s="13"/>
      <c r="G210" s="13"/>
      <c r="H210" s="13"/>
      <c r="I210" s="13"/>
      <c r="J210" s="13"/>
      <c r="K210" s="20"/>
    </row>
    <row r="211" spans="2:11">
      <c r="B211" s="42">
        <v>56</v>
      </c>
      <c r="C211" s="258" t="s">
        <v>392</v>
      </c>
      <c r="D211" s="285" t="s">
        <v>472</v>
      </c>
      <c r="E211" s="13"/>
      <c r="F211" s="13"/>
      <c r="G211" s="13"/>
      <c r="H211" s="13"/>
      <c r="I211" s="13"/>
      <c r="J211" s="13"/>
      <c r="K211" s="20"/>
    </row>
    <row r="212" spans="2:11">
      <c r="B212" s="42">
        <v>66</v>
      </c>
      <c r="C212" s="258" t="s">
        <v>402</v>
      </c>
      <c r="D212" s="285" t="s">
        <v>473</v>
      </c>
      <c r="E212" s="13"/>
      <c r="F212" s="13"/>
      <c r="G212" s="13"/>
      <c r="H212" s="13"/>
      <c r="I212" s="13"/>
      <c r="J212" s="13"/>
      <c r="K212" s="20"/>
    </row>
    <row r="213" spans="2:11">
      <c r="B213" s="42">
        <v>76</v>
      </c>
      <c r="C213" s="258" t="s">
        <v>412</v>
      </c>
      <c r="D213" s="285" t="s">
        <v>614</v>
      </c>
      <c r="E213" s="13"/>
      <c r="F213" s="13"/>
      <c r="G213" s="13"/>
      <c r="H213" s="13"/>
      <c r="I213" s="13"/>
      <c r="J213" s="13"/>
      <c r="K213" s="20"/>
    </row>
    <row r="214" spans="2:11">
      <c r="B214" s="42">
        <v>86</v>
      </c>
      <c r="C214" s="258" t="s">
        <v>422</v>
      </c>
      <c r="D214" s="22" t="s">
        <v>615</v>
      </c>
      <c r="E214" s="13"/>
      <c r="F214" s="13"/>
      <c r="G214" s="13"/>
      <c r="H214" s="13"/>
      <c r="I214" s="13"/>
      <c r="J214" s="13"/>
      <c r="K214" s="20"/>
    </row>
    <row r="215" spans="2:11">
      <c r="B215" s="42">
        <v>96</v>
      </c>
      <c r="C215" s="258" t="s">
        <v>8</v>
      </c>
      <c r="D215" s="22" t="s">
        <v>616</v>
      </c>
      <c r="E215" s="13"/>
      <c r="F215" s="13"/>
      <c r="G215" s="13"/>
      <c r="H215" s="13"/>
      <c r="I215" s="13"/>
      <c r="J215" s="13"/>
      <c r="K215" s="20"/>
    </row>
    <row r="216" spans="2:11">
      <c r="B216" s="42">
        <v>106</v>
      </c>
      <c r="C216" s="258" t="s">
        <v>25</v>
      </c>
      <c r="D216" s="22" t="s">
        <v>482</v>
      </c>
      <c r="E216" s="13"/>
      <c r="F216" s="13"/>
      <c r="G216" s="13"/>
      <c r="H216" s="13"/>
      <c r="I216" s="13"/>
      <c r="J216" s="13"/>
      <c r="K216" s="20"/>
    </row>
    <row r="217" spans="2:11">
      <c r="B217" s="42">
        <v>116</v>
      </c>
      <c r="C217" s="258" t="s">
        <v>35</v>
      </c>
      <c r="D217" s="22" t="s">
        <v>482</v>
      </c>
      <c r="E217" s="13"/>
      <c r="F217" s="13"/>
      <c r="G217" s="13"/>
      <c r="H217" s="13"/>
      <c r="I217" s="13"/>
      <c r="J217" s="13"/>
      <c r="K217" s="20"/>
    </row>
    <row r="218" spans="2:11">
      <c r="B218" s="42">
        <v>126</v>
      </c>
      <c r="C218" s="258" t="s">
        <v>45</v>
      </c>
      <c r="D218" s="22" t="s">
        <v>482</v>
      </c>
      <c r="E218" s="13"/>
      <c r="F218" s="13"/>
      <c r="G218" s="13"/>
      <c r="H218" s="13"/>
      <c r="I218" s="13"/>
      <c r="J218" s="13"/>
      <c r="K218" s="20"/>
    </row>
    <row r="219" spans="2:11">
      <c r="B219" s="42">
        <v>136</v>
      </c>
      <c r="C219" s="258" t="s">
        <v>55</v>
      </c>
      <c r="D219" s="22" t="s">
        <v>482</v>
      </c>
      <c r="E219" s="13"/>
      <c r="F219" s="13"/>
      <c r="G219" s="13"/>
      <c r="H219" s="13"/>
      <c r="I219" s="13"/>
      <c r="J219" s="13"/>
      <c r="K219" s="20"/>
    </row>
    <row r="220" spans="2:11">
      <c r="B220" s="42">
        <v>146</v>
      </c>
      <c r="C220" s="258" t="s">
        <v>65</v>
      </c>
      <c r="D220" s="22" t="s">
        <v>329</v>
      </c>
      <c r="E220" s="13"/>
      <c r="F220" s="13"/>
      <c r="G220" s="13"/>
      <c r="H220" s="13"/>
      <c r="I220" s="13"/>
      <c r="J220" s="13"/>
      <c r="K220" s="20"/>
    </row>
    <row r="221" spans="2:11">
      <c r="B221" s="42">
        <v>156</v>
      </c>
      <c r="C221" s="258" t="s">
        <v>75</v>
      </c>
      <c r="D221" s="22" t="s">
        <v>329</v>
      </c>
      <c r="E221" s="13"/>
      <c r="F221" s="13"/>
      <c r="G221" s="13"/>
      <c r="H221" s="13"/>
      <c r="I221" s="13"/>
      <c r="J221" s="13"/>
      <c r="K221" s="20"/>
    </row>
    <row r="222" spans="2:11">
      <c r="B222" s="42">
        <v>166</v>
      </c>
      <c r="C222" s="258" t="s">
        <v>85</v>
      </c>
      <c r="D222" s="22" t="s">
        <v>329</v>
      </c>
      <c r="E222" s="13"/>
      <c r="F222" s="13"/>
      <c r="G222" s="13"/>
      <c r="H222" s="13"/>
      <c r="I222" s="13"/>
      <c r="J222" s="13"/>
      <c r="K222" s="20"/>
    </row>
    <row r="223" spans="2:11">
      <c r="B223" s="42">
        <v>176</v>
      </c>
      <c r="C223" s="258" t="s">
        <v>95</v>
      </c>
      <c r="D223" s="22" t="s">
        <v>617</v>
      </c>
      <c r="E223" s="13"/>
      <c r="F223" s="13"/>
      <c r="G223" s="13"/>
      <c r="H223" s="13"/>
      <c r="I223" s="13"/>
      <c r="J223" s="13"/>
      <c r="K223" s="20"/>
    </row>
    <row r="224" spans="2:11">
      <c r="B224" s="42">
        <v>186</v>
      </c>
      <c r="C224" s="258" t="s">
        <v>105</v>
      </c>
      <c r="D224" s="22" t="s">
        <v>432</v>
      </c>
      <c r="E224" s="13"/>
      <c r="F224" s="13"/>
      <c r="G224" s="13"/>
      <c r="H224" s="13"/>
      <c r="I224" s="13"/>
      <c r="J224" s="13"/>
      <c r="K224" s="20"/>
    </row>
    <row r="225" spans="2:11">
      <c r="B225" s="42">
        <v>196</v>
      </c>
      <c r="C225" s="258" t="s">
        <v>115</v>
      </c>
      <c r="D225" s="22" t="s">
        <v>432</v>
      </c>
      <c r="E225" s="13"/>
      <c r="F225" s="13"/>
      <c r="G225" s="13"/>
      <c r="H225" s="13"/>
      <c r="I225" s="13"/>
      <c r="J225" s="13"/>
      <c r="K225" s="20"/>
    </row>
    <row r="226" spans="2:11">
      <c r="B226" s="42">
        <v>206</v>
      </c>
      <c r="C226" s="258" t="s">
        <v>125</v>
      </c>
      <c r="D226" s="22" t="s">
        <v>475</v>
      </c>
      <c r="E226" s="13"/>
      <c r="F226" s="13"/>
      <c r="G226" s="13"/>
      <c r="H226" s="13"/>
      <c r="I226" s="13"/>
      <c r="J226" s="13"/>
      <c r="K226" s="20"/>
    </row>
    <row r="227" spans="2:11">
      <c r="B227" s="42">
        <v>216</v>
      </c>
      <c r="C227" s="258" t="s">
        <v>135</v>
      </c>
      <c r="D227" s="22" t="s">
        <v>475</v>
      </c>
      <c r="E227" s="13"/>
      <c r="F227" s="13"/>
      <c r="G227" s="13"/>
      <c r="H227" s="13"/>
      <c r="I227" s="13"/>
      <c r="J227" s="13"/>
      <c r="K227" s="20"/>
    </row>
    <row r="228" spans="2:11">
      <c r="B228" s="42">
        <v>226</v>
      </c>
      <c r="C228" s="258" t="s">
        <v>145</v>
      </c>
      <c r="D228" s="22" t="s">
        <v>475</v>
      </c>
      <c r="E228" s="13"/>
      <c r="F228" s="13"/>
      <c r="G228" s="13"/>
      <c r="H228" s="13"/>
      <c r="I228" s="13"/>
      <c r="J228" s="13"/>
      <c r="K228" s="20"/>
    </row>
    <row r="229" spans="2:11">
      <c r="B229" s="42">
        <v>236</v>
      </c>
      <c r="C229" s="258" t="s">
        <v>155</v>
      </c>
      <c r="D229" s="22" t="s">
        <v>475</v>
      </c>
      <c r="E229" s="13"/>
      <c r="F229" s="13"/>
      <c r="G229" s="13"/>
      <c r="H229" s="13"/>
      <c r="I229" s="13"/>
      <c r="J229" s="13"/>
      <c r="K229" s="20"/>
    </row>
    <row r="230" spans="2:11">
      <c r="B230" s="42">
        <v>246</v>
      </c>
      <c r="C230" s="258" t="s">
        <v>165</v>
      </c>
      <c r="D230" s="22" t="s">
        <v>475</v>
      </c>
      <c r="E230" s="13"/>
      <c r="F230" s="13"/>
      <c r="G230" s="13"/>
      <c r="H230" s="13"/>
      <c r="I230" s="13"/>
      <c r="J230" s="13"/>
      <c r="K230" s="20"/>
    </row>
    <row r="231" spans="2:11">
      <c r="B231" s="42">
        <v>256</v>
      </c>
      <c r="C231" s="258" t="s">
        <v>175</v>
      </c>
      <c r="D231" s="22" t="s">
        <v>475</v>
      </c>
      <c r="E231" s="13"/>
      <c r="F231" s="13"/>
      <c r="G231" s="13"/>
      <c r="H231" s="13"/>
      <c r="I231" s="13"/>
      <c r="J231" s="13"/>
      <c r="K231" s="20"/>
    </row>
    <row r="232" spans="2:11">
      <c r="B232" s="42">
        <v>266</v>
      </c>
      <c r="C232" s="258" t="s">
        <v>185</v>
      </c>
      <c r="D232" s="22" t="s">
        <v>476</v>
      </c>
      <c r="E232" s="13"/>
      <c r="F232" s="13"/>
      <c r="G232" s="13"/>
      <c r="H232" s="13"/>
      <c r="I232" s="13"/>
      <c r="J232" s="13"/>
      <c r="K232" s="20"/>
    </row>
    <row r="233" spans="2:11">
      <c r="B233" s="42">
        <v>276</v>
      </c>
      <c r="C233" s="258" t="s">
        <v>195</v>
      </c>
      <c r="D233" s="22" t="s">
        <v>476</v>
      </c>
      <c r="E233" s="13"/>
      <c r="F233" s="13"/>
      <c r="G233" s="13"/>
      <c r="H233" s="13"/>
      <c r="I233" s="13"/>
      <c r="J233" s="13"/>
      <c r="K233" s="20"/>
    </row>
    <row r="234" spans="2:11">
      <c r="B234" s="42">
        <v>286</v>
      </c>
      <c r="C234" s="258" t="s">
        <v>205</v>
      </c>
      <c r="D234" s="22" t="s">
        <v>476</v>
      </c>
      <c r="E234" s="13"/>
      <c r="F234" s="13"/>
      <c r="G234" s="13"/>
      <c r="H234" s="13"/>
      <c r="I234" s="13"/>
      <c r="J234" s="13"/>
      <c r="K234" s="20"/>
    </row>
    <row r="235" spans="2:11">
      <c r="B235" s="42">
        <v>296</v>
      </c>
      <c r="C235" s="258" t="s">
        <v>215</v>
      </c>
      <c r="D235" s="22" t="s">
        <v>476</v>
      </c>
      <c r="E235" s="13"/>
      <c r="F235" s="13"/>
      <c r="G235" s="13"/>
      <c r="H235" s="13"/>
      <c r="I235" s="13"/>
      <c r="J235" s="13"/>
      <c r="K235" s="20"/>
    </row>
    <row r="236" spans="2:11">
      <c r="B236" s="42">
        <v>306</v>
      </c>
      <c r="C236" s="258" t="s">
        <v>225</v>
      </c>
      <c r="D236" s="22" t="s">
        <v>476</v>
      </c>
      <c r="E236" s="13"/>
      <c r="F236" s="13"/>
      <c r="G236" s="13"/>
      <c r="H236" s="13"/>
      <c r="I236" s="13"/>
      <c r="J236" s="13"/>
      <c r="K236" s="20"/>
    </row>
    <row r="237" spans="2:11">
      <c r="B237" s="42">
        <v>316</v>
      </c>
      <c r="C237" s="258" t="s">
        <v>235</v>
      </c>
      <c r="D237" s="22" t="s">
        <v>476</v>
      </c>
      <c r="E237" s="13"/>
      <c r="F237" s="13"/>
      <c r="G237" s="13"/>
      <c r="H237" s="13"/>
      <c r="I237" s="13"/>
      <c r="J237" s="13"/>
      <c r="K237" s="20"/>
    </row>
    <row r="238" spans="2:11">
      <c r="B238" s="42">
        <v>326</v>
      </c>
      <c r="C238" s="258" t="s">
        <v>245</v>
      </c>
      <c r="D238" s="22" t="s">
        <v>476</v>
      </c>
      <c r="E238" s="13"/>
      <c r="F238" s="13"/>
      <c r="G238" s="13"/>
      <c r="H238" s="13"/>
      <c r="I238" s="13"/>
      <c r="J238" s="13"/>
      <c r="K238" s="20"/>
    </row>
    <row r="239" spans="2:11">
      <c r="B239" s="42">
        <v>336</v>
      </c>
      <c r="C239" s="258" t="s">
        <v>255</v>
      </c>
      <c r="D239" s="22" t="s">
        <v>477</v>
      </c>
      <c r="E239" s="13"/>
      <c r="F239" s="13"/>
      <c r="G239" s="13"/>
      <c r="H239" s="13"/>
      <c r="I239" s="13"/>
      <c r="J239" s="13"/>
      <c r="K239" s="20"/>
    </row>
    <row r="240" spans="2:11">
      <c r="B240" s="42">
        <v>346</v>
      </c>
      <c r="C240" s="258" t="s">
        <v>265</v>
      </c>
      <c r="D240" s="22" t="s">
        <v>478</v>
      </c>
      <c r="E240" s="13"/>
      <c r="F240" s="13"/>
      <c r="G240" s="13"/>
      <c r="H240" s="13"/>
      <c r="I240" s="13"/>
      <c r="J240" s="13"/>
      <c r="K240" s="20"/>
    </row>
    <row r="241" spans="2:11">
      <c r="B241" s="42">
        <v>356</v>
      </c>
      <c r="C241" s="258" t="s">
        <v>275</v>
      </c>
      <c r="D241" s="22" t="s">
        <v>479</v>
      </c>
      <c r="E241" s="13"/>
      <c r="F241" s="13"/>
      <c r="G241" s="13"/>
      <c r="H241" s="13"/>
      <c r="I241" s="13"/>
      <c r="J241" s="13"/>
      <c r="K241" s="20"/>
    </row>
    <row r="242" spans="2:11">
      <c r="B242" s="42">
        <v>366</v>
      </c>
      <c r="C242" s="258" t="s">
        <v>285</v>
      </c>
      <c r="D242" s="22" t="s">
        <v>618</v>
      </c>
      <c r="E242" s="13"/>
      <c r="F242" s="13"/>
      <c r="G242" s="13"/>
      <c r="H242" s="13"/>
      <c r="I242" s="13"/>
      <c r="J242" s="13"/>
      <c r="K242" s="20"/>
    </row>
    <row r="243" spans="2:11">
      <c r="B243" s="42">
        <v>376</v>
      </c>
      <c r="C243" s="258" t="s">
        <v>295</v>
      </c>
      <c r="D243" s="22" t="s">
        <v>619</v>
      </c>
      <c r="E243" s="13"/>
      <c r="F243" s="13"/>
      <c r="G243" s="13"/>
      <c r="H243" s="13"/>
      <c r="I243" s="13"/>
      <c r="J243" s="13"/>
      <c r="K243" s="20"/>
    </row>
    <row r="244" spans="2:11">
      <c r="B244" s="42">
        <v>386</v>
      </c>
      <c r="C244" s="258" t="s">
        <v>305</v>
      </c>
      <c r="D244" s="22" t="s">
        <v>480</v>
      </c>
      <c r="E244" s="13"/>
      <c r="F244" s="13"/>
      <c r="G244" s="13"/>
      <c r="H244" s="13"/>
      <c r="I244" s="13"/>
      <c r="J244" s="13"/>
      <c r="K244" s="20"/>
    </row>
    <row r="245" spans="2:11">
      <c r="B245" s="42">
        <v>396</v>
      </c>
      <c r="C245" s="258" t="s">
        <v>315</v>
      </c>
      <c r="D245" s="22" t="s">
        <v>481</v>
      </c>
      <c r="E245" s="13"/>
      <c r="F245" s="13"/>
      <c r="G245" s="13"/>
      <c r="H245" s="13"/>
      <c r="I245" s="13"/>
      <c r="J245" s="13"/>
      <c r="K245" s="20"/>
    </row>
    <row r="246" spans="2:11">
      <c r="B246" s="42">
        <v>7</v>
      </c>
      <c r="C246" s="258" t="s">
        <v>343</v>
      </c>
      <c r="D246" s="22" t="s">
        <v>621</v>
      </c>
      <c r="E246" s="13"/>
      <c r="F246" s="13"/>
      <c r="G246" s="13"/>
      <c r="H246" s="13"/>
      <c r="I246" s="13"/>
      <c r="J246" s="13"/>
      <c r="K246" s="20"/>
    </row>
    <row r="247" spans="2:11">
      <c r="B247" s="42">
        <v>17</v>
      </c>
      <c r="C247" s="258" t="s">
        <v>353</v>
      </c>
      <c r="D247" s="22" t="s">
        <v>620</v>
      </c>
      <c r="E247" s="13"/>
      <c r="F247" s="13"/>
      <c r="G247" s="13"/>
      <c r="H247" s="13"/>
      <c r="I247" s="13"/>
      <c r="J247" s="13"/>
      <c r="K247" s="20"/>
    </row>
    <row r="248" spans="2:11">
      <c r="B248" s="42">
        <v>27</v>
      </c>
      <c r="C248" s="258" t="s">
        <v>363</v>
      </c>
      <c r="D248" s="22" t="s">
        <v>623</v>
      </c>
      <c r="E248" s="13"/>
      <c r="F248" s="13"/>
      <c r="G248" s="13"/>
      <c r="H248" s="13"/>
      <c r="I248" s="13"/>
      <c r="J248" s="13"/>
      <c r="K248" s="20"/>
    </row>
    <row r="249" spans="2:11">
      <c r="B249" s="42">
        <v>37</v>
      </c>
      <c r="C249" s="258" t="s">
        <v>373</v>
      </c>
      <c r="D249" s="22" t="s">
        <v>622</v>
      </c>
      <c r="E249" s="13"/>
      <c r="F249" s="13"/>
      <c r="G249" s="13"/>
      <c r="H249" s="13"/>
      <c r="I249" s="13"/>
      <c r="J249" s="13"/>
      <c r="K249" s="20"/>
    </row>
    <row r="250" spans="2:11">
      <c r="B250" s="42">
        <v>47</v>
      </c>
      <c r="C250" s="258" t="s">
        <v>383</v>
      </c>
      <c r="D250" s="22" t="s">
        <v>474</v>
      </c>
      <c r="E250" s="13"/>
      <c r="F250" s="13"/>
      <c r="G250" s="13"/>
      <c r="H250" s="13"/>
      <c r="I250" s="13"/>
      <c r="J250" s="13"/>
      <c r="K250" s="20"/>
    </row>
    <row r="251" spans="2:11">
      <c r="B251" s="42">
        <v>57</v>
      </c>
      <c r="C251" s="258" t="s">
        <v>393</v>
      </c>
      <c r="D251" s="22" t="s">
        <v>474</v>
      </c>
      <c r="E251" s="13"/>
      <c r="F251" s="13"/>
      <c r="G251" s="13"/>
      <c r="H251" s="13"/>
      <c r="I251" s="13"/>
      <c r="J251" s="13"/>
      <c r="K251" s="20"/>
    </row>
    <row r="252" spans="2:11">
      <c r="B252" s="42">
        <v>67</v>
      </c>
      <c r="C252" s="258" t="s">
        <v>403</v>
      </c>
      <c r="D252" s="22" t="s">
        <v>474</v>
      </c>
      <c r="E252" s="13"/>
      <c r="F252" s="13"/>
      <c r="G252" s="13"/>
      <c r="H252" s="13"/>
      <c r="I252" s="13"/>
      <c r="J252" s="13"/>
      <c r="K252" s="20"/>
    </row>
    <row r="253" spans="2:11">
      <c r="B253" s="42">
        <v>77</v>
      </c>
      <c r="C253" s="258" t="s">
        <v>413</v>
      </c>
      <c r="D253" s="22" t="s">
        <v>474</v>
      </c>
      <c r="E253" s="13"/>
      <c r="F253" s="13"/>
      <c r="G253" s="13"/>
      <c r="H253" s="13"/>
      <c r="I253" s="13"/>
      <c r="J253" s="13"/>
      <c r="K253" s="20"/>
    </row>
    <row r="254" spans="2:11">
      <c r="B254" s="42">
        <v>87</v>
      </c>
      <c r="C254" s="258" t="s">
        <v>423</v>
      </c>
      <c r="D254" s="22" t="s">
        <v>474</v>
      </c>
      <c r="E254" s="13"/>
      <c r="F254" s="13"/>
      <c r="G254" s="13"/>
      <c r="H254" s="13"/>
      <c r="I254" s="13"/>
      <c r="J254" s="13"/>
      <c r="K254" s="20"/>
    </row>
    <row r="255" spans="2:11">
      <c r="B255" s="42">
        <v>97</v>
      </c>
      <c r="C255" s="258" t="s">
        <v>9</v>
      </c>
      <c r="D255" s="22" t="s">
        <v>482</v>
      </c>
      <c r="E255" s="13"/>
      <c r="F255" s="13"/>
      <c r="G255" s="13"/>
      <c r="H255" s="13"/>
      <c r="I255" s="13"/>
      <c r="J255" s="13"/>
      <c r="K255" s="20"/>
    </row>
    <row r="256" spans="2:11">
      <c r="B256" s="42">
        <v>107</v>
      </c>
      <c r="C256" s="258" t="s">
        <v>26</v>
      </c>
      <c r="D256" s="22" t="s">
        <v>482</v>
      </c>
      <c r="E256" s="13"/>
      <c r="F256" s="13"/>
      <c r="G256" s="13"/>
      <c r="H256" s="13"/>
      <c r="I256" s="13"/>
      <c r="J256" s="13"/>
      <c r="K256" s="20"/>
    </row>
    <row r="257" spans="2:11">
      <c r="B257" s="42">
        <v>117</v>
      </c>
      <c r="C257" s="258" t="s">
        <v>36</v>
      </c>
      <c r="D257" s="22" t="s">
        <v>647</v>
      </c>
      <c r="E257" s="13"/>
      <c r="F257" s="13"/>
      <c r="G257" s="13"/>
      <c r="H257" s="13"/>
      <c r="I257" s="13"/>
      <c r="J257" s="13"/>
      <c r="K257" s="20"/>
    </row>
    <row r="258" spans="2:11">
      <c r="B258" s="42">
        <v>127</v>
      </c>
      <c r="C258" s="258" t="s">
        <v>46</v>
      </c>
      <c r="D258" s="22" t="s">
        <v>497</v>
      </c>
      <c r="E258" s="13"/>
      <c r="F258" s="13"/>
      <c r="G258" s="13"/>
      <c r="H258" s="13"/>
      <c r="I258" s="13"/>
      <c r="J258" s="13"/>
      <c r="K258" s="20"/>
    </row>
    <row r="259" spans="2:11">
      <c r="B259" s="42">
        <v>137</v>
      </c>
      <c r="C259" s="258" t="s">
        <v>56</v>
      </c>
      <c r="D259" s="22" t="s">
        <v>648</v>
      </c>
      <c r="E259" s="13"/>
      <c r="F259" s="13"/>
      <c r="G259" s="13"/>
      <c r="H259" s="13"/>
      <c r="I259" s="13"/>
      <c r="J259" s="13"/>
      <c r="K259" s="20"/>
    </row>
    <row r="260" spans="2:11">
      <c r="B260" s="42">
        <v>147</v>
      </c>
      <c r="C260" s="258" t="s">
        <v>66</v>
      </c>
      <c r="D260" s="22" t="s">
        <v>649</v>
      </c>
      <c r="E260" s="13"/>
      <c r="F260" s="13"/>
      <c r="G260" s="13"/>
      <c r="H260" s="13"/>
      <c r="I260" s="13"/>
      <c r="J260" s="13"/>
      <c r="K260" s="20"/>
    </row>
    <row r="261" spans="2:11">
      <c r="B261" s="42">
        <v>157</v>
      </c>
      <c r="C261" s="258" t="s">
        <v>76</v>
      </c>
      <c r="D261" s="22" t="s">
        <v>650</v>
      </c>
      <c r="E261" s="13"/>
      <c r="F261" s="13"/>
      <c r="G261" s="13"/>
      <c r="H261" s="13"/>
      <c r="I261" s="13"/>
      <c r="J261" s="13"/>
      <c r="K261" s="20"/>
    </row>
    <row r="262" spans="2:11">
      <c r="B262" s="42">
        <v>167</v>
      </c>
      <c r="C262" s="258" t="s">
        <v>86</v>
      </c>
      <c r="D262" s="22" t="s">
        <v>651</v>
      </c>
      <c r="E262" s="13"/>
      <c r="F262" s="13"/>
      <c r="G262" s="13"/>
      <c r="H262" s="13"/>
      <c r="I262" s="13"/>
      <c r="J262" s="13"/>
      <c r="K262" s="20"/>
    </row>
    <row r="263" spans="2:11">
      <c r="B263" s="42">
        <v>177</v>
      </c>
      <c r="C263" s="258" t="s">
        <v>96</v>
      </c>
      <c r="D263" s="22" t="s">
        <v>629</v>
      </c>
      <c r="E263" s="13"/>
      <c r="F263" s="13"/>
      <c r="G263" s="13"/>
      <c r="H263" s="13"/>
      <c r="I263" s="13"/>
      <c r="J263" s="13"/>
      <c r="K263" s="20"/>
    </row>
    <row r="264" spans="2:11">
      <c r="B264" s="42">
        <v>187</v>
      </c>
      <c r="C264" s="258" t="s">
        <v>106</v>
      </c>
      <c r="D264" s="22" t="s">
        <v>630</v>
      </c>
      <c r="E264" s="13"/>
      <c r="F264" s="13"/>
      <c r="G264" s="13"/>
      <c r="H264" s="13"/>
      <c r="I264" s="13"/>
      <c r="J264" s="13"/>
      <c r="K264" s="20"/>
    </row>
    <row r="265" spans="2:11">
      <c r="B265" s="42">
        <v>197</v>
      </c>
      <c r="C265" s="258" t="s">
        <v>116</v>
      </c>
      <c r="D265" s="22" t="s">
        <v>631</v>
      </c>
      <c r="E265" s="13"/>
      <c r="F265" s="13"/>
      <c r="G265" s="13"/>
      <c r="H265" s="13"/>
      <c r="I265" s="13"/>
      <c r="J265" s="13"/>
      <c r="K265" s="20"/>
    </row>
    <row r="266" spans="2:11">
      <c r="B266" s="42">
        <v>207</v>
      </c>
      <c r="C266" s="258" t="s">
        <v>126</v>
      </c>
      <c r="D266" s="22" t="s">
        <v>632</v>
      </c>
      <c r="E266" s="13"/>
      <c r="F266" s="13"/>
      <c r="G266" s="13"/>
      <c r="H266" s="13"/>
      <c r="I266" s="13"/>
      <c r="J266" s="13"/>
      <c r="K266" s="20"/>
    </row>
    <row r="267" spans="2:11">
      <c r="B267" s="42">
        <v>217</v>
      </c>
      <c r="C267" s="258" t="s">
        <v>136</v>
      </c>
      <c r="D267" s="22" t="s">
        <v>633</v>
      </c>
      <c r="E267" s="13"/>
      <c r="F267" s="13"/>
      <c r="G267" s="13"/>
      <c r="H267" s="13"/>
      <c r="I267" s="13"/>
      <c r="J267" s="13"/>
      <c r="K267" s="20"/>
    </row>
    <row r="268" spans="2:11">
      <c r="B268" s="42">
        <v>227</v>
      </c>
      <c r="C268" s="258" t="s">
        <v>146</v>
      </c>
      <c r="D268" s="22" t="s">
        <v>634</v>
      </c>
      <c r="E268" s="13"/>
      <c r="F268" s="13"/>
      <c r="G268" s="13"/>
      <c r="H268" s="13"/>
      <c r="I268" s="13"/>
      <c r="J268" s="13"/>
      <c r="K268" s="20"/>
    </row>
    <row r="269" spans="2:11">
      <c r="B269" s="42">
        <v>237</v>
      </c>
      <c r="C269" s="258" t="s">
        <v>156</v>
      </c>
      <c r="D269" s="22" t="s">
        <v>475</v>
      </c>
      <c r="E269" s="13"/>
      <c r="F269" s="13"/>
      <c r="G269" s="13"/>
      <c r="H269" s="13"/>
      <c r="I269" s="13"/>
      <c r="J269" s="13"/>
      <c r="K269" s="20"/>
    </row>
    <row r="270" spans="2:11">
      <c r="B270" s="42">
        <v>247</v>
      </c>
      <c r="C270" s="258" t="s">
        <v>166</v>
      </c>
      <c r="D270" s="22" t="s">
        <v>475</v>
      </c>
      <c r="E270" s="13"/>
      <c r="F270" s="13"/>
      <c r="G270" s="13"/>
      <c r="H270" s="13"/>
      <c r="I270" s="13"/>
      <c r="J270" s="13"/>
      <c r="K270" s="20"/>
    </row>
    <row r="271" spans="2:11">
      <c r="B271" s="42">
        <v>257</v>
      </c>
      <c r="C271" s="258" t="s">
        <v>176</v>
      </c>
      <c r="D271" s="22" t="s">
        <v>484</v>
      </c>
      <c r="E271" s="13"/>
      <c r="F271" s="13"/>
      <c r="G271" s="13"/>
      <c r="H271" s="13"/>
      <c r="I271" s="13"/>
      <c r="J271" s="13"/>
      <c r="K271" s="20"/>
    </row>
    <row r="272" spans="2:11">
      <c r="B272" s="42">
        <v>267</v>
      </c>
      <c r="C272" s="258" t="s">
        <v>186</v>
      </c>
      <c r="D272" s="22" t="s">
        <v>485</v>
      </c>
      <c r="E272" s="13"/>
      <c r="F272" s="13"/>
      <c r="G272" s="13"/>
      <c r="H272" s="13"/>
      <c r="I272" s="13"/>
      <c r="J272" s="13"/>
      <c r="K272" s="20"/>
    </row>
    <row r="273" spans="2:11">
      <c r="B273" s="42">
        <v>277</v>
      </c>
      <c r="C273" s="258" t="s">
        <v>196</v>
      </c>
      <c r="D273" s="22" t="s">
        <v>635</v>
      </c>
      <c r="E273" s="13"/>
      <c r="F273" s="13"/>
      <c r="G273" s="13"/>
      <c r="H273" s="13"/>
      <c r="I273" s="13"/>
      <c r="J273" s="13"/>
      <c r="K273" s="20"/>
    </row>
    <row r="274" spans="2:11">
      <c r="B274" s="42">
        <v>287</v>
      </c>
      <c r="C274" s="258" t="s">
        <v>206</v>
      </c>
      <c r="D274" s="22" t="s">
        <v>636</v>
      </c>
      <c r="E274" s="13"/>
      <c r="F274" s="13"/>
      <c r="G274" s="13"/>
      <c r="H274" s="13"/>
      <c r="I274" s="13"/>
      <c r="J274" s="13"/>
      <c r="K274" s="20"/>
    </row>
    <row r="275" spans="2:11">
      <c r="B275" s="42">
        <v>297</v>
      </c>
      <c r="C275" s="258" t="s">
        <v>216</v>
      </c>
      <c r="D275" s="22" t="s">
        <v>637</v>
      </c>
      <c r="E275" s="13"/>
      <c r="F275" s="13"/>
      <c r="G275" s="13"/>
      <c r="H275" s="13"/>
      <c r="I275" s="13"/>
      <c r="J275" s="13"/>
      <c r="K275" s="20"/>
    </row>
    <row r="276" spans="2:11">
      <c r="B276" s="42">
        <v>307</v>
      </c>
      <c r="C276" s="258" t="s">
        <v>226</v>
      </c>
      <c r="D276" s="22" t="s">
        <v>638</v>
      </c>
      <c r="E276" s="13"/>
      <c r="F276" s="13"/>
      <c r="G276" s="13"/>
      <c r="H276" s="13"/>
      <c r="I276" s="13"/>
      <c r="J276" s="13"/>
      <c r="K276" s="20"/>
    </row>
    <row r="277" spans="2:11">
      <c r="B277" s="42">
        <v>317</v>
      </c>
      <c r="C277" s="258" t="s">
        <v>236</v>
      </c>
      <c r="D277" s="22" t="s">
        <v>639</v>
      </c>
      <c r="E277" s="13"/>
      <c r="F277" s="13"/>
      <c r="G277" s="13"/>
      <c r="H277" s="13"/>
      <c r="I277" s="13"/>
      <c r="J277" s="13"/>
      <c r="K277" s="20"/>
    </row>
    <row r="278" spans="2:11">
      <c r="B278" s="42">
        <v>327</v>
      </c>
      <c r="C278" s="258" t="s">
        <v>246</v>
      </c>
      <c r="D278" s="22" t="s">
        <v>486</v>
      </c>
      <c r="E278" s="13"/>
      <c r="F278" s="13"/>
      <c r="G278" s="13"/>
      <c r="H278" s="13"/>
      <c r="I278" s="13"/>
      <c r="J278" s="13"/>
      <c r="K278" s="20"/>
    </row>
    <row r="279" spans="2:11">
      <c r="B279" s="42">
        <v>337</v>
      </c>
      <c r="C279" s="258" t="s">
        <v>256</v>
      </c>
      <c r="D279" s="22" t="s">
        <v>487</v>
      </c>
      <c r="E279" s="13"/>
      <c r="F279" s="13"/>
      <c r="G279" s="13"/>
      <c r="H279" s="13"/>
      <c r="I279" s="13"/>
      <c r="J279" s="13"/>
      <c r="K279" s="20"/>
    </row>
    <row r="280" spans="2:11">
      <c r="B280" s="42">
        <v>347</v>
      </c>
      <c r="C280" s="258" t="s">
        <v>266</v>
      </c>
      <c r="D280" s="22" t="s">
        <v>488</v>
      </c>
      <c r="E280" s="13"/>
      <c r="F280" s="13"/>
      <c r="G280" s="13"/>
      <c r="H280" s="13"/>
      <c r="I280" s="13"/>
      <c r="J280" s="13"/>
      <c r="K280" s="20"/>
    </row>
    <row r="281" spans="2:11">
      <c r="B281" s="42">
        <v>357</v>
      </c>
      <c r="C281" s="258" t="s">
        <v>276</v>
      </c>
      <c r="D281" s="22" t="s">
        <v>488</v>
      </c>
      <c r="E281" s="13"/>
      <c r="F281" s="13"/>
      <c r="G281" s="13"/>
      <c r="H281" s="13"/>
      <c r="I281" s="13"/>
      <c r="J281" s="13"/>
      <c r="K281" s="20"/>
    </row>
    <row r="282" spans="2:11">
      <c r="B282" s="42">
        <v>367</v>
      </c>
      <c r="C282" s="258" t="s">
        <v>286</v>
      </c>
      <c r="D282" s="22" t="s">
        <v>640</v>
      </c>
      <c r="E282" s="13"/>
      <c r="F282" s="13"/>
      <c r="G282" s="13"/>
      <c r="H282" s="13"/>
      <c r="I282" s="13"/>
      <c r="J282" s="13"/>
      <c r="K282" s="20"/>
    </row>
    <row r="283" spans="2:11">
      <c r="B283" s="42">
        <v>377</v>
      </c>
      <c r="C283" s="258" t="s">
        <v>296</v>
      </c>
      <c r="D283" s="22" t="s">
        <v>641</v>
      </c>
      <c r="E283" s="13"/>
      <c r="F283" s="13"/>
      <c r="G283" s="13"/>
      <c r="H283" s="13"/>
      <c r="I283" s="13"/>
      <c r="J283" s="13"/>
      <c r="K283" s="20"/>
    </row>
    <row r="284" spans="2:11">
      <c r="B284" s="42">
        <v>387</v>
      </c>
      <c r="C284" s="258" t="s">
        <v>306</v>
      </c>
      <c r="D284" s="22" t="s">
        <v>489</v>
      </c>
      <c r="E284" s="13"/>
      <c r="F284" s="13"/>
      <c r="G284" s="13"/>
      <c r="H284" s="13"/>
      <c r="I284" s="13"/>
      <c r="J284" s="13"/>
      <c r="K284" s="20"/>
    </row>
    <row r="285" spans="2:11">
      <c r="B285" s="42">
        <v>397</v>
      </c>
      <c r="C285" s="258" t="s">
        <v>316</v>
      </c>
      <c r="D285" s="22" t="s">
        <v>642</v>
      </c>
      <c r="E285" s="13"/>
      <c r="F285" s="13"/>
      <c r="G285" s="13"/>
      <c r="H285" s="13"/>
      <c r="I285" s="13"/>
      <c r="J285" s="13"/>
      <c r="K285" s="20"/>
    </row>
    <row r="286" spans="2:11">
      <c r="B286" s="42">
        <v>8</v>
      </c>
      <c r="C286" s="258" t="s">
        <v>344</v>
      </c>
      <c r="D286" s="22" t="s">
        <v>644</v>
      </c>
      <c r="E286" s="13"/>
      <c r="F286" s="13"/>
      <c r="G286" s="13"/>
      <c r="H286" s="13"/>
      <c r="I286" s="13"/>
      <c r="J286" s="13"/>
      <c r="K286" s="20"/>
    </row>
    <row r="287" spans="2:11">
      <c r="B287" s="42">
        <v>18</v>
      </c>
      <c r="C287" s="258" t="s">
        <v>354</v>
      </c>
      <c r="D287" s="22" t="s">
        <v>643</v>
      </c>
      <c r="E287" s="13"/>
      <c r="F287" s="13"/>
      <c r="G287" s="13"/>
      <c r="H287" s="13"/>
      <c r="I287" s="13"/>
      <c r="J287" s="13"/>
      <c r="K287" s="20"/>
    </row>
    <row r="288" spans="2:11">
      <c r="B288" s="42">
        <v>28</v>
      </c>
      <c r="C288" s="258" t="s">
        <v>364</v>
      </c>
      <c r="D288" s="22" t="s">
        <v>646</v>
      </c>
      <c r="E288" s="13"/>
      <c r="F288" s="13"/>
      <c r="G288" s="13"/>
      <c r="H288" s="13"/>
      <c r="I288" s="13"/>
      <c r="J288" s="13"/>
      <c r="K288" s="20"/>
    </row>
    <row r="289" spans="2:11">
      <c r="B289" s="42">
        <v>38</v>
      </c>
      <c r="C289" s="258" t="s">
        <v>374</v>
      </c>
      <c r="D289" s="22" t="s">
        <v>645</v>
      </c>
      <c r="E289" s="13"/>
      <c r="F289" s="13"/>
      <c r="G289" s="13"/>
      <c r="H289" s="13"/>
      <c r="I289" s="13"/>
      <c r="J289" s="13"/>
      <c r="K289" s="20"/>
    </row>
    <row r="290" spans="2:11">
      <c r="B290" s="42">
        <v>48</v>
      </c>
      <c r="C290" s="258" t="s">
        <v>384</v>
      </c>
      <c r="D290" s="285" t="s">
        <v>474</v>
      </c>
      <c r="E290" s="13"/>
      <c r="F290" s="13"/>
      <c r="G290" s="13"/>
      <c r="H290" s="13"/>
      <c r="I290" s="13"/>
      <c r="J290" s="13"/>
      <c r="K290" s="20"/>
    </row>
    <row r="291" spans="2:11">
      <c r="B291" s="42">
        <v>58</v>
      </c>
      <c r="C291" s="258" t="s">
        <v>394</v>
      </c>
      <c r="D291" s="285" t="s">
        <v>474</v>
      </c>
      <c r="E291" s="13"/>
      <c r="F291" s="13"/>
      <c r="G291" s="13"/>
      <c r="H291" s="13"/>
      <c r="I291" s="13"/>
      <c r="J291" s="13"/>
      <c r="K291" s="20"/>
    </row>
    <row r="292" spans="2:11">
      <c r="B292" s="42">
        <v>68</v>
      </c>
      <c r="C292" s="258" t="s">
        <v>404</v>
      </c>
      <c r="D292" s="285" t="s">
        <v>474</v>
      </c>
      <c r="E292" s="13"/>
      <c r="F292" s="13"/>
      <c r="G292" s="13"/>
      <c r="H292" s="13"/>
      <c r="I292" s="13"/>
      <c r="J292" s="13"/>
      <c r="K292" s="20"/>
    </row>
    <row r="293" spans="2:11">
      <c r="B293" s="42">
        <v>78</v>
      </c>
      <c r="C293" s="258" t="s">
        <v>414</v>
      </c>
      <c r="D293" s="285" t="s">
        <v>498</v>
      </c>
      <c r="E293" s="13"/>
      <c r="F293" s="13"/>
      <c r="G293" s="13"/>
      <c r="H293" s="13"/>
      <c r="I293" s="13"/>
      <c r="J293" s="13"/>
      <c r="K293" s="20"/>
    </row>
    <row r="294" spans="2:11">
      <c r="B294" s="42">
        <v>88</v>
      </c>
      <c r="C294" s="258" t="s">
        <v>424</v>
      </c>
      <c r="D294" s="22" t="s">
        <v>499</v>
      </c>
      <c r="E294" s="13"/>
      <c r="F294" s="13"/>
      <c r="G294" s="13"/>
      <c r="H294" s="13"/>
      <c r="I294" s="13"/>
      <c r="J294" s="13"/>
      <c r="K294" s="20"/>
    </row>
    <row r="295" spans="2:11">
      <c r="B295" s="42">
        <v>98</v>
      </c>
      <c r="C295" s="258" t="s">
        <v>10</v>
      </c>
      <c r="D295" s="22" t="s">
        <v>482</v>
      </c>
      <c r="E295" s="13"/>
      <c r="F295" s="13"/>
      <c r="G295" s="13"/>
      <c r="H295" s="13"/>
      <c r="I295" s="13"/>
      <c r="J295" s="13"/>
      <c r="K295" s="20"/>
    </row>
    <row r="296" spans="2:11">
      <c r="B296" s="42">
        <v>108</v>
      </c>
      <c r="C296" s="258" t="s">
        <v>27</v>
      </c>
      <c r="D296" s="22" t="s">
        <v>482</v>
      </c>
      <c r="E296" s="13"/>
      <c r="F296" s="13"/>
      <c r="G296" s="13"/>
      <c r="H296" s="13"/>
      <c r="I296" s="13"/>
      <c r="J296" s="13"/>
      <c r="K296" s="20"/>
    </row>
    <row r="297" spans="2:11">
      <c r="B297" s="42">
        <v>118</v>
      </c>
      <c r="C297" s="258" t="s">
        <v>37</v>
      </c>
      <c r="D297" s="22" t="s">
        <v>624</v>
      </c>
      <c r="E297" s="13"/>
      <c r="F297" s="13"/>
      <c r="G297" s="13"/>
      <c r="H297" s="13"/>
      <c r="I297" s="13"/>
      <c r="J297" s="13"/>
      <c r="K297" s="20"/>
    </row>
    <row r="298" spans="2:11">
      <c r="B298" s="42">
        <v>128</v>
      </c>
      <c r="C298" s="258" t="s">
        <v>47</v>
      </c>
      <c r="D298" s="22" t="s">
        <v>507</v>
      </c>
      <c r="E298" s="13"/>
      <c r="F298" s="13"/>
      <c r="G298" s="13"/>
      <c r="H298" s="13"/>
      <c r="I298" s="13"/>
      <c r="J298" s="13"/>
      <c r="K298" s="20"/>
    </row>
    <row r="299" spans="2:11">
      <c r="B299" s="42">
        <v>138</v>
      </c>
      <c r="C299" s="258" t="s">
        <v>57</v>
      </c>
      <c r="D299" s="22" t="s">
        <v>625</v>
      </c>
      <c r="E299" s="13"/>
      <c r="F299" s="13"/>
      <c r="G299" s="13"/>
      <c r="H299" s="13"/>
      <c r="I299" s="13"/>
      <c r="J299" s="13"/>
      <c r="K299" s="20"/>
    </row>
    <row r="300" spans="2:11">
      <c r="B300" s="42">
        <v>148</v>
      </c>
      <c r="C300" s="258" t="s">
        <v>67</v>
      </c>
      <c r="D300" s="22" t="s">
        <v>626</v>
      </c>
      <c r="E300" s="13"/>
      <c r="F300" s="13"/>
      <c r="G300" s="13"/>
      <c r="H300" s="13"/>
      <c r="I300" s="13"/>
      <c r="J300" s="13"/>
      <c r="K300" s="20"/>
    </row>
    <row r="301" spans="2:11">
      <c r="B301" s="42">
        <v>158</v>
      </c>
      <c r="C301" s="258" t="s">
        <v>77</v>
      </c>
      <c r="D301" s="22" t="s">
        <v>627</v>
      </c>
      <c r="E301" s="13"/>
      <c r="F301" s="13"/>
      <c r="G301" s="13"/>
      <c r="H301" s="13"/>
      <c r="I301" s="13"/>
      <c r="J301" s="13"/>
      <c r="K301" s="20"/>
    </row>
    <row r="302" spans="2:11">
      <c r="B302" s="42">
        <v>168</v>
      </c>
      <c r="C302" s="258" t="s">
        <v>87</v>
      </c>
      <c r="D302" s="22" t="s">
        <v>628</v>
      </c>
      <c r="E302" s="13"/>
      <c r="F302" s="13"/>
      <c r="G302" s="13"/>
      <c r="H302" s="13"/>
      <c r="I302" s="13"/>
      <c r="J302" s="13"/>
      <c r="K302" s="20"/>
    </row>
    <row r="303" spans="2:11">
      <c r="B303" s="42">
        <v>178</v>
      </c>
      <c r="C303" s="258" t="s">
        <v>97</v>
      </c>
      <c r="D303" s="22" t="s">
        <v>652</v>
      </c>
      <c r="E303" s="13"/>
      <c r="F303" s="13"/>
      <c r="G303" s="13"/>
      <c r="H303" s="13"/>
      <c r="I303" s="13"/>
      <c r="J303" s="13"/>
      <c r="K303" s="20"/>
    </row>
    <row r="304" spans="2:11">
      <c r="B304" s="42">
        <v>188</v>
      </c>
      <c r="C304" s="258" t="s">
        <v>107</v>
      </c>
      <c r="D304" s="22" t="s">
        <v>653</v>
      </c>
      <c r="E304" s="13"/>
      <c r="F304" s="13"/>
      <c r="G304" s="13"/>
      <c r="H304" s="13"/>
      <c r="I304" s="13"/>
      <c r="J304" s="13"/>
      <c r="K304" s="20"/>
    </row>
    <row r="305" spans="2:11">
      <c r="B305" s="42">
        <v>198</v>
      </c>
      <c r="C305" s="258" t="s">
        <v>117</v>
      </c>
      <c r="D305" s="22" t="s">
        <v>654</v>
      </c>
      <c r="E305" s="13"/>
      <c r="F305" s="13"/>
      <c r="G305" s="13"/>
      <c r="H305" s="13"/>
      <c r="I305" s="13"/>
      <c r="J305" s="13"/>
      <c r="K305" s="20"/>
    </row>
    <row r="306" spans="2:11">
      <c r="B306" s="42">
        <v>208</v>
      </c>
      <c r="C306" s="258" t="s">
        <v>127</v>
      </c>
      <c r="D306" s="22" t="s">
        <v>655</v>
      </c>
      <c r="E306" s="13"/>
      <c r="F306" s="13"/>
      <c r="G306" s="13"/>
      <c r="H306" s="13"/>
      <c r="I306" s="13"/>
      <c r="J306" s="13"/>
      <c r="K306" s="20"/>
    </row>
    <row r="307" spans="2:11">
      <c r="B307" s="42">
        <v>218</v>
      </c>
      <c r="C307" s="258" t="s">
        <v>137</v>
      </c>
      <c r="D307" s="22" t="s">
        <v>656</v>
      </c>
      <c r="E307" s="13"/>
      <c r="F307" s="13"/>
      <c r="G307" s="13"/>
      <c r="H307" s="13"/>
      <c r="I307" s="13"/>
      <c r="J307" s="13"/>
      <c r="K307" s="20"/>
    </row>
    <row r="308" spans="2:11">
      <c r="B308" s="42">
        <v>228</v>
      </c>
      <c r="C308" s="258" t="s">
        <v>147</v>
      </c>
      <c r="D308" s="22" t="s">
        <v>657</v>
      </c>
      <c r="E308" s="13"/>
      <c r="F308" s="13"/>
      <c r="G308" s="13"/>
      <c r="H308" s="13"/>
      <c r="I308" s="13"/>
      <c r="J308" s="13"/>
      <c r="K308" s="20"/>
    </row>
    <row r="309" spans="2:11">
      <c r="B309" s="42">
        <v>238</v>
      </c>
      <c r="C309" s="258" t="s">
        <v>157</v>
      </c>
      <c r="D309" s="22" t="s">
        <v>475</v>
      </c>
      <c r="E309" s="13"/>
      <c r="F309" s="13"/>
      <c r="G309" s="13"/>
      <c r="H309" s="13"/>
      <c r="I309" s="13"/>
      <c r="J309" s="13"/>
      <c r="K309" s="20"/>
    </row>
    <row r="310" spans="2:11">
      <c r="B310" s="42">
        <v>248</v>
      </c>
      <c r="C310" s="258" t="s">
        <v>167</v>
      </c>
      <c r="D310" s="22" t="s">
        <v>475</v>
      </c>
      <c r="E310" s="13"/>
      <c r="F310" s="13"/>
      <c r="G310" s="13"/>
      <c r="H310" s="13"/>
      <c r="I310" s="13"/>
      <c r="J310" s="13"/>
      <c r="K310" s="20"/>
    </row>
    <row r="311" spans="2:11">
      <c r="B311" s="42">
        <v>258</v>
      </c>
      <c r="C311" s="258" t="s">
        <v>177</v>
      </c>
      <c r="D311" s="22" t="s">
        <v>493</v>
      </c>
      <c r="E311" s="13"/>
      <c r="F311" s="13"/>
      <c r="G311" s="13"/>
      <c r="H311" s="13"/>
      <c r="I311" s="13"/>
      <c r="J311" s="13"/>
      <c r="K311" s="20"/>
    </row>
    <row r="312" spans="2:11">
      <c r="B312" s="42">
        <v>268</v>
      </c>
      <c r="C312" s="258" t="s">
        <v>187</v>
      </c>
      <c r="D312" s="22" t="s">
        <v>494</v>
      </c>
      <c r="E312" s="13"/>
      <c r="F312" s="13"/>
      <c r="G312" s="13"/>
      <c r="H312" s="13"/>
      <c r="I312" s="13"/>
      <c r="J312" s="13"/>
      <c r="K312" s="20"/>
    </row>
    <row r="313" spans="2:11">
      <c r="B313" s="42">
        <v>278</v>
      </c>
      <c r="C313" s="258" t="s">
        <v>197</v>
      </c>
      <c r="D313" s="22" t="s">
        <v>658</v>
      </c>
      <c r="E313" s="13"/>
      <c r="F313" s="13"/>
      <c r="G313" s="13"/>
      <c r="H313" s="13"/>
      <c r="I313" s="13"/>
      <c r="J313" s="13"/>
      <c r="K313" s="20"/>
    </row>
    <row r="314" spans="2:11">
      <c r="B314" s="42">
        <v>288</v>
      </c>
      <c r="C314" s="258" t="s">
        <v>207</v>
      </c>
      <c r="D314" s="22" t="s">
        <v>659</v>
      </c>
      <c r="E314" s="13"/>
      <c r="F314" s="13"/>
      <c r="G314" s="13"/>
      <c r="H314" s="13"/>
      <c r="I314" s="13"/>
      <c r="J314" s="13"/>
      <c r="K314" s="20"/>
    </row>
    <row r="315" spans="2:11">
      <c r="B315" s="42">
        <v>298</v>
      </c>
      <c r="C315" s="258" t="s">
        <v>217</v>
      </c>
      <c r="D315" s="22" t="s">
        <v>660</v>
      </c>
      <c r="E315" s="13"/>
      <c r="F315" s="13"/>
      <c r="G315" s="13"/>
      <c r="H315" s="13"/>
      <c r="I315" s="13"/>
      <c r="J315" s="13"/>
      <c r="K315" s="20"/>
    </row>
    <row r="316" spans="2:11">
      <c r="B316" s="42">
        <v>308</v>
      </c>
      <c r="C316" s="258" t="s">
        <v>227</v>
      </c>
      <c r="D316" s="22" t="s">
        <v>661</v>
      </c>
      <c r="E316" s="13"/>
      <c r="F316" s="13"/>
      <c r="G316" s="13"/>
      <c r="H316" s="13"/>
      <c r="I316" s="13"/>
      <c r="J316" s="13"/>
      <c r="K316" s="20"/>
    </row>
    <row r="317" spans="2:11">
      <c r="B317" s="42">
        <v>318</v>
      </c>
      <c r="C317" s="258" t="s">
        <v>237</v>
      </c>
      <c r="D317" s="22" t="s">
        <v>662</v>
      </c>
      <c r="E317" s="13"/>
      <c r="F317" s="13"/>
      <c r="G317" s="13"/>
      <c r="H317" s="13"/>
      <c r="I317" s="13"/>
      <c r="J317" s="13"/>
      <c r="K317" s="20"/>
    </row>
    <row r="318" spans="2:11">
      <c r="B318" s="42">
        <v>328</v>
      </c>
      <c r="C318" s="258" t="s">
        <v>247</v>
      </c>
      <c r="D318" s="22" t="s">
        <v>476</v>
      </c>
      <c r="E318" s="13"/>
      <c r="F318" s="13"/>
      <c r="G318" s="13"/>
      <c r="H318" s="13"/>
      <c r="I318" s="13"/>
      <c r="J318" s="13"/>
      <c r="K318" s="20"/>
    </row>
    <row r="319" spans="2:11">
      <c r="B319" s="42">
        <v>338</v>
      </c>
      <c r="C319" s="258" t="s">
        <v>257</v>
      </c>
      <c r="D319" s="22" t="s">
        <v>488</v>
      </c>
      <c r="E319" s="13"/>
      <c r="F319" s="13"/>
      <c r="G319" s="13"/>
      <c r="H319" s="13"/>
      <c r="I319" s="13"/>
      <c r="J319" s="13"/>
      <c r="K319" s="20"/>
    </row>
    <row r="320" spans="2:11">
      <c r="B320" s="42">
        <v>348</v>
      </c>
      <c r="C320" s="258" t="s">
        <v>267</v>
      </c>
      <c r="D320" s="22" t="s">
        <v>488</v>
      </c>
      <c r="E320" s="13"/>
      <c r="F320" s="13"/>
      <c r="G320" s="13"/>
      <c r="H320" s="13"/>
      <c r="I320" s="13"/>
      <c r="J320" s="13"/>
      <c r="K320" s="20"/>
    </row>
    <row r="321" spans="2:11">
      <c r="B321" s="42">
        <v>358</v>
      </c>
      <c r="C321" s="258" t="s">
        <v>277</v>
      </c>
      <c r="D321" s="22" t="s">
        <v>488</v>
      </c>
      <c r="E321" s="13"/>
      <c r="F321" s="13"/>
      <c r="G321" s="13"/>
      <c r="H321" s="13"/>
      <c r="I321" s="13"/>
      <c r="J321" s="13"/>
      <c r="K321" s="20"/>
    </row>
    <row r="322" spans="2:11">
      <c r="B322" s="42">
        <v>368</v>
      </c>
      <c r="C322" s="258" t="s">
        <v>287</v>
      </c>
      <c r="D322" s="22" t="s">
        <v>663</v>
      </c>
      <c r="E322" s="13"/>
      <c r="F322" s="13"/>
      <c r="G322" s="13"/>
      <c r="H322" s="13"/>
      <c r="I322" s="13"/>
      <c r="J322" s="13"/>
      <c r="K322" s="20"/>
    </row>
    <row r="323" spans="2:11">
      <c r="B323" s="42">
        <v>378</v>
      </c>
      <c r="C323" s="258" t="s">
        <v>297</v>
      </c>
      <c r="D323" s="22" t="s">
        <v>664</v>
      </c>
      <c r="E323" s="13"/>
      <c r="F323" s="13"/>
      <c r="G323" s="13"/>
      <c r="H323" s="13"/>
      <c r="I323" s="13"/>
      <c r="J323" s="13"/>
      <c r="K323" s="20"/>
    </row>
    <row r="324" spans="2:11">
      <c r="B324" s="42">
        <v>388</v>
      </c>
      <c r="C324" s="258" t="s">
        <v>307</v>
      </c>
      <c r="D324" s="22" t="s">
        <v>495</v>
      </c>
      <c r="E324" s="13"/>
      <c r="F324" s="13"/>
      <c r="G324" s="13"/>
      <c r="H324" s="13"/>
      <c r="I324" s="13"/>
      <c r="J324" s="13"/>
      <c r="K324" s="20"/>
    </row>
    <row r="325" spans="2:11">
      <c r="B325" s="42">
        <v>398</v>
      </c>
      <c r="C325" s="258" t="s">
        <v>317</v>
      </c>
      <c r="D325" s="22" t="s">
        <v>665</v>
      </c>
      <c r="E325" s="13"/>
      <c r="F325" s="13"/>
      <c r="G325" s="13"/>
      <c r="H325" s="13"/>
      <c r="I325" s="13"/>
      <c r="J325" s="13"/>
      <c r="K325" s="20"/>
    </row>
    <row r="326" spans="2:11">
      <c r="B326" s="42">
        <v>9</v>
      </c>
      <c r="C326" s="258" t="s">
        <v>345</v>
      </c>
      <c r="D326" s="22" t="s">
        <v>688</v>
      </c>
      <c r="E326" s="13"/>
      <c r="F326" s="13"/>
      <c r="G326" s="13"/>
      <c r="H326" s="13"/>
      <c r="I326" s="13"/>
      <c r="J326" s="13"/>
      <c r="K326" s="20"/>
    </row>
    <row r="327" spans="2:11">
      <c r="B327" s="42">
        <v>19</v>
      </c>
      <c r="C327" s="258" t="s">
        <v>355</v>
      </c>
      <c r="D327" s="22" t="s">
        <v>689</v>
      </c>
      <c r="E327" s="13"/>
      <c r="F327" s="13"/>
      <c r="G327" s="13"/>
      <c r="H327" s="13"/>
      <c r="I327" s="13"/>
      <c r="J327" s="13"/>
      <c r="K327" s="20"/>
    </row>
    <row r="328" spans="2:11">
      <c r="B328" s="42">
        <v>29</v>
      </c>
      <c r="C328" s="258" t="s">
        <v>365</v>
      </c>
      <c r="D328" s="22" t="s">
        <v>500</v>
      </c>
      <c r="E328" s="13"/>
      <c r="F328" s="13"/>
      <c r="G328" s="13"/>
      <c r="H328" s="13"/>
      <c r="I328" s="13"/>
      <c r="J328" s="13"/>
      <c r="K328" s="20"/>
    </row>
    <row r="329" spans="2:11">
      <c r="B329" s="42">
        <v>39</v>
      </c>
      <c r="C329" s="258" t="s">
        <v>375</v>
      </c>
      <c r="D329" s="22" t="s">
        <v>483</v>
      </c>
      <c r="E329" s="13"/>
      <c r="F329" s="13"/>
      <c r="G329" s="13"/>
      <c r="H329" s="13"/>
      <c r="I329" s="13"/>
      <c r="J329" s="13"/>
      <c r="K329" s="20"/>
    </row>
    <row r="330" spans="2:11">
      <c r="B330" s="42">
        <v>49</v>
      </c>
      <c r="C330" s="258" t="s">
        <v>385</v>
      </c>
      <c r="D330" s="285" t="s">
        <v>690</v>
      </c>
      <c r="E330" s="13"/>
      <c r="F330" s="13"/>
      <c r="G330" s="13"/>
      <c r="H330" s="13"/>
      <c r="I330" s="13"/>
      <c r="J330" s="13"/>
      <c r="K330" s="20"/>
    </row>
    <row r="331" spans="2:11">
      <c r="B331" s="42">
        <v>59</v>
      </c>
      <c r="C331" s="258" t="s">
        <v>395</v>
      </c>
      <c r="D331" s="285" t="s">
        <v>691</v>
      </c>
      <c r="E331" s="13"/>
      <c r="F331" s="13"/>
      <c r="G331" s="13"/>
      <c r="H331" s="13"/>
      <c r="I331" s="13"/>
      <c r="J331" s="13"/>
      <c r="K331" s="20"/>
    </row>
    <row r="332" spans="2:11">
      <c r="B332" s="42">
        <v>69</v>
      </c>
      <c r="C332" s="258" t="s">
        <v>405</v>
      </c>
      <c r="D332" s="285" t="s">
        <v>474</v>
      </c>
      <c r="E332" s="13"/>
      <c r="F332" s="13"/>
      <c r="G332" s="13"/>
      <c r="H332" s="13"/>
      <c r="I332" s="13"/>
      <c r="J332" s="13"/>
      <c r="K332" s="20"/>
    </row>
    <row r="333" spans="2:11">
      <c r="B333" s="42">
        <v>79</v>
      </c>
      <c r="C333" s="258" t="s">
        <v>415</v>
      </c>
      <c r="D333" s="285" t="s">
        <v>490</v>
      </c>
      <c r="E333" s="13"/>
      <c r="F333" s="13"/>
      <c r="G333" s="13"/>
      <c r="H333" s="13"/>
      <c r="I333" s="13"/>
      <c r="J333" s="13"/>
      <c r="K333" s="20"/>
    </row>
    <row r="334" spans="2:11">
      <c r="B334" s="42">
        <v>89</v>
      </c>
      <c r="C334" s="258" t="s">
        <v>425</v>
      </c>
      <c r="D334" s="22" t="s">
        <v>491</v>
      </c>
      <c r="E334" s="13"/>
      <c r="F334" s="13"/>
      <c r="G334" s="13"/>
      <c r="H334" s="13"/>
      <c r="I334" s="13"/>
      <c r="J334" s="13"/>
      <c r="K334" s="20"/>
    </row>
    <row r="335" spans="2:11">
      <c r="B335" s="213">
        <v>99</v>
      </c>
      <c r="C335" s="214" t="s">
        <v>11</v>
      </c>
      <c r="D335" s="201" t="s">
        <v>454</v>
      </c>
      <c r="E335" s="216"/>
      <c r="F335" s="216"/>
      <c r="G335" s="216"/>
      <c r="H335" s="216"/>
      <c r="I335" s="216"/>
      <c r="J335" s="216"/>
      <c r="K335" s="217"/>
    </row>
    <row r="336" spans="2:11">
      <c r="B336" s="42">
        <v>109</v>
      </c>
      <c r="C336" s="258" t="s">
        <v>28</v>
      </c>
      <c r="D336" s="22" t="s">
        <v>482</v>
      </c>
      <c r="E336" s="13"/>
      <c r="F336" s="13"/>
      <c r="G336" s="13"/>
      <c r="H336" s="13"/>
      <c r="I336" s="13"/>
      <c r="J336" s="13"/>
      <c r="K336" s="20"/>
    </row>
    <row r="337" spans="2:11">
      <c r="B337" s="42">
        <v>119</v>
      </c>
      <c r="C337" s="258" t="s">
        <v>38</v>
      </c>
      <c r="D337" s="22" t="s">
        <v>506</v>
      </c>
      <c r="E337" s="13"/>
      <c r="F337" s="13"/>
      <c r="G337" s="13"/>
      <c r="H337" s="13"/>
      <c r="I337" s="13"/>
      <c r="J337" s="13"/>
      <c r="K337" s="20"/>
    </row>
    <row r="338" spans="2:11">
      <c r="B338" s="42">
        <v>129</v>
      </c>
      <c r="C338" s="258" t="s">
        <v>48</v>
      </c>
      <c r="D338" s="22" t="s">
        <v>692</v>
      </c>
      <c r="E338" s="13"/>
      <c r="F338" s="13"/>
      <c r="G338" s="13"/>
      <c r="H338" s="13"/>
      <c r="I338" s="13"/>
      <c r="J338" s="13"/>
      <c r="K338" s="20"/>
    </row>
    <row r="339" spans="2:11">
      <c r="B339" s="42">
        <v>139</v>
      </c>
      <c r="C339" s="258" t="s">
        <v>58</v>
      </c>
      <c r="D339" s="22" t="s">
        <v>693</v>
      </c>
      <c r="E339" s="13"/>
      <c r="F339" s="13"/>
      <c r="G339" s="13"/>
      <c r="H339" s="13"/>
      <c r="I339" s="13"/>
      <c r="J339" s="13"/>
      <c r="K339" s="20"/>
    </row>
    <row r="340" spans="2:11">
      <c r="B340" s="42">
        <v>149</v>
      </c>
      <c r="C340" s="258" t="s">
        <v>68</v>
      </c>
      <c r="D340" s="22" t="s">
        <v>694</v>
      </c>
      <c r="E340" s="13"/>
      <c r="F340" s="13"/>
      <c r="G340" s="13"/>
      <c r="H340" s="13"/>
      <c r="I340" s="13"/>
      <c r="J340" s="13"/>
      <c r="K340" s="20"/>
    </row>
    <row r="341" spans="2:11">
      <c r="B341" s="42">
        <v>159</v>
      </c>
      <c r="C341" s="258" t="s">
        <v>78</v>
      </c>
      <c r="D341" s="22" t="s">
        <v>695</v>
      </c>
      <c r="E341" s="13"/>
      <c r="F341" s="13"/>
      <c r="G341" s="13"/>
      <c r="H341" s="13"/>
      <c r="I341" s="13"/>
      <c r="J341" s="13"/>
      <c r="K341" s="20"/>
    </row>
    <row r="342" spans="2:11">
      <c r="B342" s="42">
        <v>169</v>
      </c>
      <c r="C342" s="258" t="s">
        <v>88</v>
      </c>
      <c r="D342" s="22" t="s">
        <v>696</v>
      </c>
      <c r="E342" s="13"/>
      <c r="F342" s="13"/>
      <c r="G342" s="13"/>
      <c r="H342" s="13"/>
      <c r="I342" s="13"/>
      <c r="J342" s="13"/>
      <c r="K342" s="20"/>
    </row>
    <row r="343" spans="2:11">
      <c r="B343" s="42">
        <v>179</v>
      </c>
      <c r="C343" s="258" t="s">
        <v>98</v>
      </c>
      <c r="D343" s="22" t="s">
        <v>675</v>
      </c>
      <c r="E343" s="13"/>
      <c r="F343" s="13"/>
      <c r="G343" s="13"/>
      <c r="H343" s="13"/>
      <c r="I343" s="13"/>
      <c r="J343" s="13"/>
      <c r="K343" s="20"/>
    </row>
    <row r="344" spans="2:11">
      <c r="B344" s="42">
        <v>189</v>
      </c>
      <c r="C344" s="258" t="s">
        <v>108</v>
      </c>
      <c r="D344" s="22" t="s">
        <v>676</v>
      </c>
      <c r="E344" s="13"/>
      <c r="F344" s="13"/>
      <c r="G344" s="13"/>
      <c r="H344" s="13"/>
      <c r="I344" s="13"/>
      <c r="J344" s="13"/>
      <c r="K344" s="20"/>
    </row>
    <row r="345" spans="2:11">
      <c r="B345" s="42">
        <v>199</v>
      </c>
      <c r="C345" s="258" t="s">
        <v>118</v>
      </c>
      <c r="D345" s="22" t="s">
        <v>677</v>
      </c>
      <c r="E345" s="13"/>
      <c r="F345" s="13"/>
      <c r="G345" s="13"/>
      <c r="H345" s="13"/>
      <c r="I345" s="13"/>
      <c r="J345" s="13"/>
      <c r="K345" s="20"/>
    </row>
    <row r="346" spans="2:11">
      <c r="B346" s="42">
        <v>209</v>
      </c>
      <c r="C346" s="258" t="s">
        <v>128</v>
      </c>
      <c r="D346" s="22" t="s">
        <v>678</v>
      </c>
      <c r="E346" s="13"/>
      <c r="F346" s="13"/>
      <c r="G346" s="13"/>
      <c r="H346" s="13"/>
      <c r="I346" s="13"/>
      <c r="J346" s="13"/>
      <c r="K346" s="20"/>
    </row>
    <row r="347" spans="2:11">
      <c r="B347" s="42">
        <v>219</v>
      </c>
      <c r="C347" s="258" t="s">
        <v>138</v>
      </c>
      <c r="D347" s="22" t="s">
        <v>501</v>
      </c>
      <c r="E347" s="13"/>
      <c r="F347" s="13"/>
      <c r="G347" s="13"/>
      <c r="H347" s="13"/>
      <c r="I347" s="13"/>
      <c r="J347" s="13"/>
      <c r="K347" s="20"/>
    </row>
    <row r="348" spans="2:11">
      <c r="B348" s="42">
        <v>229</v>
      </c>
      <c r="C348" s="258" t="s">
        <v>148</v>
      </c>
      <c r="D348" s="22" t="s">
        <v>502</v>
      </c>
      <c r="E348" s="13"/>
      <c r="F348" s="13"/>
      <c r="G348" s="13"/>
      <c r="H348" s="13"/>
      <c r="I348" s="13"/>
      <c r="J348" s="13"/>
      <c r="K348" s="20"/>
    </row>
    <row r="349" spans="2:11">
      <c r="B349" s="42">
        <v>239</v>
      </c>
      <c r="C349" s="258" t="s">
        <v>158</v>
      </c>
      <c r="D349" s="22" t="s">
        <v>475</v>
      </c>
      <c r="E349" s="13"/>
      <c r="F349" s="13"/>
      <c r="G349" s="13"/>
      <c r="H349" s="13"/>
      <c r="I349" s="13"/>
      <c r="J349" s="13"/>
      <c r="K349" s="20"/>
    </row>
    <row r="350" spans="2:11">
      <c r="B350" s="42">
        <v>249</v>
      </c>
      <c r="C350" s="258" t="s">
        <v>168</v>
      </c>
      <c r="D350" s="22" t="s">
        <v>503</v>
      </c>
      <c r="E350" s="13"/>
      <c r="F350" s="13"/>
      <c r="G350" s="13"/>
      <c r="H350" s="13"/>
      <c r="I350" s="13"/>
      <c r="J350" s="13"/>
      <c r="K350" s="20"/>
    </row>
    <row r="351" spans="2:11">
      <c r="B351" s="42">
        <v>259</v>
      </c>
      <c r="C351" s="258" t="s">
        <v>178</v>
      </c>
      <c r="D351" s="22" t="s">
        <v>504</v>
      </c>
      <c r="E351" s="13"/>
      <c r="F351" s="13"/>
      <c r="G351" s="13"/>
      <c r="H351" s="13"/>
      <c r="I351" s="13"/>
      <c r="J351" s="13"/>
      <c r="K351" s="20"/>
    </row>
    <row r="352" spans="2:11">
      <c r="B352" s="42">
        <v>269</v>
      </c>
      <c r="C352" s="258" t="s">
        <v>188</v>
      </c>
      <c r="D352" s="22" t="s">
        <v>517</v>
      </c>
      <c r="E352" s="13"/>
      <c r="F352" s="13"/>
      <c r="G352" s="13"/>
      <c r="H352" s="13"/>
      <c r="I352" s="13"/>
      <c r="J352" s="13"/>
      <c r="K352" s="20"/>
    </row>
    <row r="353" spans="2:11">
      <c r="B353" s="42">
        <v>279</v>
      </c>
      <c r="C353" s="258" t="s">
        <v>198</v>
      </c>
      <c r="D353" s="22" t="s">
        <v>679</v>
      </c>
      <c r="E353" s="13"/>
      <c r="F353" s="13"/>
      <c r="G353" s="13"/>
      <c r="H353" s="13"/>
      <c r="I353" s="13"/>
      <c r="J353" s="13"/>
      <c r="K353" s="20"/>
    </row>
    <row r="354" spans="2:11">
      <c r="B354" s="42">
        <v>289</v>
      </c>
      <c r="C354" s="258" t="s">
        <v>208</v>
      </c>
      <c r="D354" s="22" t="s">
        <v>680</v>
      </c>
      <c r="E354" s="13"/>
      <c r="F354" s="13"/>
      <c r="G354" s="13"/>
      <c r="H354" s="13"/>
      <c r="I354" s="13"/>
      <c r="J354" s="13"/>
      <c r="K354" s="20"/>
    </row>
    <row r="355" spans="2:11">
      <c r="B355" s="42">
        <v>299</v>
      </c>
      <c r="C355" s="258" t="s">
        <v>218</v>
      </c>
      <c r="D355" s="22" t="s">
        <v>681</v>
      </c>
      <c r="E355" s="13"/>
      <c r="F355" s="13"/>
      <c r="G355" s="13"/>
      <c r="H355" s="13"/>
      <c r="I355" s="13"/>
      <c r="J355" s="13"/>
      <c r="K355" s="20"/>
    </row>
    <row r="356" spans="2:11">
      <c r="B356" s="42">
        <v>309</v>
      </c>
      <c r="C356" s="258" t="s">
        <v>228</v>
      </c>
      <c r="D356" s="22" t="s">
        <v>682</v>
      </c>
      <c r="E356" s="13"/>
      <c r="F356" s="13"/>
      <c r="G356" s="13"/>
      <c r="H356" s="13"/>
      <c r="I356" s="13"/>
      <c r="J356" s="13"/>
      <c r="K356" s="20"/>
    </row>
    <row r="357" spans="2:11">
      <c r="B357" s="42">
        <v>319</v>
      </c>
      <c r="C357" s="258" t="s">
        <v>238</v>
      </c>
      <c r="D357" s="22" t="s">
        <v>683</v>
      </c>
      <c r="E357" s="13"/>
      <c r="F357" s="13"/>
      <c r="G357" s="13"/>
      <c r="H357" s="13"/>
      <c r="I357" s="13"/>
      <c r="J357" s="13"/>
      <c r="K357" s="20"/>
    </row>
    <row r="358" spans="2:11">
      <c r="B358" s="42">
        <v>329</v>
      </c>
      <c r="C358" s="258" t="s">
        <v>248</v>
      </c>
      <c r="D358" s="22" t="s">
        <v>476</v>
      </c>
      <c r="E358" s="13"/>
      <c r="F358" s="13"/>
      <c r="G358" s="13"/>
      <c r="H358" s="13"/>
      <c r="I358" s="13"/>
      <c r="J358" s="13"/>
      <c r="K358" s="20"/>
    </row>
    <row r="359" spans="2:11">
      <c r="B359" s="42">
        <v>339</v>
      </c>
      <c r="C359" s="258" t="s">
        <v>258</v>
      </c>
      <c r="D359" s="22" t="s">
        <v>488</v>
      </c>
      <c r="E359" s="13"/>
      <c r="F359" s="13"/>
      <c r="G359" s="13"/>
      <c r="H359" s="13"/>
      <c r="I359" s="13"/>
      <c r="J359" s="13"/>
      <c r="K359" s="20"/>
    </row>
    <row r="360" spans="2:11">
      <c r="B360" s="42">
        <v>349</v>
      </c>
      <c r="C360" s="258" t="s">
        <v>268</v>
      </c>
      <c r="D360" s="22" t="s">
        <v>488</v>
      </c>
      <c r="E360" s="13"/>
      <c r="F360" s="13"/>
      <c r="G360" s="13"/>
      <c r="H360" s="13"/>
      <c r="I360" s="13"/>
      <c r="J360" s="13"/>
      <c r="K360" s="20"/>
    </row>
    <row r="361" spans="2:11">
      <c r="B361" s="42">
        <v>359</v>
      </c>
      <c r="C361" s="258" t="s">
        <v>278</v>
      </c>
      <c r="D361" s="22" t="s">
        <v>488</v>
      </c>
      <c r="E361" s="13"/>
      <c r="F361" s="13"/>
      <c r="G361" s="13"/>
      <c r="H361" s="13"/>
      <c r="I361" s="13"/>
      <c r="J361" s="13"/>
      <c r="K361" s="20"/>
    </row>
    <row r="362" spans="2:11">
      <c r="B362" s="42">
        <v>369</v>
      </c>
      <c r="C362" s="258" t="s">
        <v>288</v>
      </c>
      <c r="D362" s="22" t="s">
        <v>684</v>
      </c>
      <c r="E362" s="13"/>
      <c r="F362" s="13"/>
      <c r="G362" s="13"/>
      <c r="H362" s="13"/>
      <c r="I362" s="13"/>
      <c r="J362" s="13"/>
      <c r="K362" s="20"/>
    </row>
    <row r="363" spans="2:11">
      <c r="B363" s="42">
        <v>379</v>
      </c>
      <c r="C363" s="258" t="s">
        <v>298</v>
      </c>
      <c r="D363" s="22" t="s">
        <v>685</v>
      </c>
      <c r="E363" s="13"/>
      <c r="F363" s="13"/>
      <c r="G363" s="13"/>
      <c r="H363" s="13"/>
      <c r="I363" s="13"/>
      <c r="J363" s="13"/>
      <c r="K363" s="20"/>
    </row>
    <row r="364" spans="2:11">
      <c r="B364" s="42">
        <v>389</v>
      </c>
      <c r="C364" s="258" t="s">
        <v>308</v>
      </c>
      <c r="D364" s="22" t="s">
        <v>686</v>
      </c>
      <c r="E364" s="13"/>
      <c r="F364" s="13"/>
      <c r="G364" s="13"/>
      <c r="H364" s="13"/>
      <c r="I364" s="13"/>
      <c r="J364" s="13"/>
      <c r="K364" s="20"/>
    </row>
    <row r="365" spans="2:11">
      <c r="B365" s="42">
        <v>399</v>
      </c>
      <c r="C365" s="258" t="s">
        <v>318</v>
      </c>
      <c r="D365" s="22" t="s">
        <v>687</v>
      </c>
      <c r="E365" s="13"/>
      <c r="F365" s="13"/>
      <c r="G365" s="13"/>
      <c r="H365" s="13"/>
      <c r="I365" s="13"/>
      <c r="J365" s="13"/>
      <c r="K365" s="20"/>
    </row>
    <row r="366" spans="2:11">
      <c r="B366" s="42">
        <v>10</v>
      </c>
      <c r="C366" s="258" t="s">
        <v>346</v>
      </c>
      <c r="D366" s="22" t="s">
        <v>666</v>
      </c>
      <c r="E366" s="13"/>
      <c r="F366" s="13"/>
      <c r="G366" s="13"/>
      <c r="H366" s="13"/>
      <c r="I366" s="13"/>
      <c r="J366" s="13"/>
      <c r="K366" s="20"/>
    </row>
    <row r="367" spans="2:11">
      <c r="B367" s="42">
        <v>20</v>
      </c>
      <c r="C367" s="258" t="s">
        <v>356</v>
      </c>
      <c r="D367" s="22" t="s">
        <v>667</v>
      </c>
      <c r="E367" s="13"/>
      <c r="F367" s="13"/>
      <c r="G367" s="13"/>
      <c r="H367" s="13"/>
      <c r="I367" s="13"/>
      <c r="J367" s="13"/>
      <c r="K367" s="20"/>
    </row>
    <row r="368" spans="2:11">
      <c r="B368" s="42">
        <v>30</v>
      </c>
      <c r="C368" s="258" t="s">
        <v>366</v>
      </c>
      <c r="D368" s="22" t="s">
        <v>511</v>
      </c>
      <c r="E368" s="13"/>
      <c r="F368" s="13"/>
      <c r="G368" s="13"/>
      <c r="H368" s="13"/>
      <c r="I368" s="13"/>
      <c r="J368" s="13"/>
      <c r="K368" s="20"/>
    </row>
    <row r="369" spans="2:11">
      <c r="B369" s="42">
        <v>40</v>
      </c>
      <c r="C369" s="258" t="s">
        <v>376</v>
      </c>
      <c r="D369" s="22" t="s">
        <v>492</v>
      </c>
      <c r="E369" s="13"/>
      <c r="F369" s="13"/>
      <c r="G369" s="13"/>
      <c r="H369" s="13"/>
      <c r="I369" s="13"/>
      <c r="J369" s="13"/>
      <c r="K369" s="20"/>
    </row>
    <row r="370" spans="2:11">
      <c r="B370" s="42">
        <v>50</v>
      </c>
      <c r="C370" s="258" t="s">
        <v>386</v>
      </c>
      <c r="D370" s="285" t="s">
        <v>668</v>
      </c>
      <c r="E370" s="13"/>
      <c r="F370" s="13"/>
      <c r="G370" s="13"/>
      <c r="H370" s="13"/>
      <c r="I370" s="13"/>
      <c r="J370" s="13"/>
      <c r="K370" s="20"/>
    </row>
    <row r="371" spans="2:11">
      <c r="B371" s="42">
        <v>60</v>
      </c>
      <c r="C371" s="258" t="s">
        <v>396</v>
      </c>
      <c r="D371" s="285" t="s">
        <v>669</v>
      </c>
      <c r="E371" s="13"/>
      <c r="F371" s="13"/>
      <c r="G371" s="13"/>
      <c r="H371" s="13"/>
      <c r="I371" s="13"/>
      <c r="J371" s="13"/>
      <c r="K371" s="20"/>
    </row>
    <row r="372" spans="2:11">
      <c r="B372" s="42">
        <v>70</v>
      </c>
      <c r="C372" s="258" t="s">
        <v>406</v>
      </c>
      <c r="D372" s="285" t="s">
        <v>508</v>
      </c>
      <c r="E372" s="13"/>
      <c r="F372" s="13"/>
      <c r="G372" s="13"/>
      <c r="H372" s="13"/>
      <c r="I372" s="13"/>
      <c r="J372" s="13"/>
      <c r="K372" s="20"/>
    </row>
    <row r="373" spans="2:11">
      <c r="B373" s="42">
        <v>80</v>
      </c>
      <c r="C373" s="258" t="s">
        <v>416</v>
      </c>
      <c r="D373" s="285" t="s">
        <v>510</v>
      </c>
      <c r="E373" s="13"/>
      <c r="F373" s="13"/>
      <c r="G373" s="13"/>
      <c r="H373" s="13"/>
      <c r="I373" s="13"/>
      <c r="J373" s="13"/>
      <c r="K373" s="20"/>
    </row>
    <row r="374" spans="2:11">
      <c r="B374" s="42">
        <v>90</v>
      </c>
      <c r="C374" s="258" t="s">
        <v>426</v>
      </c>
      <c r="D374" s="22" t="s">
        <v>509</v>
      </c>
      <c r="E374" s="13"/>
      <c r="F374" s="13"/>
      <c r="G374" s="13"/>
      <c r="H374" s="13"/>
      <c r="I374" s="13"/>
      <c r="J374" s="13"/>
      <c r="K374" s="20"/>
    </row>
    <row r="375" spans="2:11">
      <c r="B375" s="42">
        <v>100</v>
      </c>
      <c r="C375" s="258" t="s">
        <v>12</v>
      </c>
      <c r="D375" s="22" t="s">
        <v>482</v>
      </c>
      <c r="E375" s="13"/>
      <c r="F375" s="13"/>
      <c r="G375" s="13"/>
      <c r="H375" s="13"/>
      <c r="I375" s="13"/>
      <c r="J375" s="13"/>
      <c r="K375" s="20"/>
    </row>
    <row r="376" spans="2:11">
      <c r="B376" s="42">
        <v>110</v>
      </c>
      <c r="C376" s="258" t="s">
        <v>29</v>
      </c>
      <c r="D376" s="22" t="s">
        <v>482</v>
      </c>
      <c r="E376" s="13"/>
      <c r="F376" s="13"/>
      <c r="G376" s="13"/>
      <c r="H376" s="13"/>
      <c r="I376" s="13"/>
      <c r="J376" s="13"/>
      <c r="K376" s="20"/>
    </row>
    <row r="377" spans="2:11">
      <c r="B377" s="42">
        <v>120</v>
      </c>
      <c r="C377" s="258" t="s">
        <v>39</v>
      </c>
      <c r="D377" s="22" t="s">
        <v>496</v>
      </c>
      <c r="E377" s="13"/>
      <c r="F377" s="13"/>
      <c r="G377" s="13"/>
      <c r="H377" s="13"/>
      <c r="I377" s="13"/>
      <c r="J377" s="13"/>
      <c r="K377" s="20"/>
    </row>
    <row r="378" spans="2:11">
      <c r="B378" s="42">
        <v>130</v>
      </c>
      <c r="C378" s="258" t="s">
        <v>49</v>
      </c>
      <c r="D378" s="22" t="s">
        <v>670</v>
      </c>
      <c r="E378" s="13"/>
      <c r="F378" s="13"/>
      <c r="G378" s="13"/>
      <c r="H378" s="13"/>
      <c r="I378" s="13"/>
      <c r="J378" s="13"/>
      <c r="K378" s="20"/>
    </row>
    <row r="379" spans="2:11">
      <c r="B379" s="42">
        <v>140</v>
      </c>
      <c r="C379" s="258" t="s">
        <v>59</v>
      </c>
      <c r="D379" s="22" t="s">
        <v>671</v>
      </c>
      <c r="E379" s="13"/>
      <c r="F379" s="13"/>
      <c r="G379" s="13"/>
      <c r="H379" s="13"/>
      <c r="I379" s="13"/>
      <c r="J379" s="13"/>
      <c r="K379" s="20"/>
    </row>
    <row r="380" spans="2:11">
      <c r="B380" s="42">
        <v>150</v>
      </c>
      <c r="C380" s="258" t="s">
        <v>69</v>
      </c>
      <c r="D380" s="22" t="s">
        <v>672</v>
      </c>
      <c r="E380" s="13"/>
      <c r="F380" s="13"/>
      <c r="G380" s="13"/>
      <c r="H380" s="13"/>
      <c r="I380" s="13"/>
      <c r="J380" s="13"/>
      <c r="K380" s="20"/>
    </row>
    <row r="381" spans="2:11">
      <c r="B381" s="42">
        <v>160</v>
      </c>
      <c r="C381" s="258" t="s">
        <v>79</v>
      </c>
      <c r="D381" s="22" t="s">
        <v>673</v>
      </c>
      <c r="E381" s="13"/>
      <c r="F381" s="13"/>
      <c r="G381" s="13"/>
      <c r="H381" s="13"/>
      <c r="I381" s="13"/>
      <c r="J381" s="13"/>
      <c r="K381" s="20"/>
    </row>
    <row r="382" spans="2:11">
      <c r="B382" s="42">
        <v>170</v>
      </c>
      <c r="C382" s="258" t="s">
        <v>89</v>
      </c>
      <c r="D382" s="22" t="s">
        <v>674</v>
      </c>
      <c r="E382" s="13"/>
      <c r="F382" s="13"/>
      <c r="G382" s="13"/>
      <c r="H382" s="13"/>
      <c r="I382" s="13"/>
      <c r="J382" s="13"/>
      <c r="K382" s="20"/>
    </row>
    <row r="383" spans="2:11">
      <c r="B383" s="42">
        <v>180</v>
      </c>
      <c r="C383" s="258" t="s">
        <v>99</v>
      </c>
      <c r="D383" s="22" t="s">
        <v>697</v>
      </c>
      <c r="E383" s="13"/>
      <c r="F383" s="13"/>
      <c r="G383" s="13"/>
      <c r="H383" s="13"/>
      <c r="I383" s="13"/>
      <c r="J383" s="13"/>
      <c r="K383" s="20"/>
    </row>
    <row r="384" spans="2:11">
      <c r="B384" s="42">
        <v>190</v>
      </c>
      <c r="C384" s="258" t="s">
        <v>109</v>
      </c>
      <c r="D384" s="22" t="s">
        <v>698</v>
      </c>
      <c r="E384" s="13"/>
      <c r="F384" s="13"/>
      <c r="G384" s="13"/>
      <c r="H384" s="13"/>
      <c r="I384" s="13"/>
      <c r="J384" s="13"/>
      <c r="K384" s="20"/>
    </row>
    <row r="385" spans="2:11">
      <c r="B385" s="42">
        <v>200</v>
      </c>
      <c r="C385" s="258" t="s">
        <v>119</v>
      </c>
      <c r="D385" s="22" t="s">
        <v>699</v>
      </c>
      <c r="E385" s="13"/>
      <c r="F385" s="13"/>
      <c r="G385" s="13"/>
      <c r="H385" s="13"/>
      <c r="I385" s="13"/>
      <c r="J385" s="13"/>
      <c r="K385" s="20"/>
    </row>
    <row r="386" spans="2:11">
      <c r="B386" s="42">
        <v>210</v>
      </c>
      <c r="C386" s="258" t="s">
        <v>129</v>
      </c>
      <c r="D386" s="22" t="s">
        <v>700</v>
      </c>
      <c r="E386" s="13"/>
      <c r="F386" s="13"/>
      <c r="G386" s="13"/>
      <c r="H386" s="13"/>
      <c r="I386" s="13"/>
      <c r="J386" s="13"/>
      <c r="K386" s="20"/>
    </row>
    <row r="387" spans="2:11">
      <c r="B387" s="42">
        <v>220</v>
      </c>
      <c r="C387" s="258" t="s">
        <v>139</v>
      </c>
      <c r="D387" s="22" t="s">
        <v>512</v>
      </c>
      <c r="E387" s="13"/>
      <c r="F387" s="13"/>
      <c r="G387" s="13"/>
      <c r="H387" s="13"/>
      <c r="I387" s="13"/>
      <c r="J387" s="13"/>
      <c r="K387" s="20"/>
    </row>
    <row r="388" spans="2:11">
      <c r="B388" s="42">
        <v>230</v>
      </c>
      <c r="C388" s="258" t="s">
        <v>149</v>
      </c>
      <c r="D388" s="22" t="s">
        <v>513</v>
      </c>
      <c r="E388" s="13"/>
      <c r="F388" s="13"/>
      <c r="G388" s="13"/>
      <c r="H388" s="13"/>
      <c r="I388" s="13"/>
      <c r="J388" s="13"/>
      <c r="K388" s="20"/>
    </row>
    <row r="389" spans="2:11">
      <c r="B389" s="42">
        <v>240</v>
      </c>
      <c r="C389" s="258" t="s">
        <v>159</v>
      </c>
      <c r="D389" s="22" t="s">
        <v>514</v>
      </c>
      <c r="E389" s="13"/>
      <c r="F389" s="13"/>
      <c r="G389" s="13"/>
      <c r="H389" s="13"/>
      <c r="I389" s="13"/>
      <c r="J389" s="13"/>
      <c r="K389" s="20"/>
    </row>
    <row r="390" spans="2:11">
      <c r="B390" s="42">
        <v>250</v>
      </c>
      <c r="C390" s="258" t="s">
        <v>169</v>
      </c>
      <c r="D390" s="22" t="s">
        <v>515</v>
      </c>
      <c r="E390" s="13"/>
      <c r="F390" s="13"/>
      <c r="G390" s="13"/>
      <c r="H390" s="13"/>
      <c r="I390" s="13"/>
      <c r="J390" s="13"/>
      <c r="K390" s="20"/>
    </row>
    <row r="391" spans="2:11">
      <c r="B391" s="42">
        <v>260</v>
      </c>
      <c r="C391" s="258" t="s">
        <v>179</v>
      </c>
      <c r="D391" s="22" t="s">
        <v>516</v>
      </c>
      <c r="E391" s="13"/>
      <c r="F391" s="13"/>
      <c r="G391" s="13"/>
      <c r="H391" s="13"/>
      <c r="I391" s="13"/>
      <c r="J391" s="13"/>
      <c r="K391" s="20"/>
    </row>
    <row r="392" spans="2:11">
      <c r="B392" s="42">
        <v>270</v>
      </c>
      <c r="C392" s="258" t="s">
        <v>189</v>
      </c>
      <c r="D392" s="22" t="s">
        <v>505</v>
      </c>
      <c r="E392" s="13"/>
      <c r="F392" s="13"/>
      <c r="G392" s="13"/>
      <c r="H392" s="13"/>
      <c r="I392" s="13"/>
      <c r="J392" s="13"/>
      <c r="K392" s="20"/>
    </row>
    <row r="393" spans="2:11">
      <c r="B393" s="42">
        <v>280</v>
      </c>
      <c r="C393" s="258" t="s">
        <v>199</v>
      </c>
      <c r="D393" s="22" t="s">
        <v>701</v>
      </c>
      <c r="E393" s="13"/>
      <c r="F393" s="13"/>
      <c r="G393" s="13"/>
      <c r="H393" s="13"/>
      <c r="I393" s="13"/>
      <c r="J393" s="13"/>
      <c r="K393" s="20"/>
    </row>
    <row r="394" spans="2:11">
      <c r="B394" s="42">
        <v>290</v>
      </c>
      <c r="C394" s="258" t="s">
        <v>209</v>
      </c>
      <c r="D394" s="22" t="s">
        <v>702</v>
      </c>
      <c r="E394" s="13"/>
      <c r="F394" s="13"/>
      <c r="G394" s="13"/>
      <c r="H394" s="13"/>
      <c r="I394" s="13"/>
      <c r="J394" s="13"/>
      <c r="K394" s="20"/>
    </row>
    <row r="395" spans="2:11">
      <c r="B395" s="42">
        <v>300</v>
      </c>
      <c r="C395" s="258" t="s">
        <v>219</v>
      </c>
      <c r="D395" s="22" t="s">
        <v>703</v>
      </c>
      <c r="E395" s="13"/>
      <c r="F395" s="13"/>
      <c r="G395" s="13"/>
      <c r="H395" s="13"/>
      <c r="I395" s="13"/>
      <c r="J395" s="13"/>
      <c r="K395" s="20"/>
    </row>
    <row r="396" spans="2:11">
      <c r="B396" s="42">
        <v>310</v>
      </c>
      <c r="C396" s="258" t="s">
        <v>229</v>
      </c>
      <c r="D396" s="22" t="s">
        <v>704</v>
      </c>
      <c r="E396" s="13"/>
      <c r="F396" s="13"/>
      <c r="G396" s="13"/>
      <c r="H396" s="13"/>
      <c r="I396" s="13"/>
      <c r="J396" s="13"/>
      <c r="K396" s="20"/>
    </row>
    <row r="397" spans="2:11">
      <c r="B397" s="42">
        <v>320</v>
      </c>
      <c r="C397" s="258" t="s">
        <v>239</v>
      </c>
      <c r="D397" s="22" t="s">
        <v>705</v>
      </c>
      <c r="E397" s="13"/>
      <c r="F397" s="13"/>
      <c r="G397" s="13"/>
      <c r="H397" s="13"/>
      <c r="I397" s="13"/>
      <c r="J397" s="13"/>
      <c r="K397" s="20"/>
    </row>
    <row r="398" spans="2:11">
      <c r="B398" s="42">
        <v>330</v>
      </c>
      <c r="C398" s="258" t="s">
        <v>249</v>
      </c>
      <c r="D398" s="22" t="s">
        <v>476</v>
      </c>
      <c r="E398" s="13"/>
      <c r="F398" s="13"/>
      <c r="G398" s="13"/>
      <c r="H398" s="13"/>
      <c r="I398" s="13"/>
      <c r="J398" s="13"/>
      <c r="K398" s="20"/>
    </row>
    <row r="399" spans="2:11">
      <c r="B399" s="42">
        <v>340</v>
      </c>
      <c r="C399" s="258" t="s">
        <v>259</v>
      </c>
      <c r="D399" s="22" t="s">
        <v>488</v>
      </c>
      <c r="E399" s="13"/>
      <c r="F399" s="13"/>
      <c r="G399" s="13"/>
      <c r="H399" s="13"/>
      <c r="I399" s="13"/>
      <c r="J399" s="13"/>
      <c r="K399" s="20"/>
    </row>
    <row r="400" spans="2:11">
      <c r="B400" s="42">
        <v>350</v>
      </c>
      <c r="C400" s="258" t="s">
        <v>269</v>
      </c>
      <c r="D400" s="22" t="s">
        <v>488</v>
      </c>
      <c r="E400" s="13"/>
      <c r="F400" s="13"/>
      <c r="G400" s="13"/>
      <c r="H400" s="13"/>
      <c r="I400" s="13"/>
      <c r="J400" s="13"/>
      <c r="K400" s="20"/>
    </row>
    <row r="401" spans="2:11">
      <c r="B401" s="42">
        <v>360</v>
      </c>
      <c r="C401" s="258" t="s">
        <v>279</v>
      </c>
      <c r="D401" s="22" t="s">
        <v>488</v>
      </c>
      <c r="E401" s="13"/>
      <c r="F401" s="13"/>
      <c r="G401" s="13"/>
      <c r="H401" s="13"/>
      <c r="I401" s="13"/>
      <c r="J401" s="13"/>
      <c r="K401" s="20"/>
    </row>
    <row r="402" spans="2:11">
      <c r="B402" s="42">
        <v>370</v>
      </c>
      <c r="C402" s="258" t="s">
        <v>289</v>
      </c>
      <c r="D402" s="22" t="s">
        <v>706</v>
      </c>
      <c r="E402" s="13"/>
      <c r="F402" s="13"/>
      <c r="G402" s="13"/>
      <c r="H402" s="13"/>
      <c r="I402" s="13"/>
      <c r="J402" s="13"/>
      <c r="K402" s="20"/>
    </row>
    <row r="403" spans="2:11">
      <c r="B403" s="42">
        <v>380</v>
      </c>
      <c r="C403" s="258" t="s">
        <v>299</v>
      </c>
      <c r="D403" s="22" t="s">
        <v>707</v>
      </c>
      <c r="E403" s="13"/>
      <c r="F403" s="13"/>
      <c r="G403" s="13"/>
      <c r="H403" s="13"/>
      <c r="I403" s="13"/>
      <c r="J403" s="13"/>
      <c r="K403" s="20"/>
    </row>
    <row r="404" spans="2:11">
      <c r="B404" s="42">
        <v>390</v>
      </c>
      <c r="C404" s="258" t="s">
        <v>309</v>
      </c>
      <c r="D404" s="22" t="s">
        <v>708</v>
      </c>
      <c r="E404" s="13"/>
      <c r="F404" s="13"/>
      <c r="G404" s="13"/>
      <c r="H404" s="13"/>
      <c r="I404" s="13"/>
      <c r="J404" s="13"/>
      <c r="K404" s="20"/>
    </row>
    <row r="405" spans="2:11" ht="16.5" thickBot="1">
      <c r="B405" s="281">
        <v>400</v>
      </c>
      <c r="C405" s="282" t="s">
        <v>319</v>
      </c>
      <c r="D405" s="286" t="s">
        <v>709</v>
      </c>
      <c r="E405" s="283"/>
      <c r="F405" s="283"/>
      <c r="G405" s="283"/>
      <c r="H405" s="283"/>
      <c r="I405" s="283"/>
      <c r="J405" s="283"/>
      <c r="K405" s="284"/>
    </row>
  </sheetData>
  <sortState ref="B6:K405">
    <sortCondition ref="C6:C405"/>
  </sortState>
  <mergeCells count="11">
    <mergeCell ref="L20:AP20"/>
    <mergeCell ref="L21:AP21"/>
    <mergeCell ref="M23:AO23"/>
    <mergeCell ref="M24:AO24"/>
    <mergeCell ref="E2:F2"/>
    <mergeCell ref="G2:I2"/>
    <mergeCell ref="B4:K4"/>
    <mergeCell ref="R11:S11"/>
    <mergeCell ref="T11:U11"/>
    <mergeCell ref="P19:Q19"/>
    <mergeCell ref="R19:S19"/>
  </mergeCells>
  <conditionalFormatting sqref="B401:C405 E401:K405">
    <cfRule type="expression" dxfId="4" priority="3">
      <formula>MOD(ROW(),2)=0</formula>
    </cfRule>
  </conditionalFormatting>
  <conditionalFormatting sqref="B6:C400 E6:K400">
    <cfRule type="expression" dxfId="3" priority="2">
      <formula>MOD(ROW(),2)=0</formula>
    </cfRule>
  </conditionalFormatting>
  <conditionalFormatting sqref="D6:D405">
    <cfRule type="expression" dxfId="2" priority="1">
      <formula>MOD(ROW(),2)=0</formula>
    </cfRule>
  </conditionalFormatting>
  <hyperlinks>
    <hyperlink ref="AL17" location="'0'!A1" tooltip="X stave 0, Front" display="'0'!A1"/>
    <hyperlink ref="AJ17" location="'1'!A1" tooltip="X stave 1, Back" display="'1'!A1"/>
    <hyperlink ref="AH17" location="'2'!A1" tooltip="Stereo stave 0, Back" display="'2'!A1"/>
    <hyperlink ref="AF17" location="'3'!A1" tooltip="Stereo stave 0, Front" display="'3'!A1"/>
    <hyperlink ref="AD17" location="'4'!A1" tooltip="X stave 1, Front" display="'4'!A1"/>
    <hyperlink ref="AB17" location="'5'!A1" tooltip="X stave 1, Back" display="'5'!A1"/>
    <hyperlink ref="Z17" location="'6'!A1" tooltip="Stereo stave 1, Back" display="'6'!A1"/>
    <hyperlink ref="X17" location="'7'!A1" tooltip="Stereo stave 1, Front" display="'7'!A1"/>
    <hyperlink ref="V17" location="'8'!A1" tooltip="X stave 2, Front" display="'8'!A1"/>
    <hyperlink ref="T17" location="'9'!A1" tooltip="X stave 2, Back" display="'9'!A1"/>
    <hyperlink ref="R17" location="'10'!A1" tooltip="Stereo stave 2, Back" display="'10'!A1"/>
    <hyperlink ref="P17" location="'11'!A1" tooltip="Stereo stave 2, Front" display="'11'!A1"/>
    <hyperlink ref="AL18" location="'0'!A1" tooltip="X stave 0, Front" display="'0'!A1"/>
    <hyperlink ref="AJ18" location="'1'!A1" tooltip="X stave 1, Back" display="'1'!A1"/>
    <hyperlink ref="AH18" location="'2'!A1" tooltip="Stereo stave 0, Back" display="'2'!A1"/>
    <hyperlink ref="AF18" location="'3'!A1" tooltip="Stereo stave 0, Front" display="'3'!A1"/>
    <hyperlink ref="AD18" location="'4'!A1" tooltip="X stave 1, Front" display="'4'!A1"/>
    <hyperlink ref="AB18" location="'5'!A1" tooltip="X stave 1, Back" display="'5'!A1"/>
    <hyperlink ref="Z18" location="'6'!A1" tooltip="Stereo stave 1, Back" display="'6'!A1"/>
    <hyperlink ref="X18" location="'7'!A1" tooltip="Stereo stave 1, Front" display="'7'!A1"/>
    <hyperlink ref="V18" location="'8'!A1" tooltip="X stave 2, Front" display="'8'!A1"/>
    <hyperlink ref="T18" location="'9'!A1" tooltip="X stave 2, Back" display="'9'!A1"/>
    <hyperlink ref="R18" location="'10'!A1" tooltip="Stereo stave 2, Back" display="'10'!A1"/>
    <hyperlink ref="P18" location="'11'!A1" tooltip="Stereo stave 2, Front" display="'11'!A1"/>
  </hyperlinks>
  <pageMargins left="0.75" right="0.75" top="1" bottom="1" header="0.5" footer="0.5"/>
  <pageSetup orientation="portrait" horizontalDpi="4294967292" verticalDpi="429496729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R405"/>
  <sheetViews>
    <sheetView zoomScaleNormal="100" workbookViewId="0">
      <pane ySplit="24" topLeftCell="A25" activePane="bottomLeft" state="frozen"/>
      <selection activeCell="P42" sqref="P42"/>
      <selection pane="bottomLeft"/>
    </sheetView>
  </sheetViews>
  <sheetFormatPr defaultColWidth="11" defaultRowHeight="15.75"/>
  <cols>
    <col min="1" max="1" width="2.875" style="272" customWidth="1"/>
    <col min="2" max="2" width="6.375" style="1" customWidth="1"/>
    <col min="3" max="3" width="9.5" style="1" bestFit="1" customWidth="1"/>
    <col min="4" max="4" width="23" style="2" bestFit="1" customWidth="1"/>
    <col min="5" max="5" width="9.5" style="1" bestFit="1" customWidth="1"/>
    <col min="6" max="6" width="13.875" style="1" customWidth="1"/>
    <col min="7" max="7" width="7.875" style="1" bestFit="1" customWidth="1"/>
    <col min="8" max="10" width="7.875" style="1" customWidth="1"/>
    <col min="11" max="11" width="7.875" style="1" bestFit="1" customWidth="1"/>
    <col min="12" max="12" width="3" style="3" customWidth="1"/>
    <col min="13" max="41" width="2" style="3" customWidth="1"/>
    <col min="42" max="42" width="3" style="3" customWidth="1"/>
    <col min="43" max="16384" width="11" style="3"/>
  </cols>
  <sheetData>
    <row r="1" spans="1:44" ht="16.5" thickBot="1"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77"/>
      <c r="AF1" s="177"/>
      <c r="AG1" s="177"/>
      <c r="AH1" s="177"/>
      <c r="AI1" s="177"/>
      <c r="AJ1" s="177"/>
      <c r="AK1" s="177"/>
      <c r="AL1" s="177"/>
      <c r="AM1" s="177"/>
      <c r="AN1" s="177"/>
      <c r="AO1" s="177"/>
      <c r="AP1" s="177"/>
      <c r="AQ1" s="177"/>
      <c r="AR1"/>
    </row>
    <row r="2" spans="1:44" s="4" customFormat="1" ht="16.5">
      <c r="A2" s="273"/>
      <c r="D2" s="43" t="s">
        <v>855</v>
      </c>
      <c r="E2" s="551" t="s">
        <v>720</v>
      </c>
      <c r="F2" s="551"/>
      <c r="G2" s="552" t="s">
        <v>832</v>
      </c>
      <c r="H2" s="552"/>
      <c r="I2" s="552"/>
      <c r="J2" s="40"/>
      <c r="L2" s="177"/>
      <c r="M2" s="178"/>
      <c r="N2" s="180" t="s">
        <v>17</v>
      </c>
      <c r="O2" s="179"/>
      <c r="P2" s="180" t="s">
        <v>17</v>
      </c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79"/>
      <c r="AF2" s="179"/>
      <c r="AG2" s="179"/>
      <c r="AH2" s="179"/>
      <c r="AI2" s="179"/>
      <c r="AJ2" s="179"/>
      <c r="AK2" s="179"/>
      <c r="AL2" s="180"/>
      <c r="AM2" s="180"/>
      <c r="AN2" s="180"/>
      <c r="AO2" s="181"/>
      <c r="AP2" s="177"/>
      <c r="AQ2" s="182" t="s">
        <v>712</v>
      </c>
      <c r="AR2"/>
    </row>
    <row r="3" spans="1:44" s="1" customFormat="1">
      <c r="A3" s="218" t="s">
        <v>880</v>
      </c>
      <c r="D3"/>
      <c r="E3" s="40"/>
      <c r="F3" s="40"/>
      <c r="G3" s="40"/>
      <c r="H3" s="40"/>
      <c r="I3" s="40"/>
      <c r="J3" s="40"/>
      <c r="L3" s="177"/>
      <c r="M3" s="183"/>
      <c r="N3" s="184" t="s">
        <v>18</v>
      </c>
      <c r="O3" s="184"/>
      <c r="P3" s="184" t="s">
        <v>18</v>
      </c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5"/>
      <c r="AP3" s="177"/>
      <c r="AQ3" s="186"/>
      <c r="AR3"/>
    </row>
    <row r="4" spans="1:44" s="6" customFormat="1" ht="16.5" thickBot="1">
      <c r="A4" s="274"/>
      <c r="B4" s="553" t="s">
        <v>722</v>
      </c>
      <c r="C4" s="554"/>
      <c r="D4" s="554"/>
      <c r="E4" s="554"/>
      <c r="F4" s="554"/>
      <c r="G4" s="554"/>
      <c r="H4" s="554"/>
      <c r="I4" s="554"/>
      <c r="J4" s="554"/>
      <c r="K4" s="555"/>
      <c r="L4" s="177"/>
      <c r="M4" s="187"/>
      <c r="N4" s="184" t="s">
        <v>15</v>
      </c>
      <c r="O4" s="184"/>
      <c r="P4" s="184" t="s">
        <v>15</v>
      </c>
      <c r="Q4" s="184"/>
      <c r="R4" s="16" t="s">
        <v>13</v>
      </c>
      <c r="S4" s="16"/>
      <c r="T4" s="16" t="s">
        <v>14</v>
      </c>
      <c r="U4" s="16"/>
      <c r="V4" s="16" t="s">
        <v>13</v>
      </c>
      <c r="W4" s="16"/>
      <c r="X4" s="16" t="s">
        <v>14</v>
      </c>
      <c r="Y4" s="16"/>
      <c r="Z4" s="16" t="s">
        <v>13</v>
      </c>
      <c r="AA4" s="16"/>
      <c r="AB4" s="16" t="s">
        <v>14</v>
      </c>
      <c r="AC4" s="16"/>
      <c r="AD4" s="16" t="s">
        <v>13</v>
      </c>
      <c r="AE4" s="16"/>
      <c r="AF4" s="16" t="s">
        <v>14</v>
      </c>
      <c r="AG4" s="16"/>
      <c r="AH4" s="16" t="s">
        <v>13</v>
      </c>
      <c r="AI4" s="16"/>
      <c r="AJ4" s="16" t="s">
        <v>14</v>
      </c>
      <c r="AK4" s="16"/>
      <c r="AL4" s="16" t="s">
        <v>13</v>
      </c>
      <c r="AM4" s="16"/>
      <c r="AN4" s="16" t="s">
        <v>14</v>
      </c>
      <c r="AO4" s="185"/>
      <c r="AP4" s="177"/>
      <c r="AQ4" s="182" t="s">
        <v>710</v>
      </c>
      <c r="AR4"/>
    </row>
    <row r="5" spans="1:44" s="12" customFormat="1" ht="32.25" thickBot="1">
      <c r="A5" s="275"/>
      <c r="B5" s="41" t="s">
        <v>19</v>
      </c>
      <c r="C5" s="7" t="s">
        <v>442</v>
      </c>
      <c r="D5" s="8" t="s">
        <v>2</v>
      </c>
      <c r="E5" s="8" t="s">
        <v>1</v>
      </c>
      <c r="F5" s="9" t="s">
        <v>443</v>
      </c>
      <c r="G5" s="9" t="s">
        <v>444</v>
      </c>
      <c r="H5" s="10" t="s">
        <v>3</v>
      </c>
      <c r="I5" s="10" t="s">
        <v>829</v>
      </c>
      <c r="J5" s="10" t="s">
        <v>445</v>
      </c>
      <c r="K5" s="11" t="s">
        <v>446</v>
      </c>
      <c r="L5" s="177"/>
      <c r="M5" s="187"/>
      <c r="N5" s="189"/>
      <c r="O5" s="184"/>
      <c r="P5" s="189"/>
      <c r="Q5" s="188"/>
      <c r="R5" s="175">
        <v>5</v>
      </c>
      <c r="S5" s="175"/>
      <c r="T5" s="175">
        <v>5</v>
      </c>
      <c r="U5" s="175"/>
      <c r="V5" s="175">
        <v>4</v>
      </c>
      <c r="W5" s="175"/>
      <c r="X5" s="175">
        <v>4</v>
      </c>
      <c r="Y5" s="175"/>
      <c r="Z5" s="175">
        <v>3</v>
      </c>
      <c r="AA5" s="175"/>
      <c r="AB5" s="175">
        <v>3</v>
      </c>
      <c r="AC5" s="175"/>
      <c r="AD5" s="175">
        <v>2</v>
      </c>
      <c r="AE5" s="175"/>
      <c r="AF5" s="175">
        <v>2</v>
      </c>
      <c r="AG5" s="175"/>
      <c r="AH5" s="175">
        <v>1</v>
      </c>
      <c r="AI5" s="175"/>
      <c r="AJ5" s="175">
        <v>1</v>
      </c>
      <c r="AK5" s="175"/>
      <c r="AL5" s="175">
        <v>0</v>
      </c>
      <c r="AM5" s="175"/>
      <c r="AN5" s="175">
        <v>0</v>
      </c>
      <c r="AO5" s="185"/>
      <c r="AP5" s="177"/>
      <c r="AQ5" s="254" t="s">
        <v>711</v>
      </c>
      <c r="AR5"/>
    </row>
    <row r="6" spans="1:44">
      <c r="B6" s="42">
        <v>1</v>
      </c>
      <c r="C6" s="270" t="s">
        <v>337</v>
      </c>
      <c r="D6" s="202" t="s">
        <v>518</v>
      </c>
      <c r="E6" s="203"/>
      <c r="F6" s="203"/>
      <c r="G6" s="203"/>
      <c r="H6" s="203"/>
      <c r="I6" s="203"/>
      <c r="J6" s="203"/>
      <c r="K6" s="204"/>
      <c r="L6" s="177"/>
      <c r="M6" s="187"/>
      <c r="N6" s="190"/>
      <c r="O6" s="184"/>
      <c r="P6" s="190"/>
      <c r="Q6" s="184"/>
      <c r="R6" s="189"/>
      <c r="S6" s="184"/>
      <c r="T6" s="189"/>
      <c r="U6" s="184"/>
      <c r="V6" s="189"/>
      <c r="W6" s="184"/>
      <c r="X6" s="189"/>
      <c r="Y6" s="184"/>
      <c r="Z6" s="189"/>
      <c r="AA6" s="184"/>
      <c r="AB6" s="189"/>
      <c r="AC6" s="184"/>
      <c r="AD6" s="189"/>
      <c r="AE6" s="184"/>
      <c r="AF6" s="189"/>
      <c r="AG6" s="184"/>
      <c r="AH6" s="189"/>
      <c r="AI6" s="184"/>
      <c r="AJ6" s="189"/>
      <c r="AK6" s="184"/>
      <c r="AL6" s="189"/>
      <c r="AM6" s="184"/>
      <c r="AN6" s="189"/>
      <c r="AO6" s="185"/>
      <c r="AP6" s="177"/>
      <c r="AQ6" s="186"/>
      <c r="AR6"/>
    </row>
    <row r="7" spans="1:44">
      <c r="B7" s="42">
        <v>11</v>
      </c>
      <c r="C7" s="258" t="s">
        <v>347</v>
      </c>
      <c r="D7" s="257" t="s">
        <v>519</v>
      </c>
      <c r="E7" s="13"/>
      <c r="F7" s="13"/>
      <c r="G7" s="13"/>
      <c r="H7" s="13"/>
      <c r="I7" s="13"/>
      <c r="J7" s="13"/>
      <c r="K7" s="20"/>
      <c r="L7" s="177"/>
      <c r="M7" s="187"/>
      <c r="N7" s="252"/>
      <c r="O7" s="184"/>
      <c r="P7" s="252"/>
      <c r="Q7" s="184"/>
      <c r="R7" s="191"/>
      <c r="S7" s="184"/>
      <c r="T7" s="191"/>
      <c r="U7" s="184"/>
      <c r="V7" s="191"/>
      <c r="W7" s="184"/>
      <c r="X7" s="191"/>
      <c r="Y7" s="184"/>
      <c r="Z7" s="191"/>
      <c r="AA7" s="184"/>
      <c r="AB7" s="191"/>
      <c r="AC7" s="184"/>
      <c r="AD7" s="191"/>
      <c r="AE7" s="184"/>
      <c r="AF7" s="191"/>
      <c r="AG7" s="184"/>
      <c r="AH7" s="191"/>
      <c r="AI7" s="184"/>
      <c r="AJ7" s="191"/>
      <c r="AK7" s="184"/>
      <c r="AL7" s="191"/>
      <c r="AM7" s="184"/>
      <c r="AN7" s="191"/>
      <c r="AO7" s="185"/>
      <c r="AP7" s="177"/>
      <c r="AQ7" s="186"/>
      <c r="AR7"/>
    </row>
    <row r="8" spans="1:44">
      <c r="B8" s="42">
        <v>21</v>
      </c>
      <c r="C8" s="258" t="s">
        <v>357</v>
      </c>
      <c r="D8" s="257" t="s">
        <v>520</v>
      </c>
      <c r="E8" s="13"/>
      <c r="F8" s="13"/>
      <c r="G8" s="13"/>
      <c r="H8" s="13"/>
      <c r="I8" s="13"/>
      <c r="J8" s="13"/>
      <c r="K8" s="20"/>
      <c r="L8" s="177"/>
      <c r="M8" s="187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5"/>
      <c r="AP8" s="177"/>
      <c r="AQ8" s="186"/>
      <c r="AR8"/>
    </row>
    <row r="9" spans="1:44">
      <c r="B9" s="42">
        <v>31</v>
      </c>
      <c r="C9" s="258" t="s">
        <v>367</v>
      </c>
      <c r="D9" s="257" t="s">
        <v>521</v>
      </c>
      <c r="E9" s="13"/>
      <c r="F9" s="13"/>
      <c r="G9" s="13"/>
      <c r="H9" s="13"/>
      <c r="I9" s="13"/>
      <c r="J9" s="13"/>
      <c r="K9" s="20"/>
      <c r="L9" s="177"/>
      <c r="M9" s="187"/>
      <c r="N9" s="189"/>
      <c r="O9" s="184"/>
      <c r="P9" s="189"/>
      <c r="Q9" s="184"/>
      <c r="R9" s="189"/>
      <c r="S9" s="184"/>
      <c r="T9" s="189"/>
      <c r="U9" s="184"/>
      <c r="V9" s="189"/>
      <c r="W9" s="184"/>
      <c r="X9" s="189"/>
      <c r="Y9" s="184"/>
      <c r="Z9" s="189"/>
      <c r="AA9" s="184"/>
      <c r="AB9" s="189"/>
      <c r="AC9" s="184"/>
      <c r="AD9" s="189"/>
      <c r="AE9" s="184"/>
      <c r="AF9" s="189"/>
      <c r="AG9" s="184"/>
      <c r="AH9" s="189"/>
      <c r="AI9" s="184"/>
      <c r="AJ9" s="189"/>
      <c r="AK9" s="184"/>
      <c r="AL9" s="189"/>
      <c r="AM9" s="184"/>
      <c r="AN9" s="189"/>
      <c r="AO9" s="185"/>
      <c r="AP9" s="177"/>
      <c r="AQ9" s="186"/>
      <c r="AR9"/>
    </row>
    <row r="10" spans="1:44">
      <c r="A10" s="272" t="s">
        <v>881</v>
      </c>
      <c r="B10" s="42">
        <v>41</v>
      </c>
      <c r="C10" s="258" t="s">
        <v>377</v>
      </c>
      <c r="D10" s="271" t="s">
        <v>320</v>
      </c>
      <c r="E10" s="13"/>
      <c r="F10" s="13"/>
      <c r="G10" s="13"/>
      <c r="H10" s="13"/>
      <c r="I10" s="13"/>
      <c r="J10" s="13"/>
      <c r="K10" s="20"/>
      <c r="L10" s="177"/>
      <c r="M10" s="187"/>
      <c r="N10" s="190"/>
      <c r="O10" s="184"/>
      <c r="P10" s="190"/>
      <c r="Q10" s="184"/>
      <c r="R10" s="191"/>
      <c r="S10" s="184"/>
      <c r="T10" s="191"/>
      <c r="U10" s="184"/>
      <c r="V10" s="191"/>
      <c r="W10" s="184"/>
      <c r="X10" s="191"/>
      <c r="Y10" s="184"/>
      <c r="Z10" s="191"/>
      <c r="AA10" s="184"/>
      <c r="AB10" s="191"/>
      <c r="AC10" s="184"/>
      <c r="AD10" s="191"/>
      <c r="AE10" s="184"/>
      <c r="AF10" s="191"/>
      <c r="AG10" s="184"/>
      <c r="AH10" s="191"/>
      <c r="AI10" s="184"/>
      <c r="AJ10" s="191"/>
      <c r="AK10" s="184"/>
      <c r="AL10" s="190"/>
      <c r="AM10" s="184"/>
      <c r="AN10" s="191"/>
      <c r="AO10" s="192"/>
      <c r="AP10" s="177"/>
      <c r="AQ10" s="186"/>
      <c r="AR10"/>
    </row>
    <row r="11" spans="1:44">
      <c r="A11" s="272" t="s">
        <v>881</v>
      </c>
      <c r="B11" s="42">
        <v>51</v>
      </c>
      <c r="C11" s="258" t="s">
        <v>387</v>
      </c>
      <c r="D11" s="271" t="s">
        <v>321</v>
      </c>
      <c r="E11" s="13"/>
      <c r="F11" s="13"/>
      <c r="G11" s="13"/>
      <c r="H11" s="13"/>
      <c r="I11" s="13"/>
      <c r="J11" s="13"/>
      <c r="K11" s="20"/>
      <c r="L11" s="177"/>
      <c r="M11" s="187"/>
      <c r="N11" s="252"/>
      <c r="O11" s="184"/>
      <c r="P11" s="252"/>
      <c r="Q11" s="184"/>
      <c r="R11" s="556">
        <v>11</v>
      </c>
      <c r="S11" s="556"/>
      <c r="T11" s="556">
        <v>10</v>
      </c>
      <c r="U11" s="556"/>
      <c r="V11" s="184">
        <v>9</v>
      </c>
      <c r="W11" s="184"/>
      <c r="X11" s="184">
        <v>8</v>
      </c>
      <c r="Y11" s="184"/>
      <c r="Z11" s="184">
        <v>7</v>
      </c>
      <c r="AA11" s="184"/>
      <c r="AB11" s="184">
        <v>6</v>
      </c>
      <c r="AC11" s="184"/>
      <c r="AD11" s="184">
        <v>5</v>
      </c>
      <c r="AE11" s="184"/>
      <c r="AF11" s="184">
        <v>4</v>
      </c>
      <c r="AG11" s="184"/>
      <c r="AH11" s="249">
        <v>3</v>
      </c>
      <c r="AI11" s="249"/>
      <c r="AJ11" s="249">
        <v>2</v>
      </c>
      <c r="AK11" s="250"/>
      <c r="AL11" s="251">
        <v>1</v>
      </c>
      <c r="AM11" s="249"/>
      <c r="AN11" s="249">
        <v>0</v>
      </c>
      <c r="AO11" s="192"/>
      <c r="AP11" s="177"/>
      <c r="AQ11" s="186"/>
      <c r="AR11"/>
    </row>
    <row r="12" spans="1:44">
      <c r="B12" s="42">
        <v>61</v>
      </c>
      <c r="C12" s="258" t="s">
        <v>397</v>
      </c>
      <c r="D12" s="271" t="s">
        <v>322</v>
      </c>
      <c r="E12" s="13"/>
      <c r="F12" s="13"/>
      <c r="G12" s="13"/>
      <c r="H12" s="13"/>
      <c r="I12" s="13"/>
      <c r="J12" s="13"/>
      <c r="K12" s="20"/>
      <c r="L12" s="177"/>
      <c r="M12" s="187"/>
      <c r="N12" s="184">
        <v>1</v>
      </c>
      <c r="O12" s="184"/>
      <c r="P12" s="184">
        <v>0</v>
      </c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92"/>
      <c r="AP12" s="193"/>
      <c r="AQ12" s="186"/>
      <c r="AR12"/>
    </row>
    <row r="13" spans="1:44">
      <c r="B13" s="42">
        <v>71</v>
      </c>
      <c r="C13" s="258" t="s">
        <v>407</v>
      </c>
      <c r="D13" s="271" t="s">
        <v>323</v>
      </c>
      <c r="E13" s="13"/>
      <c r="F13" s="13"/>
      <c r="G13" s="13"/>
      <c r="H13" s="13"/>
      <c r="I13" s="13"/>
      <c r="J13" s="13"/>
      <c r="K13" s="20"/>
      <c r="L13" s="177"/>
      <c r="M13" s="187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  <c r="AL13" s="184"/>
      <c r="AM13" s="184"/>
      <c r="AN13" s="184"/>
      <c r="AO13" s="192"/>
      <c r="AP13" s="193"/>
      <c r="AQ13" s="186"/>
      <c r="AR13"/>
    </row>
    <row r="14" spans="1:44">
      <c r="B14" s="42">
        <v>81</v>
      </c>
      <c r="C14" s="258" t="s">
        <v>417</v>
      </c>
      <c r="D14" s="257" t="s">
        <v>324</v>
      </c>
      <c r="E14" s="13"/>
      <c r="F14" s="13"/>
      <c r="G14" s="13"/>
      <c r="H14" s="13"/>
      <c r="I14" s="13"/>
      <c r="J14" s="13"/>
      <c r="K14" s="20"/>
      <c r="L14" s="177"/>
      <c r="M14" s="187"/>
      <c r="N14" s="184"/>
      <c r="O14" s="184"/>
      <c r="P14" s="16" t="s">
        <v>13</v>
      </c>
      <c r="Q14" s="16"/>
      <c r="R14" s="16" t="s">
        <v>13</v>
      </c>
      <c r="S14" s="16"/>
      <c r="T14" s="16" t="s">
        <v>14</v>
      </c>
      <c r="U14" s="16"/>
      <c r="V14" s="16" t="s">
        <v>14</v>
      </c>
      <c r="W14" s="16"/>
      <c r="X14" s="16" t="s">
        <v>13</v>
      </c>
      <c r="Y14" s="16"/>
      <c r="Z14" s="16" t="s">
        <v>13</v>
      </c>
      <c r="AA14" s="16"/>
      <c r="AB14" s="16" t="s">
        <v>14</v>
      </c>
      <c r="AC14" s="16"/>
      <c r="AD14" s="16" t="s">
        <v>14</v>
      </c>
      <c r="AE14" s="16"/>
      <c r="AF14" s="16" t="s">
        <v>13</v>
      </c>
      <c r="AG14" s="16"/>
      <c r="AH14" s="16" t="s">
        <v>13</v>
      </c>
      <c r="AI14" s="16"/>
      <c r="AJ14" s="16" t="s">
        <v>14</v>
      </c>
      <c r="AK14" s="16"/>
      <c r="AL14" s="16" t="s">
        <v>14</v>
      </c>
      <c r="AM14" s="184"/>
      <c r="AN14" s="184"/>
      <c r="AO14" s="192"/>
      <c r="AP14" s="193"/>
      <c r="AQ14" s="182" t="s">
        <v>710</v>
      </c>
      <c r="AR14"/>
    </row>
    <row r="15" spans="1:44">
      <c r="B15" s="42">
        <v>91</v>
      </c>
      <c r="C15" s="258" t="s">
        <v>0</v>
      </c>
      <c r="D15" s="257" t="s">
        <v>325</v>
      </c>
      <c r="E15" s="13"/>
      <c r="F15" s="13"/>
      <c r="G15" s="13"/>
      <c r="H15" s="13"/>
      <c r="I15" s="13"/>
      <c r="J15" s="13"/>
      <c r="K15" s="20"/>
      <c r="L15" s="177"/>
      <c r="M15" s="187"/>
      <c r="N15" s="184"/>
      <c r="O15" s="184"/>
      <c r="P15" s="16">
        <v>2</v>
      </c>
      <c r="Q15" s="16"/>
      <c r="R15" s="16">
        <v>2</v>
      </c>
      <c r="S15" s="16"/>
      <c r="T15" s="16">
        <v>2</v>
      </c>
      <c r="U15" s="16"/>
      <c r="V15" s="16">
        <v>2</v>
      </c>
      <c r="W15" s="16"/>
      <c r="X15" s="16">
        <v>1</v>
      </c>
      <c r="Y15" s="16"/>
      <c r="Z15" s="16">
        <v>1</v>
      </c>
      <c r="AA15" s="16"/>
      <c r="AB15" s="16">
        <v>1</v>
      </c>
      <c r="AC15" s="16"/>
      <c r="AD15" s="16">
        <v>1</v>
      </c>
      <c r="AE15" s="16"/>
      <c r="AF15" s="16">
        <v>0</v>
      </c>
      <c r="AG15" s="16"/>
      <c r="AH15" s="16">
        <v>0</v>
      </c>
      <c r="AI15" s="16"/>
      <c r="AJ15" s="16">
        <v>0</v>
      </c>
      <c r="AK15" s="16"/>
      <c r="AL15" s="16">
        <v>0</v>
      </c>
      <c r="AM15" s="184"/>
      <c r="AN15" s="184"/>
      <c r="AO15" s="192"/>
      <c r="AP15" s="193"/>
      <c r="AQ15" s="182" t="s">
        <v>713</v>
      </c>
      <c r="AR15"/>
    </row>
    <row r="16" spans="1:44">
      <c r="B16" s="42">
        <v>101</v>
      </c>
      <c r="C16" s="258" t="s">
        <v>20</v>
      </c>
      <c r="D16" s="257" t="s">
        <v>522</v>
      </c>
      <c r="E16" s="13"/>
      <c r="F16" s="13"/>
      <c r="G16" s="13"/>
      <c r="H16" s="13"/>
      <c r="I16" s="13"/>
      <c r="J16" s="13"/>
      <c r="K16" s="20"/>
      <c r="L16" s="177"/>
      <c r="M16" s="187"/>
      <c r="N16" s="184"/>
      <c r="O16" s="184"/>
      <c r="P16" s="16" t="s">
        <v>16</v>
      </c>
      <c r="Q16" s="16"/>
      <c r="R16" s="16" t="s">
        <v>15</v>
      </c>
      <c r="S16" s="16"/>
      <c r="T16" s="16" t="s">
        <v>15</v>
      </c>
      <c r="U16" s="16"/>
      <c r="V16" s="16" t="s">
        <v>16</v>
      </c>
      <c r="W16" s="16"/>
      <c r="X16" s="16" t="s">
        <v>16</v>
      </c>
      <c r="Y16" s="16"/>
      <c r="Z16" s="16" t="s">
        <v>15</v>
      </c>
      <c r="AA16" s="16"/>
      <c r="AB16" s="16" t="s">
        <v>15</v>
      </c>
      <c r="AC16" s="16"/>
      <c r="AD16" s="16" t="s">
        <v>16</v>
      </c>
      <c r="AE16" s="16"/>
      <c r="AF16" s="16" t="s">
        <v>16</v>
      </c>
      <c r="AG16" s="16"/>
      <c r="AH16" s="16" t="s">
        <v>15</v>
      </c>
      <c r="AI16" s="16"/>
      <c r="AJ16" s="16" t="s">
        <v>15</v>
      </c>
      <c r="AK16" s="16"/>
      <c r="AL16" s="16" t="s">
        <v>16</v>
      </c>
      <c r="AM16" s="184"/>
      <c r="AN16" s="184"/>
      <c r="AO16" s="192"/>
      <c r="AP16" s="193"/>
      <c r="AQ16" s="182" t="s">
        <v>714</v>
      </c>
      <c r="AR16"/>
    </row>
    <row r="17" spans="1:44">
      <c r="B17" s="42">
        <v>111</v>
      </c>
      <c r="C17" s="258" t="s">
        <v>30</v>
      </c>
      <c r="D17" s="257" t="s">
        <v>523</v>
      </c>
      <c r="E17" s="13"/>
      <c r="F17" s="13"/>
      <c r="G17" s="13"/>
      <c r="H17" s="13"/>
      <c r="I17" s="13"/>
      <c r="J17" s="13"/>
      <c r="K17" s="20"/>
      <c r="L17" s="177"/>
      <c r="M17" s="187"/>
      <c r="N17" s="184"/>
      <c r="O17" s="16"/>
      <c r="P17" s="244">
        <v>11</v>
      </c>
      <c r="Q17" s="35"/>
      <c r="R17" s="244">
        <v>10</v>
      </c>
      <c r="S17" s="35"/>
      <c r="T17" s="244">
        <v>9</v>
      </c>
      <c r="U17" s="35"/>
      <c r="V17" s="244">
        <v>8</v>
      </c>
      <c r="W17" s="35"/>
      <c r="X17" s="244">
        <v>7</v>
      </c>
      <c r="Y17" s="35"/>
      <c r="Z17" s="244">
        <v>6</v>
      </c>
      <c r="AA17" s="35"/>
      <c r="AB17" s="244">
        <v>5</v>
      </c>
      <c r="AC17" s="35"/>
      <c r="AD17" s="244">
        <v>4</v>
      </c>
      <c r="AE17" s="35"/>
      <c r="AF17" s="244">
        <v>3</v>
      </c>
      <c r="AG17" s="35"/>
      <c r="AH17" s="244">
        <v>2</v>
      </c>
      <c r="AI17" s="35"/>
      <c r="AJ17" s="244">
        <v>1</v>
      </c>
      <c r="AK17" s="35"/>
      <c r="AL17" s="244">
        <v>0</v>
      </c>
      <c r="AM17" s="184"/>
      <c r="AN17" s="184"/>
      <c r="AO17" s="192"/>
      <c r="AP17" s="193"/>
      <c r="AQ17" s="182" t="s">
        <v>715</v>
      </c>
      <c r="AR17"/>
    </row>
    <row r="18" spans="1:44" s="1" customFormat="1">
      <c r="A18" s="272"/>
      <c r="B18" s="42">
        <v>121</v>
      </c>
      <c r="C18" s="258" t="s">
        <v>40</v>
      </c>
      <c r="D18" s="257" t="s">
        <v>524</v>
      </c>
      <c r="E18" s="13"/>
      <c r="F18" s="13"/>
      <c r="G18" s="13"/>
      <c r="H18" s="13"/>
      <c r="I18" s="13"/>
      <c r="J18" s="13"/>
      <c r="K18" s="20"/>
      <c r="L18" s="177"/>
      <c r="M18" s="187"/>
      <c r="N18" s="184"/>
      <c r="O18" s="16"/>
      <c r="P18" s="246">
        <v>11</v>
      </c>
      <c r="Q18" s="35"/>
      <c r="R18" s="246">
        <v>10</v>
      </c>
      <c r="S18" s="35"/>
      <c r="T18" s="246">
        <v>9</v>
      </c>
      <c r="U18" s="35"/>
      <c r="V18" s="246">
        <v>8</v>
      </c>
      <c r="W18" s="35"/>
      <c r="X18" s="246">
        <v>7</v>
      </c>
      <c r="Y18" s="35"/>
      <c r="Z18" s="246">
        <v>6</v>
      </c>
      <c r="AA18" s="35"/>
      <c r="AB18" s="246">
        <v>5</v>
      </c>
      <c r="AC18" s="35"/>
      <c r="AD18" s="246">
        <v>4</v>
      </c>
      <c r="AE18" s="35"/>
      <c r="AF18" s="246">
        <v>3</v>
      </c>
      <c r="AG18" s="35"/>
      <c r="AH18" s="246">
        <v>2</v>
      </c>
      <c r="AI18" s="35"/>
      <c r="AJ18" s="246">
        <v>1</v>
      </c>
      <c r="AK18" s="35"/>
      <c r="AL18" s="246">
        <v>0</v>
      </c>
      <c r="AM18" s="184"/>
      <c r="AN18" s="184"/>
      <c r="AO18" s="192"/>
      <c r="AP18" s="193"/>
      <c r="AQ18" s="186"/>
      <c r="AR18"/>
    </row>
    <row r="19" spans="1:44" s="1" customFormat="1" ht="16.5" thickBot="1">
      <c r="A19" s="272"/>
      <c r="B19" s="42">
        <v>131</v>
      </c>
      <c r="C19" s="258" t="s">
        <v>50</v>
      </c>
      <c r="D19" s="257" t="s">
        <v>525</v>
      </c>
      <c r="E19" s="13"/>
      <c r="F19" s="13"/>
      <c r="G19" s="13"/>
      <c r="H19" s="13"/>
      <c r="I19" s="13"/>
      <c r="J19" s="13"/>
      <c r="K19" s="20"/>
      <c r="L19" s="177"/>
      <c r="M19" s="194"/>
      <c r="N19" s="195"/>
      <c r="O19" s="195"/>
      <c r="P19" s="563">
        <v>11</v>
      </c>
      <c r="Q19" s="563"/>
      <c r="R19" s="563">
        <v>10</v>
      </c>
      <c r="S19" s="563"/>
      <c r="T19" s="195">
        <v>9</v>
      </c>
      <c r="U19" s="195"/>
      <c r="V19" s="195">
        <v>8</v>
      </c>
      <c r="W19" s="195"/>
      <c r="X19" s="195">
        <v>7</v>
      </c>
      <c r="Y19" s="195"/>
      <c r="Z19" s="195">
        <v>6</v>
      </c>
      <c r="AA19" s="195"/>
      <c r="AB19" s="195">
        <v>5</v>
      </c>
      <c r="AC19" s="195"/>
      <c r="AD19" s="195">
        <v>4</v>
      </c>
      <c r="AE19" s="195"/>
      <c r="AF19" s="195">
        <v>3</v>
      </c>
      <c r="AG19" s="195"/>
      <c r="AH19" s="195">
        <v>2</v>
      </c>
      <c r="AI19" s="195"/>
      <c r="AJ19" s="253">
        <v>1</v>
      </c>
      <c r="AK19" s="253"/>
      <c r="AL19" s="253">
        <v>0</v>
      </c>
      <c r="AM19" s="253"/>
      <c r="AN19" s="195"/>
      <c r="AO19" s="196"/>
      <c r="AP19" s="193"/>
      <c r="AQ19" s="186"/>
      <c r="AR19"/>
    </row>
    <row r="20" spans="1:44" s="1" customFormat="1">
      <c r="A20" s="272"/>
      <c r="B20" s="42">
        <v>141</v>
      </c>
      <c r="C20" s="258" t="s">
        <v>60</v>
      </c>
      <c r="D20" s="257" t="s">
        <v>526</v>
      </c>
      <c r="E20" s="13"/>
      <c r="F20" s="13"/>
      <c r="G20" s="13"/>
      <c r="H20" s="13"/>
      <c r="I20" s="13"/>
      <c r="J20" s="13"/>
      <c r="K20" s="20"/>
      <c r="L20" s="558" t="s">
        <v>864</v>
      </c>
      <c r="M20" s="559"/>
      <c r="N20" s="559"/>
      <c r="O20" s="559"/>
      <c r="P20" s="559"/>
      <c r="Q20" s="559"/>
      <c r="R20" s="559"/>
      <c r="S20" s="559"/>
      <c r="T20" s="559"/>
      <c r="U20" s="559"/>
      <c r="V20" s="559"/>
      <c r="W20" s="559"/>
      <c r="X20" s="559"/>
      <c r="Y20" s="559"/>
      <c r="Z20" s="559"/>
      <c r="AA20" s="559"/>
      <c r="AB20" s="559"/>
      <c r="AC20" s="559"/>
      <c r="AD20" s="559"/>
      <c r="AE20" s="559"/>
      <c r="AF20" s="559"/>
      <c r="AG20" s="559"/>
      <c r="AH20" s="559"/>
      <c r="AI20" s="559"/>
      <c r="AJ20" s="559"/>
      <c r="AK20" s="559"/>
      <c r="AL20" s="559"/>
      <c r="AM20" s="559"/>
      <c r="AN20" s="559"/>
      <c r="AO20" s="559"/>
      <c r="AP20" s="559"/>
      <c r="AQ20" s="186"/>
      <c r="AR20"/>
    </row>
    <row r="21" spans="1:44" s="1" customFormat="1">
      <c r="A21" s="272"/>
      <c r="B21" s="42">
        <v>151</v>
      </c>
      <c r="C21" s="258" t="s">
        <v>70</v>
      </c>
      <c r="D21" s="257" t="s">
        <v>326</v>
      </c>
      <c r="E21" s="13"/>
      <c r="F21" s="13"/>
      <c r="G21" s="13"/>
      <c r="H21" s="13"/>
      <c r="I21" s="13"/>
      <c r="J21" s="13"/>
      <c r="K21" s="20"/>
      <c r="L21" s="560" t="s">
        <v>721</v>
      </c>
      <c r="M21" s="561"/>
      <c r="N21" s="561"/>
      <c r="O21" s="561"/>
      <c r="P21" s="561"/>
      <c r="Q21" s="561"/>
      <c r="R21" s="561"/>
      <c r="S21" s="561"/>
      <c r="T21" s="561"/>
      <c r="U21" s="561"/>
      <c r="V21" s="561"/>
      <c r="W21" s="561"/>
      <c r="X21" s="561"/>
      <c r="Y21" s="561"/>
      <c r="Z21" s="561"/>
      <c r="AA21" s="561"/>
      <c r="AB21" s="561"/>
      <c r="AC21" s="561"/>
      <c r="AD21" s="561"/>
      <c r="AE21" s="561"/>
      <c r="AF21" s="561"/>
      <c r="AG21" s="561"/>
      <c r="AH21" s="561"/>
      <c r="AI21" s="561"/>
      <c r="AJ21" s="561"/>
      <c r="AK21" s="561"/>
      <c r="AL21" s="561"/>
      <c r="AM21" s="561"/>
      <c r="AN21" s="561"/>
      <c r="AO21" s="561"/>
      <c r="AP21" s="561"/>
      <c r="AQ21" s="193"/>
      <c r="AR21"/>
    </row>
    <row r="22" spans="1:44" s="1" customFormat="1">
      <c r="A22" s="272"/>
      <c r="B22" s="42">
        <v>161</v>
      </c>
      <c r="C22" s="258" t="s">
        <v>80</v>
      </c>
      <c r="D22" s="257" t="s">
        <v>327</v>
      </c>
      <c r="E22" s="13"/>
      <c r="F22" s="13"/>
      <c r="G22" s="13"/>
      <c r="H22" s="13"/>
      <c r="I22" s="13"/>
      <c r="J22" s="13"/>
      <c r="K22" s="20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4" s="1" customFormat="1">
      <c r="A23" s="272"/>
      <c r="B23" s="42">
        <v>171</v>
      </c>
      <c r="C23" s="258" t="s">
        <v>90</v>
      </c>
      <c r="D23" s="257" t="s">
        <v>328</v>
      </c>
      <c r="E23" s="13"/>
      <c r="F23" s="13"/>
      <c r="G23" s="13"/>
      <c r="H23" s="13"/>
      <c r="I23" s="13"/>
      <c r="J23" s="13"/>
      <c r="K23" s="20"/>
      <c r="L23"/>
      <c r="M23" s="562" t="s">
        <v>836</v>
      </c>
      <c r="N23" s="562"/>
      <c r="O23" s="562"/>
      <c r="P23" s="562"/>
      <c r="Q23" s="562"/>
      <c r="R23" s="562"/>
      <c r="S23" s="562"/>
      <c r="T23" s="562"/>
      <c r="U23" s="562"/>
      <c r="V23" s="562"/>
      <c r="W23" s="562"/>
      <c r="X23" s="562"/>
      <c r="Y23" s="562"/>
      <c r="Z23" s="562"/>
      <c r="AA23" s="562"/>
      <c r="AB23" s="562"/>
      <c r="AC23" s="562"/>
      <c r="AD23" s="562"/>
      <c r="AE23" s="562"/>
      <c r="AF23" s="562"/>
      <c r="AG23" s="562"/>
      <c r="AH23" s="562"/>
      <c r="AI23" s="562"/>
      <c r="AJ23" s="562"/>
      <c r="AK23" s="562"/>
      <c r="AL23" s="562"/>
      <c r="AM23" s="562"/>
      <c r="AN23" s="562"/>
      <c r="AO23" s="562"/>
      <c r="AP23"/>
      <c r="AQ23"/>
      <c r="AR23"/>
    </row>
    <row r="24" spans="1:44" s="1" customFormat="1">
      <c r="A24" s="272" t="s">
        <v>881</v>
      </c>
      <c r="B24" s="42">
        <v>181</v>
      </c>
      <c r="C24" s="258" t="s">
        <v>100</v>
      </c>
      <c r="D24" s="257" t="s">
        <v>329</v>
      </c>
      <c r="E24" s="13"/>
      <c r="F24" s="13"/>
      <c r="G24" s="13"/>
      <c r="H24" s="13"/>
      <c r="I24" s="13"/>
      <c r="J24" s="13"/>
      <c r="K24" s="20"/>
      <c r="L24"/>
      <c r="M24" s="557" t="s">
        <v>883</v>
      </c>
      <c r="N24" s="557"/>
      <c r="O24" s="557"/>
      <c r="P24" s="557"/>
      <c r="Q24" s="557"/>
      <c r="R24" s="557"/>
      <c r="S24" s="557"/>
      <c r="T24" s="557"/>
      <c r="U24" s="557"/>
      <c r="V24" s="557"/>
      <c r="W24" s="557"/>
      <c r="X24" s="557"/>
      <c r="Y24" s="557"/>
      <c r="Z24" s="557"/>
      <c r="AA24" s="557"/>
      <c r="AB24" s="557"/>
      <c r="AC24" s="557"/>
      <c r="AD24" s="557"/>
      <c r="AE24" s="557"/>
      <c r="AF24" s="557"/>
      <c r="AG24" s="557"/>
      <c r="AH24" s="557"/>
      <c r="AI24" s="557"/>
      <c r="AJ24" s="557"/>
      <c r="AK24" s="557"/>
      <c r="AL24" s="557"/>
      <c r="AM24" s="557"/>
      <c r="AN24" s="557"/>
      <c r="AO24" s="557"/>
      <c r="AP24"/>
      <c r="AQ24"/>
      <c r="AR24"/>
    </row>
    <row r="25" spans="1:44" s="1" customFormat="1">
      <c r="A25" s="272" t="s">
        <v>881</v>
      </c>
      <c r="B25" s="42">
        <v>191</v>
      </c>
      <c r="C25" s="258" t="s">
        <v>110</v>
      </c>
      <c r="D25" s="257" t="s">
        <v>329</v>
      </c>
      <c r="E25" s="13"/>
      <c r="F25" s="13"/>
      <c r="G25" s="13"/>
      <c r="H25" s="13"/>
      <c r="I25" s="13"/>
      <c r="J25" s="13"/>
      <c r="K25" s="20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4" s="1" customFormat="1">
      <c r="A26" s="272" t="s">
        <v>881</v>
      </c>
      <c r="B26" s="42">
        <v>201</v>
      </c>
      <c r="C26" s="258" t="s">
        <v>120</v>
      </c>
      <c r="D26" s="257" t="s">
        <v>329</v>
      </c>
      <c r="E26" s="13"/>
      <c r="F26" s="13"/>
      <c r="G26" s="13"/>
      <c r="H26" s="13"/>
      <c r="I26" s="13"/>
      <c r="J26" s="13"/>
      <c r="K26" s="20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4" s="1" customFormat="1">
      <c r="A27" s="272" t="s">
        <v>881</v>
      </c>
      <c r="B27" s="42">
        <v>211</v>
      </c>
      <c r="C27" s="258" t="s">
        <v>130</v>
      </c>
      <c r="D27" s="257" t="s">
        <v>329</v>
      </c>
      <c r="E27" s="13"/>
      <c r="F27" s="13"/>
      <c r="G27" s="13"/>
      <c r="H27" s="13"/>
      <c r="I27" s="13"/>
      <c r="J27" s="13"/>
      <c r="K27" s="20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4" s="1" customFormat="1">
      <c r="A28" s="272" t="s">
        <v>881</v>
      </c>
      <c r="B28" s="42">
        <v>221</v>
      </c>
      <c r="C28" s="258" t="s">
        <v>140</v>
      </c>
      <c r="D28" s="257" t="s">
        <v>330</v>
      </c>
      <c r="E28" s="13"/>
      <c r="F28" s="13"/>
      <c r="G28" s="13"/>
      <c r="H28" s="13"/>
      <c r="I28" s="13"/>
      <c r="J28" s="13"/>
      <c r="K28" s="20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4" s="1" customFormat="1">
      <c r="A29" s="272" t="s">
        <v>881</v>
      </c>
      <c r="B29" s="42">
        <v>231</v>
      </c>
      <c r="C29" s="258" t="s">
        <v>150</v>
      </c>
      <c r="D29" s="257" t="s">
        <v>330</v>
      </c>
      <c r="E29" s="13"/>
      <c r="F29" s="13"/>
      <c r="G29" s="13"/>
      <c r="H29" s="13"/>
      <c r="I29" s="13"/>
      <c r="J29" s="13"/>
      <c r="K29" s="20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4" s="1" customFormat="1">
      <c r="A30" s="272" t="s">
        <v>881</v>
      </c>
      <c r="B30" s="42">
        <v>241</v>
      </c>
      <c r="C30" s="258" t="s">
        <v>160</v>
      </c>
      <c r="D30" s="257" t="s">
        <v>330</v>
      </c>
      <c r="E30" s="13"/>
      <c r="F30" s="13"/>
      <c r="G30" s="13"/>
      <c r="H30" s="13"/>
      <c r="I30" s="13"/>
      <c r="J30" s="13"/>
      <c r="K30" s="2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4" s="1" customFormat="1">
      <c r="A31" s="272" t="s">
        <v>881</v>
      </c>
      <c r="B31" s="42">
        <v>251</v>
      </c>
      <c r="C31" s="258" t="s">
        <v>170</v>
      </c>
      <c r="D31" s="257" t="s">
        <v>330</v>
      </c>
      <c r="E31" s="13"/>
      <c r="F31" s="13"/>
      <c r="G31" s="13"/>
      <c r="H31" s="13"/>
      <c r="I31" s="13"/>
      <c r="J31" s="13"/>
      <c r="K31" s="20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4" s="1" customFormat="1">
      <c r="A32" s="272"/>
      <c r="B32" s="42">
        <v>261</v>
      </c>
      <c r="C32" s="258" t="s">
        <v>180</v>
      </c>
      <c r="D32" s="257" t="s">
        <v>331</v>
      </c>
      <c r="E32" s="13"/>
      <c r="F32" s="13"/>
      <c r="G32" s="13"/>
      <c r="H32" s="13"/>
      <c r="I32" s="13"/>
      <c r="J32" s="13"/>
      <c r="K32" s="20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s="1" customFormat="1">
      <c r="A33" s="272"/>
      <c r="B33" s="42">
        <v>271</v>
      </c>
      <c r="C33" s="258" t="s">
        <v>190</v>
      </c>
      <c r="D33" s="257" t="s">
        <v>332</v>
      </c>
      <c r="E33" s="13"/>
      <c r="F33" s="13"/>
      <c r="G33" s="13"/>
      <c r="H33" s="13"/>
      <c r="I33" s="13"/>
      <c r="J33" s="13"/>
      <c r="K33" s="20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s="1" customFormat="1">
      <c r="A34" s="272"/>
      <c r="B34" s="42">
        <v>281</v>
      </c>
      <c r="C34" s="258" t="s">
        <v>200</v>
      </c>
      <c r="D34" s="257" t="s">
        <v>333</v>
      </c>
      <c r="E34" s="13"/>
      <c r="F34" s="13"/>
      <c r="G34" s="13"/>
      <c r="H34" s="13"/>
      <c r="I34" s="13"/>
      <c r="J34" s="13"/>
      <c r="K34" s="20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s="1" customFormat="1">
      <c r="A35" s="272" t="s">
        <v>881</v>
      </c>
      <c r="B35" s="42">
        <v>291</v>
      </c>
      <c r="C35" s="258" t="s">
        <v>210</v>
      </c>
      <c r="D35" s="257" t="s">
        <v>334</v>
      </c>
      <c r="E35" s="13"/>
      <c r="F35" s="13"/>
      <c r="G35" s="13"/>
      <c r="H35" s="13"/>
      <c r="I35" s="13"/>
      <c r="J35" s="13"/>
      <c r="K35" s="20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s="1" customFormat="1">
      <c r="A36" s="272"/>
      <c r="B36" s="42">
        <v>301</v>
      </c>
      <c r="C36" s="258" t="s">
        <v>220</v>
      </c>
      <c r="D36" s="257" t="s">
        <v>335</v>
      </c>
      <c r="E36" s="13"/>
      <c r="F36" s="13"/>
      <c r="G36" s="13"/>
      <c r="H36" s="13"/>
      <c r="I36" s="13"/>
      <c r="J36" s="13"/>
      <c r="K36" s="20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s="1" customFormat="1">
      <c r="A37" s="272"/>
      <c r="B37" s="42">
        <v>311</v>
      </c>
      <c r="C37" s="258" t="s">
        <v>230</v>
      </c>
      <c r="D37" s="257" t="s">
        <v>527</v>
      </c>
      <c r="E37" s="13"/>
      <c r="F37" s="13"/>
      <c r="G37" s="13"/>
      <c r="H37" s="13"/>
      <c r="I37" s="13"/>
      <c r="J37" s="13"/>
      <c r="K37" s="20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</row>
    <row r="38" spans="1:44" s="1" customFormat="1">
      <c r="A38" s="272"/>
      <c r="B38" s="42">
        <v>321</v>
      </c>
      <c r="C38" s="258" t="s">
        <v>240</v>
      </c>
      <c r="D38" s="257" t="s">
        <v>528</v>
      </c>
      <c r="E38" s="13"/>
      <c r="F38" s="13"/>
      <c r="G38" s="13"/>
      <c r="H38" s="13"/>
      <c r="I38" s="13"/>
      <c r="J38" s="13"/>
      <c r="K38" s="20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</row>
    <row r="39" spans="1:44" s="1" customFormat="1">
      <c r="A39" s="272"/>
      <c r="B39" s="42">
        <v>331</v>
      </c>
      <c r="C39" s="258" t="s">
        <v>250</v>
      </c>
      <c r="D39" s="257" t="s">
        <v>529</v>
      </c>
      <c r="E39" s="13"/>
      <c r="F39" s="13"/>
      <c r="G39" s="13"/>
      <c r="H39" s="13"/>
      <c r="I39" s="13"/>
      <c r="J39" s="13"/>
      <c r="K39" s="20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</row>
    <row r="40" spans="1:44" s="1" customFormat="1">
      <c r="A40" s="272"/>
      <c r="B40" s="42">
        <v>341</v>
      </c>
      <c r="C40" s="258" t="s">
        <v>260</v>
      </c>
      <c r="D40" s="257" t="s">
        <v>336</v>
      </c>
      <c r="E40" s="13"/>
      <c r="F40" s="13"/>
      <c r="G40" s="13"/>
      <c r="H40" s="13"/>
      <c r="I40" s="13"/>
      <c r="J40" s="13"/>
      <c r="K40" s="2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</row>
    <row r="41" spans="1:44" s="1" customFormat="1">
      <c r="A41" s="272"/>
      <c r="B41" s="42">
        <v>351</v>
      </c>
      <c r="C41" s="258" t="s">
        <v>270</v>
      </c>
      <c r="D41" s="257" t="s">
        <v>336</v>
      </c>
      <c r="E41" s="13"/>
      <c r="F41" s="13"/>
      <c r="G41" s="13"/>
      <c r="H41" s="13"/>
      <c r="I41" s="13"/>
      <c r="J41" s="13"/>
      <c r="K41" s="20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</row>
    <row r="42" spans="1:44" s="1" customFormat="1">
      <c r="A42" s="272"/>
      <c r="B42" s="42">
        <v>361</v>
      </c>
      <c r="C42" s="258" t="s">
        <v>280</v>
      </c>
      <c r="D42" s="257" t="s">
        <v>530</v>
      </c>
      <c r="E42" s="13"/>
      <c r="F42" s="13"/>
      <c r="G42" s="13"/>
      <c r="H42" s="13"/>
      <c r="I42" s="13"/>
      <c r="J42" s="13"/>
      <c r="K42" s="20"/>
      <c r="L42" s="3"/>
    </row>
    <row r="43" spans="1:44" s="1" customFormat="1">
      <c r="A43" s="272"/>
      <c r="B43" s="42">
        <v>371</v>
      </c>
      <c r="C43" s="258" t="s">
        <v>290</v>
      </c>
      <c r="D43" s="257" t="s">
        <v>531</v>
      </c>
      <c r="E43" s="13"/>
      <c r="F43" s="13"/>
      <c r="G43" s="13"/>
      <c r="H43" s="13"/>
      <c r="I43" s="13"/>
      <c r="J43" s="13"/>
      <c r="K43" s="20"/>
      <c r="L43" s="3"/>
    </row>
    <row r="44" spans="1:44" s="1" customFormat="1">
      <c r="A44" s="272"/>
      <c r="B44" s="42">
        <v>381</v>
      </c>
      <c r="C44" s="258" t="s">
        <v>300</v>
      </c>
      <c r="D44" s="257" t="s">
        <v>532</v>
      </c>
      <c r="E44" s="13"/>
      <c r="F44" s="13"/>
      <c r="G44" s="13"/>
      <c r="H44" s="13"/>
      <c r="I44" s="13"/>
      <c r="J44" s="13"/>
      <c r="K44" s="20"/>
      <c r="L44" s="3"/>
    </row>
    <row r="45" spans="1:44" s="1" customFormat="1">
      <c r="A45" s="272"/>
      <c r="B45" s="42">
        <v>391</v>
      </c>
      <c r="C45" s="258" t="s">
        <v>310</v>
      </c>
      <c r="D45" s="257" t="s">
        <v>533</v>
      </c>
      <c r="E45" s="13"/>
      <c r="F45" s="13"/>
      <c r="G45" s="13"/>
      <c r="H45" s="13"/>
      <c r="I45" s="13"/>
      <c r="J45" s="13"/>
      <c r="K45" s="20"/>
      <c r="L45" s="3"/>
    </row>
    <row r="46" spans="1:44" s="1" customFormat="1">
      <c r="A46" s="272"/>
      <c r="B46" s="42">
        <v>2</v>
      </c>
      <c r="C46" s="258" t="s">
        <v>338</v>
      </c>
      <c r="D46" s="257" t="s">
        <v>534</v>
      </c>
      <c r="E46" s="13"/>
      <c r="F46" s="13"/>
      <c r="G46" s="13"/>
      <c r="H46" s="13"/>
      <c r="I46" s="13"/>
      <c r="J46" s="13"/>
      <c r="K46" s="20"/>
      <c r="L46" s="3"/>
    </row>
    <row r="47" spans="1:44" s="1" customFormat="1">
      <c r="A47" s="272"/>
      <c r="B47" s="42">
        <v>12</v>
      </c>
      <c r="C47" s="258" t="s">
        <v>348</v>
      </c>
      <c r="D47" s="257" t="s">
        <v>535</v>
      </c>
      <c r="E47" s="13"/>
      <c r="F47" s="13"/>
      <c r="G47" s="13"/>
      <c r="H47" s="13"/>
      <c r="I47" s="13"/>
      <c r="J47" s="13"/>
      <c r="K47" s="20"/>
      <c r="L47" s="3"/>
    </row>
    <row r="48" spans="1:44">
      <c r="B48" s="42">
        <v>22</v>
      </c>
      <c r="C48" s="258" t="s">
        <v>358</v>
      </c>
      <c r="D48" s="257" t="s">
        <v>536</v>
      </c>
      <c r="E48" s="13"/>
      <c r="F48" s="13"/>
      <c r="G48" s="13"/>
      <c r="H48" s="13"/>
      <c r="I48" s="13"/>
      <c r="J48" s="13"/>
      <c r="K48" s="20"/>
    </row>
    <row r="49" spans="1:11">
      <c r="B49" s="42">
        <v>32</v>
      </c>
      <c r="C49" s="258" t="s">
        <v>368</v>
      </c>
      <c r="D49" s="257" t="s">
        <v>537</v>
      </c>
      <c r="E49" s="13"/>
      <c r="F49" s="13"/>
      <c r="G49" s="13"/>
      <c r="H49" s="13"/>
      <c r="I49" s="13"/>
      <c r="J49" s="13"/>
      <c r="K49" s="20"/>
    </row>
    <row r="50" spans="1:11">
      <c r="A50" s="272" t="s">
        <v>881</v>
      </c>
      <c r="B50" s="42">
        <v>42</v>
      </c>
      <c r="C50" s="258" t="s">
        <v>378</v>
      </c>
      <c r="D50" s="271" t="s">
        <v>427</v>
      </c>
      <c r="E50" s="13"/>
      <c r="F50" s="13"/>
      <c r="G50" s="13"/>
      <c r="H50" s="13"/>
      <c r="I50" s="13"/>
      <c r="J50" s="13"/>
      <c r="K50" s="20"/>
    </row>
    <row r="51" spans="1:11">
      <c r="A51" s="272" t="s">
        <v>881</v>
      </c>
      <c r="B51" s="42">
        <v>52</v>
      </c>
      <c r="C51" s="258" t="s">
        <v>388</v>
      </c>
      <c r="D51" s="271" t="s">
        <v>321</v>
      </c>
      <c r="E51" s="13"/>
      <c r="F51" s="13"/>
      <c r="G51" s="13"/>
      <c r="H51" s="13"/>
      <c r="I51" s="13"/>
      <c r="J51" s="13"/>
      <c r="K51" s="20"/>
    </row>
    <row r="52" spans="1:11">
      <c r="B52" s="42">
        <v>62</v>
      </c>
      <c r="C52" s="258" t="s">
        <v>398</v>
      </c>
      <c r="D52" s="271" t="s">
        <v>428</v>
      </c>
      <c r="E52" s="13"/>
      <c r="F52" s="13"/>
      <c r="G52" s="13"/>
      <c r="H52" s="13"/>
      <c r="I52" s="13"/>
      <c r="J52" s="13"/>
      <c r="K52" s="20"/>
    </row>
    <row r="53" spans="1:11">
      <c r="B53" s="42">
        <v>72</v>
      </c>
      <c r="C53" s="258" t="s">
        <v>408</v>
      </c>
      <c r="D53" s="271" t="s">
        <v>429</v>
      </c>
      <c r="E53" s="13"/>
      <c r="F53" s="13"/>
      <c r="G53" s="13"/>
      <c r="H53" s="13"/>
      <c r="I53" s="13"/>
      <c r="J53" s="13"/>
      <c r="K53" s="20"/>
    </row>
    <row r="54" spans="1:11">
      <c r="B54" s="42">
        <v>82</v>
      </c>
      <c r="C54" s="258" t="s">
        <v>418</v>
      </c>
      <c r="D54" s="257" t="s">
        <v>430</v>
      </c>
      <c r="E54" s="13"/>
      <c r="F54" s="13"/>
      <c r="G54" s="13"/>
      <c r="H54" s="13"/>
      <c r="I54" s="13"/>
      <c r="J54" s="13"/>
      <c r="K54" s="20"/>
    </row>
    <row r="55" spans="1:11">
      <c r="B55" s="42">
        <v>92</v>
      </c>
      <c r="C55" s="258" t="s">
        <v>4</v>
      </c>
      <c r="D55" s="257" t="s">
        <v>431</v>
      </c>
      <c r="E55" s="13"/>
      <c r="F55" s="13"/>
      <c r="G55" s="13"/>
      <c r="H55" s="13"/>
      <c r="I55" s="13"/>
      <c r="J55" s="13"/>
      <c r="K55" s="20"/>
    </row>
    <row r="56" spans="1:11">
      <c r="B56" s="42">
        <v>102</v>
      </c>
      <c r="C56" s="258" t="s">
        <v>21</v>
      </c>
      <c r="D56" s="257" t="s">
        <v>538</v>
      </c>
      <c r="E56" s="13"/>
      <c r="F56" s="13"/>
      <c r="G56" s="13"/>
      <c r="H56" s="13"/>
      <c r="I56" s="13"/>
      <c r="J56" s="13"/>
      <c r="K56" s="20"/>
    </row>
    <row r="57" spans="1:11">
      <c r="B57" s="42">
        <v>112</v>
      </c>
      <c r="C57" s="258" t="s">
        <v>31</v>
      </c>
      <c r="D57" s="257" t="s">
        <v>539</v>
      </c>
      <c r="E57" s="13"/>
      <c r="F57" s="13"/>
      <c r="G57" s="13"/>
      <c r="H57" s="13"/>
      <c r="I57" s="13"/>
      <c r="J57" s="13"/>
      <c r="K57" s="20"/>
    </row>
    <row r="58" spans="1:11">
      <c r="B58" s="42">
        <v>122</v>
      </c>
      <c r="C58" s="258" t="s">
        <v>41</v>
      </c>
      <c r="D58" s="257" t="s">
        <v>540</v>
      </c>
      <c r="E58" s="13"/>
      <c r="F58" s="13"/>
      <c r="G58" s="13"/>
      <c r="H58" s="13"/>
      <c r="I58" s="13"/>
      <c r="J58" s="13"/>
      <c r="K58" s="20"/>
    </row>
    <row r="59" spans="1:11">
      <c r="B59" s="42">
        <v>132</v>
      </c>
      <c r="C59" s="258" t="s">
        <v>51</v>
      </c>
      <c r="D59" s="257" t="s">
        <v>541</v>
      </c>
      <c r="E59" s="13"/>
      <c r="F59" s="13"/>
      <c r="G59" s="13"/>
      <c r="H59" s="13"/>
      <c r="I59" s="13"/>
      <c r="J59" s="13"/>
      <c r="K59" s="20"/>
    </row>
    <row r="60" spans="1:11">
      <c r="A60" s="272" t="s">
        <v>881</v>
      </c>
      <c r="B60" s="42">
        <v>142</v>
      </c>
      <c r="C60" s="258" t="s">
        <v>61</v>
      </c>
      <c r="D60" s="257" t="s">
        <v>432</v>
      </c>
      <c r="E60" s="13"/>
      <c r="F60" s="13"/>
      <c r="G60" s="13"/>
      <c r="H60" s="13"/>
      <c r="I60" s="13"/>
      <c r="J60" s="13"/>
      <c r="K60" s="20"/>
    </row>
    <row r="61" spans="1:11">
      <c r="A61" s="272" t="s">
        <v>881</v>
      </c>
      <c r="B61" s="42">
        <v>152</v>
      </c>
      <c r="C61" s="258" t="s">
        <v>71</v>
      </c>
      <c r="D61" s="257" t="s">
        <v>432</v>
      </c>
      <c r="E61" s="13"/>
      <c r="F61" s="13"/>
      <c r="G61" s="13"/>
      <c r="H61" s="13"/>
      <c r="I61" s="13"/>
      <c r="J61" s="13"/>
      <c r="K61" s="20"/>
    </row>
    <row r="62" spans="1:11">
      <c r="B62" s="42">
        <v>162</v>
      </c>
      <c r="C62" s="258" t="s">
        <v>81</v>
      </c>
      <c r="D62" s="257" t="s">
        <v>433</v>
      </c>
      <c r="E62" s="13"/>
      <c r="F62" s="13"/>
      <c r="G62" s="13"/>
      <c r="H62" s="13"/>
      <c r="I62" s="13"/>
      <c r="J62" s="13"/>
      <c r="K62" s="20"/>
    </row>
    <row r="63" spans="1:11">
      <c r="B63" s="42">
        <v>172</v>
      </c>
      <c r="C63" s="258" t="s">
        <v>91</v>
      </c>
      <c r="D63" s="257" t="s">
        <v>434</v>
      </c>
      <c r="E63" s="13"/>
      <c r="F63" s="13"/>
      <c r="G63" s="13"/>
      <c r="H63" s="13"/>
      <c r="I63" s="13"/>
      <c r="J63" s="13"/>
      <c r="K63" s="20"/>
    </row>
    <row r="64" spans="1:11">
      <c r="B64" s="42">
        <v>182</v>
      </c>
      <c r="C64" s="258" t="s">
        <v>101</v>
      </c>
      <c r="D64" s="257" t="s">
        <v>542</v>
      </c>
      <c r="E64" s="13"/>
      <c r="F64" s="13"/>
      <c r="G64" s="13"/>
      <c r="H64" s="13"/>
      <c r="I64" s="13"/>
      <c r="J64" s="13"/>
      <c r="K64" s="20"/>
    </row>
    <row r="65" spans="1:11">
      <c r="B65" s="42">
        <v>192</v>
      </c>
      <c r="C65" s="258" t="s">
        <v>111</v>
      </c>
      <c r="D65" s="257" t="s">
        <v>543</v>
      </c>
      <c r="E65" s="13"/>
      <c r="F65" s="13"/>
      <c r="G65" s="13"/>
      <c r="H65" s="13"/>
      <c r="I65" s="13"/>
      <c r="J65" s="13"/>
      <c r="K65" s="20"/>
    </row>
    <row r="66" spans="1:11">
      <c r="B66" s="42">
        <v>202</v>
      </c>
      <c r="C66" s="258" t="s">
        <v>121</v>
      </c>
      <c r="D66" s="257" t="s">
        <v>435</v>
      </c>
      <c r="E66" s="13"/>
      <c r="F66" s="13"/>
      <c r="G66" s="13"/>
      <c r="H66" s="13"/>
      <c r="I66" s="13"/>
      <c r="J66" s="13"/>
      <c r="K66" s="20"/>
    </row>
    <row r="67" spans="1:11">
      <c r="B67" s="42">
        <v>212</v>
      </c>
      <c r="C67" s="258" t="s">
        <v>131</v>
      </c>
      <c r="D67" s="257" t="s">
        <v>436</v>
      </c>
      <c r="E67" s="13"/>
      <c r="F67" s="13"/>
      <c r="G67" s="13"/>
      <c r="H67" s="13"/>
      <c r="I67" s="13"/>
      <c r="J67" s="13"/>
      <c r="K67" s="20"/>
    </row>
    <row r="68" spans="1:11">
      <c r="B68" s="42">
        <v>222</v>
      </c>
      <c r="C68" s="258" t="s">
        <v>141</v>
      </c>
      <c r="D68" s="257" t="s">
        <v>544</v>
      </c>
      <c r="E68" s="13"/>
      <c r="F68" s="13"/>
      <c r="G68" s="13"/>
      <c r="H68" s="13"/>
      <c r="I68" s="13"/>
      <c r="J68" s="13"/>
      <c r="K68" s="20"/>
    </row>
    <row r="69" spans="1:11">
      <c r="A69" s="272" t="s">
        <v>881</v>
      </c>
      <c r="B69" s="42">
        <v>232</v>
      </c>
      <c r="C69" s="258" t="s">
        <v>151</v>
      </c>
      <c r="D69" s="257" t="s">
        <v>437</v>
      </c>
      <c r="E69" s="13"/>
      <c r="F69" s="13"/>
      <c r="G69" s="13"/>
      <c r="H69" s="13"/>
      <c r="I69" s="13"/>
      <c r="J69" s="13"/>
      <c r="K69" s="20"/>
    </row>
    <row r="70" spans="1:11">
      <c r="B70" s="42">
        <v>242</v>
      </c>
      <c r="C70" s="258" t="s">
        <v>161</v>
      </c>
      <c r="D70" s="257" t="s">
        <v>545</v>
      </c>
      <c r="E70" s="13"/>
      <c r="F70" s="13"/>
      <c r="G70" s="13"/>
      <c r="H70" s="13"/>
      <c r="I70" s="13"/>
      <c r="J70" s="13"/>
      <c r="K70" s="20"/>
    </row>
    <row r="71" spans="1:11">
      <c r="B71" s="42">
        <v>252</v>
      </c>
      <c r="C71" s="258" t="s">
        <v>171</v>
      </c>
      <c r="D71" s="257" t="s">
        <v>546</v>
      </c>
      <c r="E71" s="13"/>
      <c r="F71" s="13"/>
      <c r="G71" s="13"/>
      <c r="H71" s="13"/>
      <c r="I71" s="13"/>
      <c r="J71" s="13"/>
      <c r="K71" s="20"/>
    </row>
    <row r="72" spans="1:11">
      <c r="A72" s="272" t="s">
        <v>881</v>
      </c>
      <c r="B72" s="42">
        <v>262</v>
      </c>
      <c r="C72" s="258" t="s">
        <v>181</v>
      </c>
      <c r="D72" s="257" t="s">
        <v>330</v>
      </c>
      <c r="E72" s="13"/>
      <c r="F72" s="13"/>
      <c r="G72" s="13"/>
      <c r="H72" s="13"/>
      <c r="I72" s="13"/>
      <c r="J72" s="13"/>
      <c r="K72" s="20"/>
    </row>
    <row r="73" spans="1:11">
      <c r="B73" s="42">
        <v>272</v>
      </c>
      <c r="C73" s="258" t="s">
        <v>191</v>
      </c>
      <c r="D73" s="257" t="s">
        <v>438</v>
      </c>
      <c r="E73" s="13"/>
      <c r="F73" s="13"/>
      <c r="G73" s="13"/>
      <c r="H73" s="13"/>
      <c r="I73" s="13"/>
      <c r="J73" s="13"/>
      <c r="K73" s="20"/>
    </row>
    <row r="74" spans="1:11">
      <c r="B74" s="213">
        <v>282</v>
      </c>
      <c r="C74" s="214" t="s">
        <v>201</v>
      </c>
      <c r="D74" s="267" t="s">
        <v>454</v>
      </c>
      <c r="E74" s="216"/>
      <c r="F74" s="216"/>
      <c r="G74" s="216"/>
      <c r="H74" s="216"/>
      <c r="I74" s="216"/>
      <c r="J74" s="216"/>
      <c r="K74" s="217"/>
    </row>
    <row r="75" spans="1:11">
      <c r="A75" s="272" t="s">
        <v>881</v>
      </c>
      <c r="B75" s="42">
        <v>292</v>
      </c>
      <c r="C75" s="258" t="s">
        <v>211</v>
      </c>
      <c r="D75" s="257" t="s">
        <v>334</v>
      </c>
      <c r="E75" s="13"/>
      <c r="F75" s="13"/>
      <c r="G75" s="13"/>
      <c r="H75" s="13"/>
      <c r="I75" s="13"/>
      <c r="J75" s="13"/>
      <c r="K75" s="20"/>
    </row>
    <row r="76" spans="1:11">
      <c r="B76" s="42">
        <v>302</v>
      </c>
      <c r="C76" s="258" t="s">
        <v>221</v>
      </c>
      <c r="D76" s="257" t="s">
        <v>439</v>
      </c>
      <c r="E76" s="13"/>
      <c r="F76" s="13"/>
      <c r="G76" s="13"/>
      <c r="H76" s="13"/>
      <c r="I76" s="13"/>
      <c r="J76" s="13"/>
      <c r="K76" s="20"/>
    </row>
    <row r="77" spans="1:11">
      <c r="B77" s="42">
        <v>312</v>
      </c>
      <c r="C77" s="258" t="s">
        <v>231</v>
      </c>
      <c r="D77" s="257" t="s">
        <v>547</v>
      </c>
      <c r="E77" s="13"/>
      <c r="F77" s="13"/>
      <c r="G77" s="13"/>
      <c r="H77" s="13"/>
      <c r="I77" s="13"/>
      <c r="J77" s="13"/>
      <c r="K77" s="20"/>
    </row>
    <row r="78" spans="1:11">
      <c r="B78" s="42">
        <v>322</v>
      </c>
      <c r="C78" s="258" t="s">
        <v>241</v>
      </c>
      <c r="D78" s="257" t="s">
        <v>548</v>
      </c>
      <c r="E78" s="13"/>
      <c r="F78" s="13"/>
      <c r="G78" s="13"/>
      <c r="H78" s="13"/>
      <c r="I78" s="13"/>
      <c r="J78" s="13"/>
      <c r="K78" s="20"/>
    </row>
    <row r="79" spans="1:11">
      <c r="B79" s="42">
        <v>332</v>
      </c>
      <c r="C79" s="258" t="s">
        <v>251</v>
      </c>
      <c r="D79" s="257" t="s">
        <v>549</v>
      </c>
      <c r="E79" s="13"/>
      <c r="F79" s="13"/>
      <c r="G79" s="13"/>
      <c r="H79" s="13"/>
      <c r="I79" s="13"/>
      <c r="J79" s="13"/>
      <c r="K79" s="20"/>
    </row>
    <row r="80" spans="1:11">
      <c r="B80" s="42">
        <v>342</v>
      </c>
      <c r="C80" s="258" t="s">
        <v>261</v>
      </c>
      <c r="D80" s="257" t="s">
        <v>336</v>
      </c>
      <c r="E80" s="13"/>
      <c r="F80" s="13"/>
      <c r="G80" s="13"/>
      <c r="H80" s="13"/>
      <c r="I80" s="13"/>
      <c r="J80" s="13"/>
      <c r="K80" s="20"/>
    </row>
    <row r="81" spans="1:11">
      <c r="B81" s="42">
        <v>352</v>
      </c>
      <c r="C81" s="258" t="s">
        <v>271</v>
      </c>
      <c r="D81" s="257" t="s">
        <v>336</v>
      </c>
      <c r="E81" s="13"/>
      <c r="F81" s="13"/>
      <c r="G81" s="13"/>
      <c r="H81" s="13"/>
      <c r="I81" s="13"/>
      <c r="J81" s="13"/>
      <c r="K81" s="20"/>
    </row>
    <row r="82" spans="1:11">
      <c r="B82" s="42">
        <v>362</v>
      </c>
      <c r="C82" s="258" t="s">
        <v>281</v>
      </c>
      <c r="D82" s="257" t="s">
        <v>550</v>
      </c>
      <c r="E82" s="13"/>
      <c r="F82" s="13"/>
      <c r="G82" s="13"/>
      <c r="H82" s="13"/>
      <c r="I82" s="13"/>
      <c r="J82" s="13"/>
      <c r="K82" s="20"/>
    </row>
    <row r="83" spans="1:11">
      <c r="B83" s="42">
        <v>372</v>
      </c>
      <c r="C83" s="258" t="s">
        <v>291</v>
      </c>
      <c r="D83" s="257" t="s">
        <v>551</v>
      </c>
      <c r="E83" s="13"/>
      <c r="F83" s="13"/>
      <c r="G83" s="13"/>
      <c r="H83" s="13"/>
      <c r="I83" s="13"/>
      <c r="J83" s="13"/>
      <c r="K83" s="20"/>
    </row>
    <row r="84" spans="1:11">
      <c r="A84" s="272" t="s">
        <v>881</v>
      </c>
      <c r="B84" s="42">
        <v>382</v>
      </c>
      <c r="C84" s="258" t="s">
        <v>301</v>
      </c>
      <c r="D84" s="257" t="s">
        <v>440</v>
      </c>
      <c r="E84" s="13"/>
      <c r="F84" s="13"/>
      <c r="G84" s="13"/>
      <c r="H84" s="13"/>
      <c r="I84" s="13"/>
      <c r="J84" s="13"/>
      <c r="K84" s="20"/>
    </row>
    <row r="85" spans="1:11">
      <c r="A85" s="272" t="s">
        <v>881</v>
      </c>
      <c r="B85" s="42">
        <v>392</v>
      </c>
      <c r="C85" s="258" t="s">
        <v>311</v>
      </c>
      <c r="D85" s="257" t="s">
        <v>441</v>
      </c>
      <c r="E85" s="13"/>
      <c r="F85" s="13"/>
      <c r="G85" s="13"/>
      <c r="H85" s="13"/>
      <c r="I85" s="13"/>
      <c r="J85" s="13"/>
      <c r="K85" s="20"/>
    </row>
    <row r="86" spans="1:11">
      <c r="B86" s="42">
        <v>3</v>
      </c>
      <c r="C86" s="258" t="s">
        <v>339</v>
      </c>
      <c r="D86" s="257" t="s">
        <v>552</v>
      </c>
      <c r="E86" s="13"/>
      <c r="F86" s="13"/>
      <c r="G86" s="13"/>
      <c r="H86" s="13"/>
      <c r="I86" s="13"/>
      <c r="J86" s="13"/>
      <c r="K86" s="20"/>
    </row>
    <row r="87" spans="1:11">
      <c r="B87" s="42">
        <v>13</v>
      </c>
      <c r="C87" s="258" t="s">
        <v>349</v>
      </c>
      <c r="D87" s="257" t="s">
        <v>553</v>
      </c>
      <c r="E87" s="13"/>
      <c r="F87" s="13"/>
      <c r="G87" s="13"/>
      <c r="H87" s="13"/>
      <c r="I87" s="13"/>
      <c r="J87" s="13"/>
      <c r="K87" s="20"/>
    </row>
    <row r="88" spans="1:11">
      <c r="B88" s="42">
        <v>23</v>
      </c>
      <c r="C88" s="258" t="s">
        <v>359</v>
      </c>
      <c r="D88" s="257" t="s">
        <v>554</v>
      </c>
      <c r="E88" s="13"/>
      <c r="F88" s="13"/>
      <c r="G88" s="13"/>
      <c r="H88" s="13"/>
      <c r="I88" s="13"/>
      <c r="J88" s="13"/>
      <c r="K88" s="20"/>
    </row>
    <row r="89" spans="1:11">
      <c r="B89" s="42">
        <v>33</v>
      </c>
      <c r="C89" s="258" t="s">
        <v>369</v>
      </c>
      <c r="D89" s="257" t="s">
        <v>555</v>
      </c>
      <c r="E89" s="13"/>
      <c r="F89" s="13"/>
      <c r="G89" s="13"/>
      <c r="H89" s="13"/>
      <c r="I89" s="13"/>
      <c r="J89" s="13"/>
      <c r="K89" s="20"/>
    </row>
    <row r="90" spans="1:11">
      <c r="B90" s="42">
        <v>43</v>
      </c>
      <c r="C90" s="258" t="s">
        <v>379</v>
      </c>
      <c r="D90" s="271" t="s">
        <v>447</v>
      </c>
      <c r="E90" s="13"/>
      <c r="F90" s="13"/>
      <c r="G90" s="13"/>
      <c r="H90" s="13"/>
      <c r="I90" s="13"/>
      <c r="J90" s="13"/>
      <c r="K90" s="20"/>
    </row>
    <row r="91" spans="1:11">
      <c r="A91" s="272" t="s">
        <v>881</v>
      </c>
      <c r="B91" s="42">
        <v>53</v>
      </c>
      <c r="C91" s="258" t="s">
        <v>389</v>
      </c>
      <c r="D91" s="271" t="s">
        <v>321</v>
      </c>
      <c r="E91" s="13"/>
      <c r="F91" s="13"/>
      <c r="G91" s="13"/>
      <c r="H91" s="13"/>
      <c r="I91" s="13"/>
      <c r="J91" s="13"/>
      <c r="K91" s="20"/>
    </row>
    <row r="92" spans="1:11">
      <c r="A92" s="272" t="s">
        <v>881</v>
      </c>
      <c r="B92" s="42">
        <v>63</v>
      </c>
      <c r="C92" s="258" t="s">
        <v>399</v>
      </c>
      <c r="D92" s="271" t="s">
        <v>321</v>
      </c>
      <c r="E92" s="13"/>
      <c r="F92" s="13"/>
      <c r="G92" s="13"/>
      <c r="H92" s="13"/>
      <c r="I92" s="13"/>
      <c r="J92" s="13"/>
      <c r="K92" s="20"/>
    </row>
    <row r="93" spans="1:11">
      <c r="B93" s="42">
        <v>73</v>
      </c>
      <c r="C93" s="258" t="s">
        <v>409</v>
      </c>
      <c r="D93" s="271" t="s">
        <v>556</v>
      </c>
      <c r="E93" s="13"/>
      <c r="F93" s="13"/>
      <c r="G93" s="13"/>
      <c r="H93" s="13"/>
      <c r="I93" s="13"/>
      <c r="J93" s="13"/>
      <c r="K93" s="20"/>
    </row>
    <row r="94" spans="1:11">
      <c r="B94" s="42">
        <v>83</v>
      </c>
      <c r="C94" s="258" t="s">
        <v>419</v>
      </c>
      <c r="D94" s="257" t="s">
        <v>557</v>
      </c>
      <c r="E94" s="13"/>
      <c r="F94" s="13"/>
      <c r="G94" s="13"/>
      <c r="H94" s="13"/>
      <c r="I94" s="13"/>
      <c r="J94" s="13"/>
      <c r="K94" s="20"/>
    </row>
    <row r="95" spans="1:11">
      <c r="B95" s="42">
        <v>93</v>
      </c>
      <c r="C95" s="258" t="s">
        <v>5</v>
      </c>
      <c r="D95" s="257" t="s">
        <v>558</v>
      </c>
      <c r="E95" s="13"/>
      <c r="F95" s="13"/>
      <c r="G95" s="13"/>
      <c r="H95" s="13"/>
      <c r="I95" s="13"/>
      <c r="J95" s="13"/>
      <c r="K95" s="20"/>
    </row>
    <row r="96" spans="1:11">
      <c r="B96" s="42">
        <v>103</v>
      </c>
      <c r="C96" s="258" t="s">
        <v>22</v>
      </c>
      <c r="D96" s="257" t="s">
        <v>559</v>
      </c>
      <c r="E96" s="13"/>
      <c r="F96" s="13"/>
      <c r="G96" s="13"/>
      <c r="H96" s="13"/>
      <c r="I96" s="13"/>
      <c r="J96" s="13"/>
      <c r="K96" s="20"/>
    </row>
    <row r="97" spans="1:11">
      <c r="B97" s="42">
        <v>113</v>
      </c>
      <c r="C97" s="258" t="s">
        <v>32</v>
      </c>
      <c r="D97" s="257" t="s">
        <v>560</v>
      </c>
      <c r="E97" s="13"/>
      <c r="F97" s="13"/>
      <c r="G97" s="13"/>
      <c r="H97" s="13"/>
      <c r="I97" s="13"/>
      <c r="J97" s="13"/>
      <c r="K97" s="20"/>
    </row>
    <row r="98" spans="1:11">
      <c r="B98" s="42">
        <v>123</v>
      </c>
      <c r="C98" s="258" t="s">
        <v>42</v>
      </c>
      <c r="D98" s="257" t="s">
        <v>561</v>
      </c>
      <c r="E98" s="13"/>
      <c r="F98" s="13"/>
      <c r="G98" s="13"/>
      <c r="H98" s="13"/>
      <c r="I98" s="13"/>
      <c r="J98" s="13"/>
      <c r="K98" s="20"/>
    </row>
    <row r="99" spans="1:11">
      <c r="B99" s="42">
        <v>133</v>
      </c>
      <c r="C99" s="258" t="s">
        <v>52</v>
      </c>
      <c r="D99" s="257" t="s">
        <v>562</v>
      </c>
      <c r="E99" s="13"/>
      <c r="F99" s="13"/>
      <c r="G99" s="13"/>
      <c r="H99" s="13"/>
      <c r="I99" s="13"/>
      <c r="J99" s="13"/>
      <c r="K99" s="20"/>
    </row>
    <row r="100" spans="1:11">
      <c r="A100" s="272" t="s">
        <v>881</v>
      </c>
      <c r="B100" s="42">
        <v>143</v>
      </c>
      <c r="C100" s="258" t="s">
        <v>62</v>
      </c>
      <c r="D100" s="257" t="s">
        <v>432</v>
      </c>
      <c r="E100" s="13"/>
      <c r="F100" s="13"/>
      <c r="G100" s="13"/>
      <c r="H100" s="13"/>
      <c r="I100" s="13"/>
      <c r="J100" s="13"/>
      <c r="K100" s="20"/>
    </row>
    <row r="101" spans="1:11">
      <c r="A101" s="272" t="s">
        <v>881</v>
      </c>
      <c r="B101" s="42">
        <v>153</v>
      </c>
      <c r="C101" s="258" t="s">
        <v>72</v>
      </c>
      <c r="D101" s="257" t="s">
        <v>432</v>
      </c>
      <c r="E101" s="13"/>
      <c r="F101" s="13"/>
      <c r="G101" s="13"/>
      <c r="H101" s="13"/>
      <c r="I101" s="13"/>
      <c r="J101" s="13"/>
      <c r="K101" s="20"/>
    </row>
    <row r="102" spans="1:11">
      <c r="B102" s="42">
        <v>163</v>
      </c>
      <c r="C102" s="258" t="s">
        <v>82</v>
      </c>
      <c r="D102" s="257" t="s">
        <v>448</v>
      </c>
      <c r="E102" s="13"/>
      <c r="F102" s="13"/>
      <c r="G102" s="13"/>
      <c r="H102" s="13"/>
      <c r="I102" s="13"/>
      <c r="J102" s="13"/>
      <c r="K102" s="20"/>
    </row>
    <row r="103" spans="1:11">
      <c r="B103" s="42">
        <v>173</v>
      </c>
      <c r="C103" s="258" t="s">
        <v>92</v>
      </c>
      <c r="D103" s="257" t="s">
        <v>449</v>
      </c>
      <c r="E103" s="13"/>
      <c r="F103" s="13"/>
      <c r="G103" s="13"/>
      <c r="H103" s="13"/>
      <c r="I103" s="13"/>
      <c r="J103" s="13"/>
      <c r="K103" s="20"/>
    </row>
    <row r="104" spans="1:11">
      <c r="B104" s="42">
        <v>183</v>
      </c>
      <c r="C104" s="258" t="s">
        <v>102</v>
      </c>
      <c r="D104" s="257" t="s">
        <v>563</v>
      </c>
      <c r="E104" s="13"/>
      <c r="F104" s="13"/>
      <c r="G104" s="13"/>
      <c r="H104" s="13"/>
      <c r="I104" s="13"/>
      <c r="J104" s="13"/>
      <c r="K104" s="20"/>
    </row>
    <row r="105" spans="1:11">
      <c r="B105" s="42">
        <v>193</v>
      </c>
      <c r="C105" s="258" t="s">
        <v>112</v>
      </c>
      <c r="D105" s="257" t="s">
        <v>564</v>
      </c>
      <c r="E105" s="13"/>
      <c r="F105" s="13"/>
      <c r="G105" s="13"/>
      <c r="H105" s="13"/>
      <c r="I105" s="13"/>
      <c r="J105" s="13"/>
      <c r="K105" s="20"/>
    </row>
    <row r="106" spans="1:11">
      <c r="B106" s="42">
        <v>203</v>
      </c>
      <c r="C106" s="258" t="s">
        <v>122</v>
      </c>
      <c r="D106" s="257" t="s">
        <v>565</v>
      </c>
      <c r="E106" s="13"/>
      <c r="F106" s="13"/>
      <c r="G106" s="13"/>
      <c r="H106" s="13"/>
      <c r="I106" s="13"/>
      <c r="J106" s="13"/>
      <c r="K106" s="20"/>
    </row>
    <row r="107" spans="1:11">
      <c r="B107" s="42">
        <v>213</v>
      </c>
      <c r="C107" s="258" t="s">
        <v>132</v>
      </c>
      <c r="D107" s="257" t="s">
        <v>566</v>
      </c>
      <c r="E107" s="13"/>
      <c r="F107" s="13"/>
      <c r="G107" s="13"/>
      <c r="H107" s="13"/>
      <c r="I107" s="13"/>
      <c r="J107" s="13"/>
      <c r="K107" s="20"/>
    </row>
    <row r="108" spans="1:11">
      <c r="B108" s="42">
        <v>223</v>
      </c>
      <c r="C108" s="258" t="s">
        <v>142</v>
      </c>
      <c r="D108" s="257" t="s">
        <v>567</v>
      </c>
      <c r="E108" s="13"/>
      <c r="F108" s="13"/>
      <c r="G108" s="13"/>
      <c r="H108" s="13"/>
      <c r="I108" s="13"/>
      <c r="J108" s="13"/>
      <c r="K108" s="20"/>
    </row>
    <row r="109" spans="1:11">
      <c r="A109" s="272" t="s">
        <v>881</v>
      </c>
      <c r="B109" s="42">
        <v>233</v>
      </c>
      <c r="C109" s="258" t="s">
        <v>152</v>
      </c>
      <c r="D109" s="257" t="s">
        <v>450</v>
      </c>
      <c r="E109" s="13"/>
      <c r="F109" s="13"/>
      <c r="G109" s="13"/>
      <c r="H109" s="13"/>
      <c r="I109" s="13"/>
      <c r="J109" s="13"/>
      <c r="K109" s="20"/>
    </row>
    <row r="110" spans="1:11">
      <c r="B110" s="42">
        <v>243</v>
      </c>
      <c r="C110" s="258" t="s">
        <v>162</v>
      </c>
      <c r="D110" s="257" t="s">
        <v>568</v>
      </c>
      <c r="E110" s="13"/>
      <c r="F110" s="13"/>
      <c r="G110" s="13"/>
      <c r="H110" s="13"/>
      <c r="I110" s="13"/>
      <c r="J110" s="13"/>
      <c r="K110" s="20"/>
    </row>
    <row r="111" spans="1:11">
      <c r="B111" s="42">
        <v>253</v>
      </c>
      <c r="C111" s="258" t="s">
        <v>172</v>
      </c>
      <c r="D111" s="257" t="s">
        <v>569</v>
      </c>
      <c r="E111" s="13"/>
      <c r="F111" s="13"/>
      <c r="G111" s="13"/>
      <c r="H111" s="13"/>
      <c r="I111" s="13"/>
      <c r="J111" s="13"/>
      <c r="K111" s="20"/>
    </row>
    <row r="112" spans="1:11">
      <c r="A112" s="272" t="s">
        <v>881</v>
      </c>
      <c r="B112" s="42">
        <v>263</v>
      </c>
      <c r="C112" s="258" t="s">
        <v>182</v>
      </c>
      <c r="D112" s="257" t="s">
        <v>330</v>
      </c>
      <c r="E112" s="13"/>
      <c r="F112" s="13"/>
      <c r="G112" s="13"/>
      <c r="H112" s="13"/>
      <c r="I112" s="13"/>
      <c r="J112" s="13"/>
      <c r="K112" s="20"/>
    </row>
    <row r="113" spans="2:11">
      <c r="B113" s="42">
        <v>273</v>
      </c>
      <c r="C113" s="258" t="s">
        <v>192</v>
      </c>
      <c r="D113" s="257" t="s">
        <v>451</v>
      </c>
      <c r="E113" s="13"/>
      <c r="F113" s="13"/>
      <c r="G113" s="13"/>
      <c r="H113" s="13"/>
      <c r="I113" s="13"/>
      <c r="J113" s="13"/>
      <c r="K113" s="20"/>
    </row>
    <row r="114" spans="2:11">
      <c r="B114" s="213">
        <v>283</v>
      </c>
      <c r="C114" s="214" t="s">
        <v>202</v>
      </c>
      <c r="D114" s="267" t="s">
        <v>454</v>
      </c>
      <c r="E114" s="216"/>
      <c r="F114" s="216"/>
      <c r="G114" s="216"/>
      <c r="H114" s="216"/>
      <c r="I114" s="216"/>
      <c r="J114" s="216"/>
      <c r="K114" s="217"/>
    </row>
    <row r="115" spans="2:11">
      <c r="B115" s="42">
        <v>293</v>
      </c>
      <c r="C115" s="258" t="s">
        <v>212</v>
      </c>
      <c r="D115" s="257" t="s">
        <v>570</v>
      </c>
      <c r="E115" s="13"/>
      <c r="F115" s="13"/>
      <c r="G115" s="13"/>
      <c r="H115" s="13"/>
      <c r="I115" s="13"/>
      <c r="J115" s="13"/>
      <c r="K115" s="20"/>
    </row>
    <row r="116" spans="2:11">
      <c r="B116" s="42">
        <v>303</v>
      </c>
      <c r="C116" s="258" t="s">
        <v>222</v>
      </c>
      <c r="D116" s="257" t="s">
        <v>571</v>
      </c>
      <c r="E116" s="13"/>
      <c r="F116" s="13"/>
      <c r="G116" s="13"/>
      <c r="H116" s="13"/>
      <c r="I116" s="13"/>
      <c r="J116" s="13"/>
      <c r="K116" s="20"/>
    </row>
    <row r="117" spans="2:11">
      <c r="B117" s="42">
        <v>313</v>
      </c>
      <c r="C117" s="258" t="s">
        <v>232</v>
      </c>
      <c r="D117" s="257" t="s">
        <v>572</v>
      </c>
      <c r="E117" s="13"/>
      <c r="F117" s="13"/>
      <c r="G117" s="13"/>
      <c r="H117" s="13"/>
      <c r="I117" s="13"/>
      <c r="J117" s="13"/>
      <c r="K117" s="20"/>
    </row>
    <row r="118" spans="2:11">
      <c r="B118" s="42">
        <v>323</v>
      </c>
      <c r="C118" s="258" t="s">
        <v>242</v>
      </c>
      <c r="D118" s="257" t="s">
        <v>573</v>
      </c>
      <c r="E118" s="13"/>
      <c r="F118" s="13"/>
      <c r="G118" s="13"/>
      <c r="H118" s="13"/>
      <c r="I118" s="13"/>
      <c r="J118" s="13"/>
      <c r="K118" s="20"/>
    </row>
    <row r="119" spans="2:11">
      <c r="B119" s="42">
        <v>333</v>
      </c>
      <c r="C119" s="258" t="s">
        <v>252</v>
      </c>
      <c r="D119" s="257" t="s">
        <v>336</v>
      </c>
      <c r="E119" s="13"/>
      <c r="F119" s="13"/>
      <c r="G119" s="13"/>
      <c r="H119" s="13"/>
      <c r="I119" s="13"/>
      <c r="J119" s="13"/>
      <c r="K119" s="20"/>
    </row>
    <row r="120" spans="2:11">
      <c r="B120" s="42">
        <v>343</v>
      </c>
      <c r="C120" s="258" t="s">
        <v>262</v>
      </c>
      <c r="D120" s="257" t="s">
        <v>336</v>
      </c>
      <c r="E120" s="13"/>
      <c r="F120" s="13"/>
      <c r="G120" s="13"/>
      <c r="H120" s="13"/>
      <c r="I120" s="13"/>
      <c r="J120" s="13"/>
      <c r="K120" s="20"/>
    </row>
    <row r="121" spans="2:11">
      <c r="B121" s="42">
        <v>353</v>
      </c>
      <c r="C121" s="258" t="s">
        <v>272</v>
      </c>
      <c r="D121" s="257" t="s">
        <v>574</v>
      </c>
      <c r="E121" s="13"/>
      <c r="F121" s="13"/>
      <c r="G121" s="13"/>
      <c r="H121" s="13"/>
      <c r="I121" s="13"/>
      <c r="J121" s="13"/>
      <c r="K121" s="20"/>
    </row>
    <row r="122" spans="2:11">
      <c r="B122" s="42">
        <v>363</v>
      </c>
      <c r="C122" s="258" t="s">
        <v>282</v>
      </c>
      <c r="D122" s="257" t="s">
        <v>575</v>
      </c>
      <c r="E122" s="13"/>
      <c r="F122" s="13"/>
      <c r="G122" s="13"/>
      <c r="H122" s="13"/>
      <c r="I122" s="13"/>
      <c r="J122" s="13"/>
      <c r="K122" s="20"/>
    </row>
    <row r="123" spans="2:11">
      <c r="B123" s="42">
        <v>373</v>
      </c>
      <c r="C123" s="258" t="s">
        <v>292</v>
      </c>
      <c r="D123" s="257" t="s">
        <v>576</v>
      </c>
      <c r="E123" s="13"/>
      <c r="F123" s="13"/>
      <c r="G123" s="13"/>
      <c r="H123" s="13"/>
      <c r="I123" s="13"/>
      <c r="J123" s="13"/>
      <c r="K123" s="20"/>
    </row>
    <row r="124" spans="2:11">
      <c r="B124" s="42">
        <v>383</v>
      </c>
      <c r="C124" s="258" t="s">
        <v>302</v>
      </c>
      <c r="D124" s="257" t="s">
        <v>452</v>
      </c>
      <c r="E124" s="13"/>
      <c r="F124" s="13"/>
      <c r="G124" s="13"/>
      <c r="H124" s="13"/>
      <c r="I124" s="13"/>
      <c r="J124" s="13"/>
      <c r="K124" s="20"/>
    </row>
    <row r="125" spans="2:11">
      <c r="B125" s="42">
        <v>393</v>
      </c>
      <c r="C125" s="258" t="s">
        <v>312</v>
      </c>
      <c r="D125" s="257" t="s">
        <v>453</v>
      </c>
      <c r="E125" s="13"/>
      <c r="F125" s="13"/>
      <c r="G125" s="13"/>
      <c r="H125" s="13"/>
      <c r="I125" s="13"/>
      <c r="J125" s="13"/>
      <c r="K125" s="20"/>
    </row>
    <row r="126" spans="2:11">
      <c r="B126" s="42">
        <v>4</v>
      </c>
      <c r="C126" s="258" t="s">
        <v>340</v>
      </c>
      <c r="D126" s="257" t="s">
        <v>577</v>
      </c>
      <c r="E126" s="13"/>
      <c r="F126" s="13"/>
      <c r="G126" s="13"/>
      <c r="H126" s="13"/>
      <c r="I126" s="13"/>
      <c r="J126" s="13"/>
      <c r="K126" s="20"/>
    </row>
    <row r="127" spans="2:11">
      <c r="B127" s="42">
        <v>14</v>
      </c>
      <c r="C127" s="258" t="s">
        <v>350</v>
      </c>
      <c r="D127" s="257" t="s">
        <v>578</v>
      </c>
      <c r="E127" s="13"/>
      <c r="F127" s="13"/>
      <c r="G127" s="13"/>
      <c r="H127" s="13"/>
      <c r="I127" s="13"/>
      <c r="J127" s="13"/>
      <c r="K127" s="20"/>
    </row>
    <row r="128" spans="2:11">
      <c r="B128" s="42">
        <v>24</v>
      </c>
      <c r="C128" s="258" t="s">
        <v>360</v>
      </c>
      <c r="D128" s="257" t="s">
        <v>579</v>
      </c>
      <c r="E128" s="13"/>
      <c r="F128" s="13"/>
      <c r="G128" s="13"/>
      <c r="H128" s="13"/>
      <c r="I128" s="13"/>
      <c r="J128" s="13"/>
      <c r="K128" s="20"/>
    </row>
    <row r="129" spans="1:11">
      <c r="B129" s="42">
        <v>34</v>
      </c>
      <c r="C129" s="258" t="s">
        <v>370</v>
      </c>
      <c r="D129" s="257" t="s">
        <v>580</v>
      </c>
      <c r="E129" s="13"/>
      <c r="F129" s="13"/>
      <c r="G129" s="13"/>
      <c r="H129" s="13"/>
      <c r="I129" s="13"/>
      <c r="J129" s="13"/>
      <c r="K129" s="20"/>
    </row>
    <row r="130" spans="1:11">
      <c r="B130" s="42">
        <v>44</v>
      </c>
      <c r="C130" s="258" t="s">
        <v>380</v>
      </c>
      <c r="D130" s="271" t="s">
        <v>455</v>
      </c>
      <c r="E130" s="13"/>
      <c r="F130" s="13"/>
      <c r="G130" s="13"/>
      <c r="H130" s="13"/>
      <c r="I130" s="13"/>
      <c r="J130" s="13"/>
      <c r="K130" s="20"/>
    </row>
    <row r="131" spans="1:11">
      <c r="A131" s="272" t="s">
        <v>881</v>
      </c>
      <c r="B131" s="42">
        <v>54</v>
      </c>
      <c r="C131" s="258" t="s">
        <v>390</v>
      </c>
      <c r="D131" s="271" t="s">
        <v>321</v>
      </c>
      <c r="E131" s="13"/>
      <c r="F131" s="13"/>
      <c r="G131" s="13"/>
      <c r="H131" s="13"/>
      <c r="I131" s="13"/>
      <c r="J131" s="13"/>
      <c r="K131" s="20"/>
    </row>
    <row r="132" spans="1:11">
      <c r="A132" s="272" t="s">
        <v>881</v>
      </c>
      <c r="B132" s="42">
        <v>64</v>
      </c>
      <c r="C132" s="258" t="s">
        <v>400</v>
      </c>
      <c r="D132" s="271" t="s">
        <v>321</v>
      </c>
      <c r="E132" s="13"/>
      <c r="F132" s="13"/>
      <c r="G132" s="13"/>
      <c r="H132" s="13"/>
      <c r="I132" s="13"/>
      <c r="J132" s="13"/>
      <c r="K132" s="20"/>
    </row>
    <row r="133" spans="1:11">
      <c r="B133" s="42">
        <v>74</v>
      </c>
      <c r="C133" s="258" t="s">
        <v>410</v>
      </c>
      <c r="D133" s="271" t="s">
        <v>581</v>
      </c>
      <c r="E133" s="13"/>
      <c r="F133" s="13"/>
      <c r="G133" s="13"/>
      <c r="H133" s="13"/>
      <c r="I133" s="13"/>
      <c r="J133" s="13"/>
      <c r="K133" s="20"/>
    </row>
    <row r="134" spans="1:11">
      <c r="B134" s="42">
        <v>84</v>
      </c>
      <c r="C134" s="258" t="s">
        <v>420</v>
      </c>
      <c r="D134" s="257" t="s">
        <v>582</v>
      </c>
      <c r="E134" s="13"/>
      <c r="F134" s="13"/>
      <c r="G134" s="13"/>
      <c r="H134" s="13"/>
      <c r="I134" s="13"/>
      <c r="J134" s="13"/>
      <c r="K134" s="20"/>
    </row>
    <row r="135" spans="1:11">
      <c r="B135" s="42">
        <v>94</v>
      </c>
      <c r="C135" s="258" t="s">
        <v>6</v>
      </c>
      <c r="D135" s="257" t="s">
        <v>583</v>
      </c>
      <c r="E135" s="13"/>
      <c r="F135" s="13"/>
      <c r="G135" s="13"/>
      <c r="H135" s="13"/>
      <c r="I135" s="13"/>
      <c r="J135" s="13"/>
      <c r="K135" s="20"/>
    </row>
    <row r="136" spans="1:11">
      <c r="B136" s="42">
        <v>104</v>
      </c>
      <c r="C136" s="258" t="s">
        <v>23</v>
      </c>
      <c r="D136" s="257" t="s">
        <v>584</v>
      </c>
      <c r="E136" s="13"/>
      <c r="F136" s="13"/>
      <c r="G136" s="13"/>
      <c r="H136" s="13"/>
      <c r="I136" s="13"/>
      <c r="J136" s="13"/>
      <c r="K136" s="20"/>
    </row>
    <row r="137" spans="1:11">
      <c r="B137" s="42">
        <v>114</v>
      </c>
      <c r="C137" s="258" t="s">
        <v>33</v>
      </c>
      <c r="D137" s="257" t="s">
        <v>585</v>
      </c>
      <c r="E137" s="13"/>
      <c r="F137" s="13"/>
      <c r="G137" s="13"/>
      <c r="H137" s="13"/>
      <c r="I137" s="13"/>
      <c r="J137" s="13"/>
      <c r="K137" s="20"/>
    </row>
    <row r="138" spans="1:11">
      <c r="A138" s="272" t="s">
        <v>881</v>
      </c>
      <c r="B138" s="42">
        <v>124</v>
      </c>
      <c r="C138" s="258" t="s">
        <v>43</v>
      </c>
      <c r="D138" s="257" t="s">
        <v>456</v>
      </c>
      <c r="E138" s="13"/>
      <c r="F138" s="13"/>
      <c r="G138" s="13"/>
      <c r="H138" s="13"/>
      <c r="I138" s="13"/>
      <c r="J138" s="13"/>
      <c r="K138" s="20"/>
    </row>
    <row r="139" spans="1:11">
      <c r="A139" s="272" t="s">
        <v>881</v>
      </c>
      <c r="B139" s="42">
        <v>134</v>
      </c>
      <c r="C139" s="258" t="s">
        <v>53</v>
      </c>
      <c r="D139" s="257" t="s">
        <v>457</v>
      </c>
      <c r="E139" s="13"/>
      <c r="F139" s="13"/>
      <c r="G139" s="13"/>
      <c r="H139" s="13"/>
      <c r="I139" s="13"/>
      <c r="J139" s="13"/>
      <c r="K139" s="20"/>
    </row>
    <row r="140" spans="1:11">
      <c r="A140" s="272" t="s">
        <v>881</v>
      </c>
      <c r="B140" s="42">
        <v>144</v>
      </c>
      <c r="C140" s="258" t="s">
        <v>63</v>
      </c>
      <c r="D140" s="257" t="s">
        <v>432</v>
      </c>
      <c r="E140" s="13"/>
      <c r="F140" s="13"/>
      <c r="G140" s="13"/>
      <c r="H140" s="13"/>
      <c r="I140" s="13"/>
      <c r="J140" s="13"/>
      <c r="K140" s="20"/>
    </row>
    <row r="141" spans="1:11">
      <c r="A141" s="272" t="s">
        <v>881</v>
      </c>
      <c r="B141" s="42">
        <v>154</v>
      </c>
      <c r="C141" s="258" t="s">
        <v>73</v>
      </c>
      <c r="D141" s="257" t="s">
        <v>432</v>
      </c>
      <c r="E141" s="13"/>
      <c r="F141" s="13"/>
      <c r="G141" s="13"/>
      <c r="H141" s="13"/>
      <c r="I141" s="13"/>
      <c r="J141" s="13"/>
      <c r="K141" s="20"/>
    </row>
    <row r="142" spans="1:11">
      <c r="B142" s="42">
        <v>164</v>
      </c>
      <c r="C142" s="258" t="s">
        <v>83</v>
      </c>
      <c r="D142" s="257" t="s">
        <v>458</v>
      </c>
      <c r="E142" s="13"/>
      <c r="F142" s="13"/>
      <c r="G142" s="13"/>
      <c r="H142" s="13"/>
      <c r="I142" s="13"/>
      <c r="J142" s="13"/>
      <c r="K142" s="20"/>
    </row>
    <row r="143" spans="1:11">
      <c r="B143" s="42">
        <v>174</v>
      </c>
      <c r="C143" s="258" t="s">
        <v>93</v>
      </c>
      <c r="D143" s="257" t="s">
        <v>459</v>
      </c>
      <c r="E143" s="13"/>
      <c r="F143" s="13"/>
      <c r="G143" s="13"/>
      <c r="H143" s="13"/>
      <c r="I143" s="13"/>
      <c r="J143" s="13"/>
      <c r="K143" s="20"/>
    </row>
    <row r="144" spans="1:11">
      <c r="B144" s="42">
        <v>184</v>
      </c>
      <c r="C144" s="258" t="s">
        <v>103</v>
      </c>
      <c r="D144" s="257" t="s">
        <v>586</v>
      </c>
      <c r="E144" s="13"/>
      <c r="F144" s="13"/>
      <c r="G144" s="13"/>
      <c r="H144" s="13"/>
      <c r="I144" s="13"/>
      <c r="J144" s="13"/>
      <c r="K144" s="20"/>
    </row>
    <row r="145" spans="1:11">
      <c r="B145" s="42">
        <v>194</v>
      </c>
      <c r="C145" s="258" t="s">
        <v>113</v>
      </c>
      <c r="D145" s="257" t="s">
        <v>587</v>
      </c>
      <c r="E145" s="13"/>
      <c r="F145" s="13"/>
      <c r="G145" s="13"/>
      <c r="H145" s="13"/>
      <c r="I145" s="13"/>
      <c r="J145" s="13"/>
      <c r="K145" s="20"/>
    </row>
    <row r="146" spans="1:11">
      <c r="B146" s="42">
        <v>204</v>
      </c>
      <c r="C146" s="258" t="s">
        <v>123</v>
      </c>
      <c r="D146" s="257" t="s">
        <v>588</v>
      </c>
      <c r="E146" s="13"/>
      <c r="F146" s="13"/>
      <c r="G146" s="13"/>
      <c r="H146" s="13"/>
      <c r="I146" s="13"/>
      <c r="J146" s="13"/>
      <c r="K146" s="20"/>
    </row>
    <row r="147" spans="1:11">
      <c r="B147" s="42">
        <v>214</v>
      </c>
      <c r="C147" s="258" t="s">
        <v>133</v>
      </c>
      <c r="D147" s="257" t="s">
        <v>589</v>
      </c>
      <c r="E147" s="13"/>
      <c r="F147" s="13"/>
      <c r="G147" s="13"/>
      <c r="H147" s="13"/>
      <c r="I147" s="13"/>
      <c r="J147" s="13"/>
      <c r="K147" s="20"/>
    </row>
    <row r="148" spans="1:11">
      <c r="B148" s="42">
        <v>224</v>
      </c>
      <c r="C148" s="258" t="s">
        <v>143</v>
      </c>
      <c r="D148" s="257" t="s">
        <v>590</v>
      </c>
      <c r="E148" s="13"/>
      <c r="F148" s="13"/>
      <c r="G148" s="13"/>
      <c r="H148" s="13"/>
      <c r="I148" s="13"/>
      <c r="J148" s="13"/>
      <c r="K148" s="20"/>
    </row>
    <row r="149" spans="1:11">
      <c r="B149" s="42">
        <v>234</v>
      </c>
      <c r="C149" s="258" t="s">
        <v>153</v>
      </c>
      <c r="D149" s="257" t="s">
        <v>591</v>
      </c>
      <c r="E149" s="13"/>
      <c r="F149" s="13"/>
      <c r="G149" s="13"/>
      <c r="H149" s="13"/>
      <c r="I149" s="13"/>
      <c r="J149" s="13"/>
      <c r="K149" s="20"/>
    </row>
    <row r="150" spans="1:11">
      <c r="B150" s="42">
        <v>244</v>
      </c>
      <c r="C150" s="258" t="s">
        <v>163</v>
      </c>
      <c r="D150" s="257" t="s">
        <v>592</v>
      </c>
      <c r="E150" s="13"/>
      <c r="F150" s="13"/>
      <c r="G150" s="13"/>
      <c r="H150" s="13"/>
      <c r="I150" s="13"/>
      <c r="J150" s="13"/>
      <c r="K150" s="20"/>
    </row>
    <row r="151" spans="1:11">
      <c r="B151" s="42">
        <v>254</v>
      </c>
      <c r="C151" s="258" t="s">
        <v>173</v>
      </c>
      <c r="D151" s="257" t="s">
        <v>460</v>
      </c>
      <c r="E151" s="13"/>
      <c r="F151" s="13"/>
      <c r="G151" s="13"/>
      <c r="H151" s="13"/>
      <c r="I151" s="13"/>
      <c r="J151" s="13"/>
      <c r="K151" s="20"/>
    </row>
    <row r="152" spans="1:11">
      <c r="A152" s="272" t="s">
        <v>881</v>
      </c>
      <c r="B152" s="42">
        <v>264</v>
      </c>
      <c r="C152" s="258" t="s">
        <v>183</v>
      </c>
      <c r="D152" s="257" t="s">
        <v>330</v>
      </c>
      <c r="E152" s="13"/>
      <c r="F152" s="13"/>
      <c r="G152" s="13"/>
      <c r="H152" s="13"/>
      <c r="I152" s="13"/>
      <c r="J152" s="13"/>
      <c r="K152" s="20"/>
    </row>
    <row r="153" spans="1:11">
      <c r="B153" s="42">
        <v>274</v>
      </c>
      <c r="C153" s="258" t="s">
        <v>193</v>
      </c>
      <c r="D153" s="257" t="s">
        <v>461</v>
      </c>
      <c r="E153" s="13"/>
      <c r="F153" s="13"/>
      <c r="G153" s="13"/>
      <c r="H153" s="13"/>
      <c r="I153" s="13"/>
      <c r="J153" s="13"/>
      <c r="K153" s="20"/>
    </row>
    <row r="154" spans="1:11">
      <c r="B154" s="213">
        <v>284</v>
      </c>
      <c r="C154" s="214" t="s">
        <v>203</v>
      </c>
      <c r="D154" s="267" t="s">
        <v>454</v>
      </c>
      <c r="E154" s="216"/>
      <c r="F154" s="216"/>
      <c r="G154" s="216"/>
      <c r="H154" s="216"/>
      <c r="I154" s="216"/>
      <c r="J154" s="216"/>
      <c r="K154" s="217"/>
    </row>
    <row r="155" spans="1:11">
      <c r="B155" s="42">
        <v>294</v>
      </c>
      <c r="C155" s="258" t="s">
        <v>213</v>
      </c>
      <c r="D155" s="257" t="s">
        <v>462</v>
      </c>
      <c r="E155" s="13"/>
      <c r="F155" s="13"/>
      <c r="G155" s="13"/>
      <c r="H155" s="13"/>
      <c r="I155" s="13"/>
      <c r="J155" s="13"/>
      <c r="K155" s="20"/>
    </row>
    <row r="156" spans="1:11">
      <c r="B156" s="42">
        <v>304</v>
      </c>
      <c r="C156" s="258" t="s">
        <v>223</v>
      </c>
      <c r="D156" s="257" t="s">
        <v>463</v>
      </c>
      <c r="E156" s="13"/>
      <c r="F156" s="13"/>
      <c r="G156" s="13"/>
      <c r="H156" s="13"/>
      <c r="I156" s="13"/>
      <c r="J156" s="13"/>
      <c r="K156" s="20"/>
    </row>
    <row r="157" spans="1:11">
      <c r="B157" s="42">
        <v>314</v>
      </c>
      <c r="C157" s="258" t="s">
        <v>233</v>
      </c>
      <c r="D157" s="257" t="s">
        <v>593</v>
      </c>
      <c r="E157" s="13"/>
      <c r="F157" s="13"/>
      <c r="G157" s="13"/>
      <c r="H157" s="13"/>
      <c r="I157" s="13"/>
      <c r="J157" s="13"/>
      <c r="K157" s="20"/>
    </row>
    <row r="158" spans="1:11">
      <c r="B158" s="42">
        <v>324</v>
      </c>
      <c r="C158" s="258" t="s">
        <v>243</v>
      </c>
      <c r="D158" s="257" t="s">
        <v>594</v>
      </c>
      <c r="E158" s="13"/>
      <c r="F158" s="13"/>
      <c r="G158" s="13"/>
      <c r="H158" s="13"/>
      <c r="I158" s="13"/>
      <c r="J158" s="13"/>
      <c r="K158" s="20"/>
    </row>
    <row r="159" spans="1:11">
      <c r="B159" s="42">
        <v>334</v>
      </c>
      <c r="C159" s="258" t="s">
        <v>253</v>
      </c>
      <c r="D159" s="257" t="s">
        <v>336</v>
      </c>
      <c r="E159" s="13"/>
      <c r="F159" s="13"/>
      <c r="G159" s="13"/>
      <c r="H159" s="13"/>
      <c r="I159" s="13"/>
      <c r="J159" s="13"/>
      <c r="K159" s="20"/>
    </row>
    <row r="160" spans="1:11">
      <c r="B160" s="42">
        <v>344</v>
      </c>
      <c r="C160" s="258" t="s">
        <v>263</v>
      </c>
      <c r="D160" s="257" t="s">
        <v>336</v>
      </c>
      <c r="E160" s="13"/>
      <c r="F160" s="13"/>
      <c r="G160" s="13"/>
      <c r="H160" s="13"/>
      <c r="I160" s="13"/>
      <c r="J160" s="13"/>
      <c r="K160" s="20"/>
    </row>
    <row r="161" spans="1:11">
      <c r="B161" s="42">
        <v>354</v>
      </c>
      <c r="C161" s="258" t="s">
        <v>273</v>
      </c>
      <c r="D161" s="257" t="s">
        <v>595</v>
      </c>
      <c r="E161" s="13"/>
      <c r="F161" s="13"/>
      <c r="G161" s="13"/>
      <c r="H161" s="13"/>
      <c r="I161" s="13"/>
      <c r="J161" s="13"/>
      <c r="K161" s="20"/>
    </row>
    <row r="162" spans="1:11">
      <c r="B162" s="42">
        <v>364</v>
      </c>
      <c r="C162" s="258" t="s">
        <v>283</v>
      </c>
      <c r="D162" s="257" t="s">
        <v>596</v>
      </c>
      <c r="E162" s="13"/>
      <c r="F162" s="13"/>
      <c r="G162" s="13"/>
      <c r="H162" s="13"/>
      <c r="I162" s="13"/>
      <c r="J162" s="13"/>
      <c r="K162" s="20"/>
    </row>
    <row r="163" spans="1:11">
      <c r="B163" s="42">
        <v>374</v>
      </c>
      <c r="C163" s="258" t="s">
        <v>293</v>
      </c>
      <c r="D163" s="257" t="s">
        <v>597</v>
      </c>
      <c r="E163" s="13"/>
      <c r="F163" s="13"/>
      <c r="G163" s="13"/>
      <c r="H163" s="13"/>
      <c r="I163" s="13"/>
      <c r="J163" s="13"/>
      <c r="K163" s="20"/>
    </row>
    <row r="164" spans="1:11">
      <c r="B164" s="42">
        <v>384</v>
      </c>
      <c r="C164" s="258" t="s">
        <v>303</v>
      </c>
      <c r="D164" s="257" t="s">
        <v>598</v>
      </c>
      <c r="E164" s="13"/>
      <c r="F164" s="13"/>
      <c r="G164" s="13"/>
      <c r="H164" s="13"/>
      <c r="I164" s="13"/>
      <c r="J164" s="13"/>
      <c r="K164" s="20"/>
    </row>
    <row r="165" spans="1:11">
      <c r="B165" s="42">
        <v>394</v>
      </c>
      <c r="C165" s="258" t="s">
        <v>313</v>
      </c>
      <c r="D165" s="257" t="s">
        <v>599</v>
      </c>
      <c r="E165" s="13"/>
      <c r="F165" s="13"/>
      <c r="G165" s="13"/>
      <c r="H165" s="13"/>
      <c r="I165" s="13"/>
      <c r="J165" s="13"/>
      <c r="K165" s="20"/>
    </row>
    <row r="166" spans="1:11">
      <c r="A166" s="272" t="s">
        <v>881</v>
      </c>
      <c r="B166" s="42">
        <v>5</v>
      </c>
      <c r="C166" s="258" t="s">
        <v>341</v>
      </c>
      <c r="D166" s="257" t="s">
        <v>464</v>
      </c>
      <c r="E166" s="13"/>
      <c r="F166" s="13"/>
      <c r="G166" s="13"/>
      <c r="H166" s="13"/>
      <c r="I166" s="13"/>
      <c r="J166" s="13"/>
      <c r="K166" s="20"/>
    </row>
    <row r="167" spans="1:11">
      <c r="A167" s="272" t="s">
        <v>881</v>
      </c>
      <c r="B167" s="42">
        <v>15</v>
      </c>
      <c r="C167" s="258" t="s">
        <v>351</v>
      </c>
      <c r="D167" s="257" t="s">
        <v>464</v>
      </c>
      <c r="E167" s="13"/>
      <c r="F167" s="13"/>
      <c r="G167" s="13"/>
      <c r="H167" s="13"/>
      <c r="I167" s="13"/>
      <c r="J167" s="13"/>
      <c r="K167" s="20"/>
    </row>
    <row r="168" spans="1:11">
      <c r="A168" s="272" t="s">
        <v>881</v>
      </c>
      <c r="B168" s="42">
        <v>25</v>
      </c>
      <c r="C168" s="258" t="s">
        <v>361</v>
      </c>
      <c r="D168" s="257" t="s">
        <v>464</v>
      </c>
      <c r="E168" s="13"/>
      <c r="F168" s="13"/>
      <c r="G168" s="13"/>
      <c r="H168" s="13"/>
      <c r="I168" s="13"/>
      <c r="J168" s="13"/>
      <c r="K168" s="20"/>
    </row>
    <row r="169" spans="1:11">
      <c r="A169" s="272" t="s">
        <v>881</v>
      </c>
      <c r="B169" s="42">
        <v>35</v>
      </c>
      <c r="C169" s="258" t="s">
        <v>371</v>
      </c>
      <c r="D169" s="257" t="s">
        <v>464</v>
      </c>
      <c r="E169" s="13"/>
      <c r="F169" s="13"/>
      <c r="G169" s="13"/>
      <c r="H169" s="13"/>
      <c r="I169" s="13"/>
      <c r="J169" s="13"/>
      <c r="K169" s="20"/>
    </row>
    <row r="170" spans="1:11">
      <c r="A170" s="272" t="s">
        <v>881</v>
      </c>
      <c r="B170" s="42">
        <v>45</v>
      </c>
      <c r="C170" s="258" t="s">
        <v>381</v>
      </c>
      <c r="D170" s="271" t="s">
        <v>464</v>
      </c>
      <c r="E170" s="13"/>
      <c r="F170" s="13"/>
      <c r="G170" s="13"/>
      <c r="H170" s="13"/>
      <c r="I170" s="13"/>
      <c r="J170" s="13"/>
      <c r="K170" s="20"/>
    </row>
    <row r="171" spans="1:11">
      <c r="A171" s="272" t="s">
        <v>881</v>
      </c>
      <c r="B171" s="42">
        <v>55</v>
      </c>
      <c r="C171" s="258" t="s">
        <v>391</v>
      </c>
      <c r="D171" s="271" t="s">
        <v>464</v>
      </c>
      <c r="E171" s="13"/>
      <c r="F171" s="13"/>
      <c r="G171" s="13"/>
      <c r="H171" s="13"/>
      <c r="I171" s="13"/>
      <c r="J171" s="13"/>
      <c r="K171" s="20"/>
    </row>
    <row r="172" spans="1:11">
      <c r="A172" s="272" t="s">
        <v>881</v>
      </c>
      <c r="B172" s="42">
        <v>65</v>
      </c>
      <c r="C172" s="258" t="s">
        <v>401</v>
      </c>
      <c r="D172" s="271" t="s">
        <v>464</v>
      </c>
      <c r="E172" s="13"/>
      <c r="F172" s="13"/>
      <c r="G172" s="13"/>
      <c r="H172" s="13"/>
      <c r="I172" s="13"/>
      <c r="J172" s="13"/>
      <c r="K172" s="20"/>
    </row>
    <row r="173" spans="1:11">
      <c r="B173" s="42">
        <v>75</v>
      </c>
      <c r="C173" s="258" t="s">
        <v>411</v>
      </c>
      <c r="D173" s="271" t="s">
        <v>600</v>
      </c>
      <c r="E173" s="13"/>
      <c r="F173" s="13"/>
      <c r="G173" s="13"/>
      <c r="H173" s="13"/>
      <c r="I173" s="13"/>
      <c r="J173" s="13"/>
      <c r="K173" s="20"/>
    </row>
    <row r="174" spans="1:11">
      <c r="B174" s="42">
        <v>85</v>
      </c>
      <c r="C174" s="258" t="s">
        <v>421</v>
      </c>
      <c r="D174" s="257" t="s">
        <v>601</v>
      </c>
      <c r="E174" s="13"/>
      <c r="F174" s="13"/>
      <c r="G174" s="13"/>
      <c r="H174" s="13"/>
      <c r="I174" s="13"/>
      <c r="J174" s="13"/>
      <c r="K174" s="20"/>
    </row>
    <row r="175" spans="1:11">
      <c r="B175" s="42">
        <v>95</v>
      </c>
      <c r="C175" s="258" t="s">
        <v>7</v>
      </c>
      <c r="D175" s="257" t="s">
        <v>602</v>
      </c>
      <c r="E175" s="13"/>
      <c r="F175" s="13"/>
      <c r="G175" s="13"/>
      <c r="H175" s="13"/>
      <c r="I175" s="13"/>
      <c r="J175" s="13"/>
      <c r="K175" s="20"/>
    </row>
    <row r="176" spans="1:11">
      <c r="A176" s="272" t="s">
        <v>881</v>
      </c>
      <c r="B176" s="42">
        <v>105</v>
      </c>
      <c r="C176" s="258" t="s">
        <v>24</v>
      </c>
      <c r="D176" s="257" t="s">
        <v>321</v>
      </c>
      <c r="E176" s="13"/>
      <c r="F176" s="13"/>
      <c r="G176" s="13"/>
      <c r="H176" s="13"/>
      <c r="I176" s="13"/>
      <c r="J176" s="13"/>
      <c r="K176" s="20"/>
    </row>
    <row r="177" spans="1:11">
      <c r="B177" s="42">
        <v>115</v>
      </c>
      <c r="C177" s="258" t="s">
        <v>34</v>
      </c>
      <c r="D177" s="257" t="s">
        <v>603</v>
      </c>
      <c r="E177" s="13"/>
      <c r="F177" s="13"/>
      <c r="G177" s="13"/>
      <c r="H177" s="13"/>
      <c r="I177" s="13"/>
      <c r="J177" s="13"/>
      <c r="K177" s="20"/>
    </row>
    <row r="178" spans="1:11">
      <c r="A178" s="272" t="s">
        <v>881</v>
      </c>
      <c r="B178" s="42">
        <v>125</v>
      </c>
      <c r="C178" s="258" t="s">
        <v>44</v>
      </c>
      <c r="D178" s="257" t="s">
        <v>465</v>
      </c>
      <c r="E178" s="13"/>
      <c r="F178" s="13"/>
      <c r="G178" s="13"/>
      <c r="H178" s="13"/>
      <c r="I178" s="13"/>
      <c r="J178" s="13"/>
      <c r="K178" s="20"/>
    </row>
    <row r="179" spans="1:11">
      <c r="A179" s="272" t="s">
        <v>881</v>
      </c>
      <c r="B179" s="42">
        <v>135</v>
      </c>
      <c r="C179" s="258" t="s">
        <v>54</v>
      </c>
      <c r="D179" s="257" t="s">
        <v>466</v>
      </c>
      <c r="E179" s="13"/>
      <c r="F179" s="13"/>
      <c r="G179" s="13"/>
      <c r="H179" s="13"/>
      <c r="I179" s="13"/>
      <c r="J179" s="13"/>
      <c r="K179" s="20"/>
    </row>
    <row r="180" spans="1:11">
      <c r="A180" s="272" t="s">
        <v>881</v>
      </c>
      <c r="B180" s="42">
        <v>145</v>
      </c>
      <c r="C180" s="258" t="s">
        <v>64</v>
      </c>
      <c r="D180" s="257" t="s">
        <v>432</v>
      </c>
      <c r="E180" s="13"/>
      <c r="F180" s="13"/>
      <c r="G180" s="13"/>
      <c r="H180" s="13"/>
      <c r="I180" s="13"/>
      <c r="J180" s="13"/>
      <c r="K180" s="20"/>
    </row>
    <row r="181" spans="1:11">
      <c r="A181" s="272" t="s">
        <v>881</v>
      </c>
      <c r="B181" s="42">
        <v>155</v>
      </c>
      <c r="C181" s="258" t="s">
        <v>74</v>
      </c>
      <c r="D181" s="257" t="s">
        <v>432</v>
      </c>
      <c r="E181" s="13"/>
      <c r="F181" s="13"/>
      <c r="G181" s="13"/>
      <c r="H181" s="13"/>
      <c r="I181" s="13"/>
      <c r="J181" s="13"/>
      <c r="K181" s="20"/>
    </row>
    <row r="182" spans="1:11">
      <c r="A182" s="272" t="s">
        <v>881</v>
      </c>
      <c r="B182" s="42">
        <v>165</v>
      </c>
      <c r="C182" s="258" t="s">
        <v>84</v>
      </c>
      <c r="D182" s="257" t="s">
        <v>432</v>
      </c>
      <c r="E182" s="13"/>
      <c r="F182" s="13"/>
      <c r="G182" s="13"/>
      <c r="H182" s="13"/>
      <c r="I182" s="13"/>
      <c r="J182" s="13"/>
      <c r="K182" s="20"/>
    </row>
    <row r="183" spans="1:11">
      <c r="B183" s="42">
        <v>175</v>
      </c>
      <c r="C183" s="258" t="s">
        <v>94</v>
      </c>
      <c r="D183" s="257" t="s">
        <v>604</v>
      </c>
      <c r="E183" s="13"/>
      <c r="F183" s="13"/>
      <c r="G183" s="13"/>
      <c r="H183" s="13"/>
      <c r="I183" s="13"/>
      <c r="J183" s="13"/>
      <c r="K183" s="20"/>
    </row>
    <row r="184" spans="1:11">
      <c r="A184" s="272" t="s">
        <v>881</v>
      </c>
      <c r="B184" s="42">
        <v>185</v>
      </c>
      <c r="C184" s="258" t="s">
        <v>104</v>
      </c>
      <c r="D184" s="257" t="s">
        <v>329</v>
      </c>
      <c r="E184" s="13"/>
      <c r="F184" s="13"/>
      <c r="G184" s="13"/>
      <c r="H184" s="13"/>
      <c r="I184" s="13"/>
      <c r="J184" s="13"/>
      <c r="K184" s="20"/>
    </row>
    <row r="185" spans="1:11">
      <c r="A185" s="272" t="s">
        <v>881</v>
      </c>
      <c r="B185" s="42">
        <v>195</v>
      </c>
      <c r="C185" s="258" t="s">
        <v>114</v>
      </c>
      <c r="D185" s="257" t="s">
        <v>329</v>
      </c>
      <c r="E185" s="13"/>
      <c r="F185" s="13"/>
      <c r="G185" s="13"/>
      <c r="H185" s="13"/>
      <c r="I185" s="13"/>
      <c r="J185" s="13"/>
      <c r="K185" s="20"/>
    </row>
    <row r="186" spans="1:11">
      <c r="A186" s="272" t="s">
        <v>881</v>
      </c>
      <c r="B186" s="42">
        <v>205</v>
      </c>
      <c r="C186" s="258" t="s">
        <v>124</v>
      </c>
      <c r="D186" s="257" t="s">
        <v>329</v>
      </c>
      <c r="E186" s="13"/>
      <c r="F186" s="13"/>
      <c r="G186" s="13"/>
      <c r="H186" s="13"/>
      <c r="I186" s="13"/>
      <c r="J186" s="13"/>
      <c r="K186" s="20"/>
    </row>
    <row r="187" spans="1:11">
      <c r="A187" s="272" t="s">
        <v>881</v>
      </c>
      <c r="B187" s="42">
        <v>215</v>
      </c>
      <c r="C187" s="258" t="s">
        <v>134</v>
      </c>
      <c r="D187" s="257" t="s">
        <v>329</v>
      </c>
      <c r="E187" s="13"/>
      <c r="F187" s="13"/>
      <c r="G187" s="13"/>
      <c r="H187" s="13"/>
      <c r="I187" s="13"/>
      <c r="J187" s="13"/>
      <c r="K187" s="20"/>
    </row>
    <row r="188" spans="1:11">
      <c r="B188" s="42">
        <v>225</v>
      </c>
      <c r="C188" s="258" t="s">
        <v>144</v>
      </c>
      <c r="D188" s="257" t="s">
        <v>605</v>
      </c>
      <c r="E188" s="13"/>
      <c r="F188" s="13"/>
      <c r="G188" s="13"/>
      <c r="H188" s="13"/>
      <c r="I188" s="13"/>
      <c r="J188" s="13"/>
      <c r="K188" s="20"/>
    </row>
    <row r="189" spans="1:11">
      <c r="B189" s="42">
        <v>235</v>
      </c>
      <c r="C189" s="258" t="s">
        <v>154</v>
      </c>
      <c r="D189" s="257" t="s">
        <v>606</v>
      </c>
      <c r="E189" s="13"/>
      <c r="F189" s="13"/>
      <c r="G189" s="13"/>
      <c r="H189" s="13"/>
      <c r="I189" s="13"/>
      <c r="J189" s="13"/>
      <c r="K189" s="20"/>
    </row>
    <row r="190" spans="1:11">
      <c r="B190" s="42">
        <v>245</v>
      </c>
      <c r="C190" s="258" t="s">
        <v>164</v>
      </c>
      <c r="D190" s="257" t="s">
        <v>607</v>
      </c>
      <c r="E190" s="13"/>
      <c r="F190" s="13"/>
      <c r="G190" s="13"/>
      <c r="H190" s="13"/>
      <c r="I190" s="13"/>
      <c r="J190" s="13"/>
      <c r="K190" s="20"/>
    </row>
    <row r="191" spans="1:11">
      <c r="B191" s="42">
        <v>255</v>
      </c>
      <c r="C191" s="258" t="s">
        <v>174</v>
      </c>
      <c r="D191" s="257" t="s">
        <v>467</v>
      </c>
      <c r="E191" s="13"/>
      <c r="F191" s="13"/>
      <c r="G191" s="13"/>
      <c r="H191" s="13"/>
      <c r="I191" s="13"/>
      <c r="J191" s="13"/>
      <c r="K191" s="20"/>
    </row>
    <row r="192" spans="1:11">
      <c r="A192" s="272" t="s">
        <v>881</v>
      </c>
      <c r="B192" s="42">
        <v>265</v>
      </c>
      <c r="C192" s="258" t="s">
        <v>184</v>
      </c>
      <c r="D192" s="257" t="s">
        <v>330</v>
      </c>
      <c r="E192" s="13"/>
      <c r="F192" s="13"/>
      <c r="G192" s="13"/>
      <c r="H192" s="13"/>
      <c r="I192" s="13"/>
      <c r="J192" s="13"/>
      <c r="K192" s="20"/>
    </row>
    <row r="193" spans="1:11">
      <c r="B193" s="42">
        <v>275</v>
      </c>
      <c r="C193" s="258" t="s">
        <v>194</v>
      </c>
      <c r="D193" s="257" t="s">
        <v>468</v>
      </c>
      <c r="E193" s="13"/>
      <c r="F193" s="13"/>
      <c r="G193" s="13"/>
      <c r="H193" s="13"/>
      <c r="I193" s="13"/>
      <c r="J193" s="13"/>
      <c r="K193" s="20"/>
    </row>
    <row r="194" spans="1:11">
      <c r="B194" s="213">
        <v>285</v>
      </c>
      <c r="C194" s="214" t="s">
        <v>204</v>
      </c>
      <c r="D194" s="267" t="s">
        <v>454</v>
      </c>
      <c r="E194" s="216"/>
      <c r="F194" s="216"/>
      <c r="G194" s="216"/>
      <c r="H194" s="216"/>
      <c r="I194" s="216"/>
      <c r="J194" s="216"/>
      <c r="K194" s="217"/>
    </row>
    <row r="195" spans="1:11">
      <c r="A195" s="272" t="s">
        <v>881</v>
      </c>
      <c r="B195" s="42">
        <v>295</v>
      </c>
      <c r="C195" s="258" t="s">
        <v>214</v>
      </c>
      <c r="D195" s="257" t="s">
        <v>334</v>
      </c>
      <c r="E195" s="13"/>
      <c r="F195" s="13"/>
      <c r="G195" s="13"/>
      <c r="H195" s="13"/>
      <c r="I195" s="13"/>
      <c r="J195" s="13"/>
      <c r="K195" s="20"/>
    </row>
    <row r="196" spans="1:11">
      <c r="A196" s="272" t="s">
        <v>881</v>
      </c>
      <c r="B196" s="42">
        <v>305</v>
      </c>
      <c r="C196" s="258" t="s">
        <v>224</v>
      </c>
      <c r="D196" s="257" t="s">
        <v>334</v>
      </c>
      <c r="E196" s="13"/>
      <c r="F196" s="13"/>
      <c r="G196" s="13"/>
      <c r="H196" s="13"/>
      <c r="I196" s="13"/>
      <c r="J196" s="13"/>
      <c r="K196" s="20"/>
    </row>
    <row r="197" spans="1:11">
      <c r="A197" s="272" t="s">
        <v>881</v>
      </c>
      <c r="B197" s="42">
        <v>315</v>
      </c>
      <c r="C197" s="258" t="s">
        <v>234</v>
      </c>
      <c r="D197" s="257" t="s">
        <v>334</v>
      </c>
      <c r="E197" s="13"/>
      <c r="F197" s="13"/>
      <c r="G197" s="13"/>
      <c r="H197" s="13"/>
      <c r="I197" s="13"/>
      <c r="J197" s="13"/>
      <c r="K197" s="20"/>
    </row>
    <row r="198" spans="1:11">
      <c r="A198" s="272" t="s">
        <v>881</v>
      </c>
      <c r="B198" s="42">
        <v>325</v>
      </c>
      <c r="C198" s="258" t="s">
        <v>244</v>
      </c>
      <c r="D198" s="257" t="s">
        <v>334</v>
      </c>
      <c r="E198" s="13"/>
      <c r="F198" s="13"/>
      <c r="G198" s="13"/>
      <c r="H198" s="13"/>
      <c r="I198" s="13"/>
      <c r="J198" s="13"/>
      <c r="K198" s="20"/>
    </row>
    <row r="199" spans="1:11">
      <c r="B199" s="213">
        <v>335</v>
      </c>
      <c r="C199" s="214" t="s">
        <v>254</v>
      </c>
      <c r="D199" s="267" t="s">
        <v>454</v>
      </c>
      <c r="E199" s="216"/>
      <c r="F199" s="216"/>
      <c r="G199" s="216"/>
      <c r="H199" s="216"/>
      <c r="I199" s="216"/>
      <c r="J199" s="216"/>
      <c r="K199" s="217"/>
    </row>
    <row r="200" spans="1:11">
      <c r="B200" s="42">
        <v>345</v>
      </c>
      <c r="C200" s="258" t="s">
        <v>264</v>
      </c>
      <c r="D200" s="257" t="s">
        <v>336</v>
      </c>
      <c r="E200" s="13"/>
      <c r="F200" s="13"/>
      <c r="G200" s="13"/>
      <c r="H200" s="13"/>
      <c r="I200" s="13"/>
      <c r="J200" s="13"/>
      <c r="K200" s="20"/>
    </row>
    <row r="201" spans="1:11">
      <c r="B201" s="42">
        <v>355</v>
      </c>
      <c r="C201" s="258" t="s">
        <v>274</v>
      </c>
      <c r="D201" s="257" t="s">
        <v>336</v>
      </c>
      <c r="E201" s="13"/>
      <c r="F201" s="13"/>
      <c r="G201" s="13"/>
      <c r="H201" s="13"/>
      <c r="I201" s="13"/>
      <c r="J201" s="13"/>
      <c r="K201" s="20"/>
    </row>
    <row r="202" spans="1:11">
      <c r="B202" s="42">
        <v>365</v>
      </c>
      <c r="C202" s="258" t="s">
        <v>284</v>
      </c>
      <c r="D202" s="257" t="s">
        <v>608</v>
      </c>
      <c r="E202" s="13"/>
      <c r="F202" s="13"/>
      <c r="G202" s="13"/>
      <c r="H202" s="13"/>
      <c r="I202" s="13"/>
      <c r="J202" s="13"/>
      <c r="K202" s="20"/>
    </row>
    <row r="203" spans="1:11">
      <c r="B203" s="42">
        <v>375</v>
      </c>
      <c r="C203" s="258" t="s">
        <v>294</v>
      </c>
      <c r="D203" s="257" t="s">
        <v>609</v>
      </c>
      <c r="E203" s="13"/>
      <c r="F203" s="13"/>
      <c r="G203" s="13"/>
      <c r="H203" s="13"/>
      <c r="I203" s="13"/>
      <c r="J203" s="13"/>
      <c r="K203" s="20"/>
    </row>
    <row r="204" spans="1:11">
      <c r="B204" s="42">
        <v>385</v>
      </c>
      <c r="C204" s="258" t="s">
        <v>304</v>
      </c>
      <c r="D204" s="257" t="s">
        <v>469</v>
      </c>
      <c r="E204" s="13"/>
      <c r="F204" s="13"/>
      <c r="G204" s="13"/>
      <c r="H204" s="13"/>
      <c r="I204" s="13"/>
      <c r="J204" s="13"/>
      <c r="K204" s="20"/>
    </row>
    <row r="205" spans="1:11">
      <c r="B205" s="42">
        <v>395</v>
      </c>
      <c r="C205" s="258" t="s">
        <v>314</v>
      </c>
      <c r="D205" s="257" t="s">
        <v>470</v>
      </c>
      <c r="E205" s="13"/>
      <c r="F205" s="13"/>
      <c r="G205" s="13"/>
      <c r="H205" s="13"/>
      <c r="I205" s="13"/>
      <c r="J205" s="13"/>
      <c r="K205" s="20"/>
    </row>
    <row r="206" spans="1:11">
      <c r="A206" s="272" t="s">
        <v>881</v>
      </c>
      <c r="B206" s="42">
        <v>6</v>
      </c>
      <c r="C206" s="258" t="s">
        <v>342</v>
      </c>
      <c r="D206" s="257" t="s">
        <v>610</v>
      </c>
      <c r="E206" s="13"/>
      <c r="F206" s="13"/>
      <c r="G206" s="13"/>
      <c r="H206" s="13"/>
      <c r="I206" s="13"/>
      <c r="J206" s="13"/>
      <c r="K206" s="20"/>
    </row>
    <row r="207" spans="1:11">
      <c r="A207" s="272" t="s">
        <v>881</v>
      </c>
      <c r="B207" s="42">
        <v>16</v>
      </c>
      <c r="C207" s="258" t="s">
        <v>352</v>
      </c>
      <c r="D207" s="257" t="s">
        <v>611</v>
      </c>
      <c r="E207" s="13"/>
      <c r="F207" s="13"/>
      <c r="G207" s="13"/>
      <c r="H207" s="13"/>
      <c r="I207" s="13"/>
      <c r="J207" s="13"/>
      <c r="K207" s="20"/>
    </row>
    <row r="208" spans="1:11">
      <c r="A208" s="272" t="s">
        <v>881</v>
      </c>
      <c r="B208" s="42">
        <v>26</v>
      </c>
      <c r="C208" s="258" t="s">
        <v>362</v>
      </c>
      <c r="D208" s="257" t="s">
        <v>612</v>
      </c>
      <c r="E208" s="13"/>
      <c r="F208" s="13"/>
      <c r="G208" s="13"/>
      <c r="H208" s="13"/>
      <c r="I208" s="13"/>
      <c r="J208" s="13"/>
      <c r="K208" s="20"/>
    </row>
    <row r="209" spans="1:11">
      <c r="A209" s="272" t="s">
        <v>881</v>
      </c>
      <c r="B209" s="42">
        <v>36</v>
      </c>
      <c r="C209" s="258" t="s">
        <v>372</v>
      </c>
      <c r="D209" s="257" t="s">
        <v>613</v>
      </c>
      <c r="E209" s="13"/>
      <c r="F209" s="13"/>
      <c r="G209" s="13"/>
      <c r="H209" s="13"/>
      <c r="I209" s="13"/>
      <c r="J209" s="13"/>
      <c r="K209" s="20"/>
    </row>
    <row r="210" spans="1:11">
      <c r="B210" s="42">
        <v>46</v>
      </c>
      <c r="C210" s="258" t="s">
        <v>382</v>
      </c>
      <c r="D210" s="271" t="s">
        <v>471</v>
      </c>
      <c r="E210" s="13"/>
      <c r="F210" s="13"/>
      <c r="G210" s="13"/>
      <c r="H210" s="13"/>
      <c r="I210" s="13"/>
      <c r="J210" s="13"/>
      <c r="K210" s="20"/>
    </row>
    <row r="211" spans="1:11">
      <c r="B211" s="42">
        <v>56</v>
      </c>
      <c r="C211" s="258" t="s">
        <v>392</v>
      </c>
      <c r="D211" s="271" t="s">
        <v>472</v>
      </c>
      <c r="E211" s="13"/>
      <c r="F211" s="13"/>
      <c r="G211" s="13"/>
      <c r="H211" s="13"/>
      <c r="I211" s="13"/>
      <c r="J211" s="13"/>
      <c r="K211" s="20"/>
    </row>
    <row r="212" spans="1:11">
      <c r="B212" s="42">
        <v>66</v>
      </c>
      <c r="C212" s="258" t="s">
        <v>402</v>
      </c>
      <c r="D212" s="271" t="s">
        <v>473</v>
      </c>
      <c r="E212" s="13"/>
      <c r="F212" s="13"/>
      <c r="G212" s="13"/>
      <c r="H212" s="13"/>
      <c r="I212" s="13"/>
      <c r="J212" s="13"/>
      <c r="K212" s="20"/>
    </row>
    <row r="213" spans="1:11">
      <c r="B213" s="42">
        <v>76</v>
      </c>
      <c r="C213" s="258" t="s">
        <v>412</v>
      </c>
      <c r="D213" s="271" t="s">
        <v>614</v>
      </c>
      <c r="E213" s="13"/>
      <c r="F213" s="13"/>
      <c r="G213" s="13"/>
      <c r="H213" s="13"/>
      <c r="I213" s="13"/>
      <c r="J213" s="13"/>
      <c r="K213" s="20"/>
    </row>
    <row r="214" spans="1:11">
      <c r="B214" s="42">
        <v>86</v>
      </c>
      <c r="C214" s="258" t="s">
        <v>422</v>
      </c>
      <c r="D214" s="257" t="s">
        <v>615</v>
      </c>
      <c r="E214" s="13"/>
      <c r="F214" s="13"/>
      <c r="G214" s="13"/>
      <c r="H214" s="13"/>
      <c r="I214" s="13"/>
      <c r="J214" s="13"/>
      <c r="K214" s="20"/>
    </row>
    <row r="215" spans="1:11">
      <c r="B215" s="42">
        <v>96</v>
      </c>
      <c r="C215" s="258" t="s">
        <v>8</v>
      </c>
      <c r="D215" s="257" t="s">
        <v>616</v>
      </c>
      <c r="E215" s="13"/>
      <c r="F215" s="13"/>
      <c r="G215" s="13"/>
      <c r="H215" s="13"/>
      <c r="I215" s="13"/>
      <c r="J215" s="13"/>
      <c r="K215" s="20"/>
    </row>
    <row r="216" spans="1:11">
      <c r="A216" s="272" t="s">
        <v>881</v>
      </c>
      <c r="B216" s="42">
        <v>106</v>
      </c>
      <c r="C216" s="258" t="s">
        <v>25</v>
      </c>
      <c r="D216" s="257" t="s">
        <v>474</v>
      </c>
      <c r="E216" s="13"/>
      <c r="F216" s="13"/>
      <c r="G216" s="13"/>
      <c r="H216" s="13"/>
      <c r="I216" s="13"/>
      <c r="J216" s="13"/>
      <c r="K216" s="20"/>
    </row>
    <row r="217" spans="1:11">
      <c r="A217" s="272" t="s">
        <v>881</v>
      </c>
      <c r="B217" s="42">
        <v>116</v>
      </c>
      <c r="C217" s="258" t="s">
        <v>35</v>
      </c>
      <c r="D217" s="257" t="s">
        <v>474</v>
      </c>
      <c r="E217" s="13"/>
      <c r="F217" s="13"/>
      <c r="G217" s="13"/>
      <c r="H217" s="13"/>
      <c r="I217" s="13"/>
      <c r="J217" s="13"/>
      <c r="K217" s="20"/>
    </row>
    <row r="218" spans="1:11">
      <c r="A218" s="272" t="s">
        <v>881</v>
      </c>
      <c r="B218" s="42">
        <v>126</v>
      </c>
      <c r="C218" s="258" t="s">
        <v>45</v>
      </c>
      <c r="D218" s="257" t="s">
        <v>474</v>
      </c>
      <c r="E218" s="13"/>
      <c r="F218" s="13"/>
      <c r="G218" s="13"/>
      <c r="H218" s="13"/>
      <c r="I218" s="13"/>
      <c r="J218" s="13"/>
      <c r="K218" s="20"/>
    </row>
    <row r="219" spans="1:11">
      <c r="A219" s="272" t="s">
        <v>881</v>
      </c>
      <c r="B219" s="42">
        <v>136</v>
      </c>
      <c r="C219" s="258" t="s">
        <v>55</v>
      </c>
      <c r="D219" s="257" t="s">
        <v>474</v>
      </c>
      <c r="E219" s="13"/>
      <c r="F219" s="13"/>
      <c r="G219" s="13"/>
      <c r="H219" s="13"/>
      <c r="I219" s="13"/>
      <c r="J219" s="13"/>
      <c r="K219" s="20"/>
    </row>
    <row r="220" spans="1:11">
      <c r="A220" s="272" t="s">
        <v>881</v>
      </c>
      <c r="B220" s="42">
        <v>146</v>
      </c>
      <c r="C220" s="258" t="s">
        <v>65</v>
      </c>
      <c r="D220" s="257" t="s">
        <v>432</v>
      </c>
      <c r="E220" s="13"/>
      <c r="F220" s="13"/>
      <c r="G220" s="13"/>
      <c r="H220" s="13"/>
      <c r="I220" s="13"/>
      <c r="J220" s="13"/>
      <c r="K220" s="20"/>
    </row>
    <row r="221" spans="1:11">
      <c r="A221" s="272" t="s">
        <v>881</v>
      </c>
      <c r="B221" s="42">
        <v>156</v>
      </c>
      <c r="C221" s="258" t="s">
        <v>75</v>
      </c>
      <c r="D221" s="257" t="s">
        <v>432</v>
      </c>
      <c r="E221" s="13"/>
      <c r="F221" s="13"/>
      <c r="G221" s="13"/>
      <c r="H221" s="13"/>
      <c r="I221" s="13"/>
      <c r="J221" s="13"/>
      <c r="K221" s="20"/>
    </row>
    <row r="222" spans="1:11">
      <c r="A222" s="272" t="s">
        <v>881</v>
      </c>
      <c r="B222" s="42">
        <v>166</v>
      </c>
      <c r="C222" s="258" t="s">
        <v>85</v>
      </c>
      <c r="D222" s="257" t="s">
        <v>432</v>
      </c>
      <c r="E222" s="13"/>
      <c r="F222" s="13"/>
      <c r="G222" s="13"/>
      <c r="H222" s="13"/>
      <c r="I222" s="13"/>
      <c r="J222" s="13"/>
      <c r="K222" s="20"/>
    </row>
    <row r="223" spans="1:11">
      <c r="B223" s="42">
        <v>176</v>
      </c>
      <c r="C223" s="258" t="s">
        <v>95</v>
      </c>
      <c r="D223" s="257" t="s">
        <v>617</v>
      </c>
      <c r="E223" s="13"/>
      <c r="F223" s="13"/>
      <c r="G223" s="13"/>
      <c r="H223" s="13"/>
      <c r="I223" s="13"/>
      <c r="J223" s="13"/>
      <c r="K223" s="20"/>
    </row>
    <row r="224" spans="1:11">
      <c r="A224" s="272" t="s">
        <v>881</v>
      </c>
      <c r="B224" s="42">
        <v>186</v>
      </c>
      <c r="C224" s="258" t="s">
        <v>105</v>
      </c>
      <c r="D224" s="257" t="s">
        <v>329</v>
      </c>
      <c r="E224" s="13"/>
      <c r="F224" s="13"/>
      <c r="G224" s="13"/>
      <c r="H224" s="13"/>
      <c r="I224" s="13"/>
      <c r="J224" s="13"/>
      <c r="K224" s="20"/>
    </row>
    <row r="225" spans="1:11">
      <c r="A225" s="272" t="s">
        <v>881</v>
      </c>
      <c r="B225" s="42">
        <v>196</v>
      </c>
      <c r="C225" s="258" t="s">
        <v>115</v>
      </c>
      <c r="D225" s="257" t="s">
        <v>329</v>
      </c>
      <c r="E225" s="13"/>
      <c r="F225" s="13"/>
      <c r="G225" s="13"/>
      <c r="H225" s="13"/>
      <c r="I225" s="13"/>
      <c r="J225" s="13"/>
      <c r="K225" s="20"/>
    </row>
    <row r="226" spans="1:11">
      <c r="B226" s="42">
        <v>206</v>
      </c>
      <c r="C226" s="258" t="s">
        <v>125</v>
      </c>
      <c r="D226" s="257" t="s">
        <v>475</v>
      </c>
      <c r="E226" s="13"/>
      <c r="F226" s="13"/>
      <c r="G226" s="13"/>
      <c r="H226" s="13"/>
      <c r="I226" s="13"/>
      <c r="J226" s="13"/>
      <c r="K226" s="20"/>
    </row>
    <row r="227" spans="1:11">
      <c r="B227" s="42">
        <v>216</v>
      </c>
      <c r="C227" s="258" t="s">
        <v>135</v>
      </c>
      <c r="D227" s="257" t="s">
        <v>475</v>
      </c>
      <c r="E227" s="13"/>
      <c r="F227" s="13"/>
      <c r="G227" s="13"/>
      <c r="H227" s="13"/>
      <c r="I227" s="13"/>
      <c r="J227" s="13"/>
      <c r="K227" s="20"/>
    </row>
    <row r="228" spans="1:11">
      <c r="B228" s="42">
        <v>226</v>
      </c>
      <c r="C228" s="258" t="s">
        <v>145</v>
      </c>
      <c r="D228" s="257" t="s">
        <v>475</v>
      </c>
      <c r="E228" s="13"/>
      <c r="F228" s="13"/>
      <c r="G228" s="13"/>
      <c r="H228" s="13"/>
      <c r="I228" s="13"/>
      <c r="J228" s="13"/>
      <c r="K228" s="20"/>
    </row>
    <row r="229" spans="1:11">
      <c r="B229" s="42">
        <v>236</v>
      </c>
      <c r="C229" s="258" t="s">
        <v>155</v>
      </c>
      <c r="D229" s="257" t="s">
        <v>475</v>
      </c>
      <c r="E229" s="13"/>
      <c r="F229" s="13"/>
      <c r="G229" s="13"/>
      <c r="H229" s="13"/>
      <c r="I229" s="13"/>
      <c r="J229" s="13"/>
      <c r="K229" s="20"/>
    </row>
    <row r="230" spans="1:11">
      <c r="B230" s="42">
        <v>246</v>
      </c>
      <c r="C230" s="258" t="s">
        <v>165</v>
      </c>
      <c r="D230" s="257" t="s">
        <v>475</v>
      </c>
      <c r="E230" s="13"/>
      <c r="F230" s="13"/>
      <c r="G230" s="13"/>
      <c r="H230" s="13"/>
      <c r="I230" s="13"/>
      <c r="J230" s="13"/>
      <c r="K230" s="20"/>
    </row>
    <row r="231" spans="1:11">
      <c r="B231" s="42">
        <v>256</v>
      </c>
      <c r="C231" s="258" t="s">
        <v>175</v>
      </c>
      <c r="D231" s="257" t="s">
        <v>475</v>
      </c>
      <c r="E231" s="13"/>
      <c r="F231" s="13"/>
      <c r="G231" s="13"/>
      <c r="H231" s="13"/>
      <c r="I231" s="13"/>
      <c r="J231" s="13"/>
      <c r="K231" s="20"/>
    </row>
    <row r="232" spans="1:11">
      <c r="B232" s="42">
        <v>266</v>
      </c>
      <c r="C232" s="258" t="s">
        <v>185</v>
      </c>
      <c r="D232" s="257" t="s">
        <v>476</v>
      </c>
      <c r="E232" s="13"/>
      <c r="F232" s="13"/>
      <c r="G232" s="13"/>
      <c r="H232" s="13"/>
      <c r="I232" s="13"/>
      <c r="J232" s="13"/>
      <c r="K232" s="20"/>
    </row>
    <row r="233" spans="1:11">
      <c r="B233" s="42">
        <v>276</v>
      </c>
      <c r="C233" s="258" t="s">
        <v>195</v>
      </c>
      <c r="D233" s="257" t="s">
        <v>476</v>
      </c>
      <c r="E233" s="13"/>
      <c r="F233" s="13"/>
      <c r="G233" s="13"/>
      <c r="H233" s="13"/>
      <c r="I233" s="13"/>
      <c r="J233" s="13"/>
      <c r="K233" s="20"/>
    </row>
    <row r="234" spans="1:11">
      <c r="B234" s="42">
        <v>286</v>
      </c>
      <c r="C234" s="258" t="s">
        <v>205</v>
      </c>
      <c r="D234" s="257" t="s">
        <v>476</v>
      </c>
      <c r="E234" s="13"/>
      <c r="F234" s="13"/>
      <c r="G234" s="13"/>
      <c r="H234" s="13"/>
      <c r="I234" s="13"/>
      <c r="J234" s="13"/>
      <c r="K234" s="20"/>
    </row>
    <row r="235" spans="1:11">
      <c r="B235" s="42">
        <v>296</v>
      </c>
      <c r="C235" s="258" t="s">
        <v>215</v>
      </c>
      <c r="D235" s="257" t="s">
        <v>476</v>
      </c>
      <c r="E235" s="13"/>
      <c r="F235" s="13"/>
      <c r="G235" s="13"/>
      <c r="H235" s="13"/>
      <c r="I235" s="13"/>
      <c r="J235" s="13"/>
      <c r="K235" s="20"/>
    </row>
    <row r="236" spans="1:11">
      <c r="B236" s="42">
        <v>306</v>
      </c>
      <c r="C236" s="258" t="s">
        <v>225</v>
      </c>
      <c r="D236" s="257" t="s">
        <v>476</v>
      </c>
      <c r="E236" s="13"/>
      <c r="F236" s="13"/>
      <c r="G236" s="13"/>
      <c r="H236" s="13"/>
      <c r="I236" s="13"/>
      <c r="J236" s="13"/>
      <c r="K236" s="20"/>
    </row>
    <row r="237" spans="1:11">
      <c r="B237" s="42">
        <v>316</v>
      </c>
      <c r="C237" s="258" t="s">
        <v>235</v>
      </c>
      <c r="D237" s="257" t="s">
        <v>476</v>
      </c>
      <c r="E237" s="13"/>
      <c r="F237" s="13"/>
      <c r="G237" s="13"/>
      <c r="H237" s="13"/>
      <c r="I237" s="13"/>
      <c r="J237" s="13"/>
      <c r="K237" s="20"/>
    </row>
    <row r="238" spans="1:11">
      <c r="B238" s="42">
        <v>326</v>
      </c>
      <c r="C238" s="258" t="s">
        <v>245</v>
      </c>
      <c r="D238" s="257" t="s">
        <v>476</v>
      </c>
      <c r="E238" s="13"/>
      <c r="F238" s="13"/>
      <c r="G238" s="13"/>
      <c r="H238" s="13"/>
      <c r="I238" s="13"/>
      <c r="J238" s="13"/>
      <c r="K238" s="20"/>
    </row>
    <row r="239" spans="1:11">
      <c r="B239" s="42">
        <v>336</v>
      </c>
      <c r="C239" s="258" t="s">
        <v>255</v>
      </c>
      <c r="D239" s="257" t="s">
        <v>477</v>
      </c>
      <c r="E239" s="13"/>
      <c r="F239" s="13"/>
      <c r="G239" s="13"/>
      <c r="H239" s="13"/>
      <c r="I239" s="13"/>
      <c r="J239" s="13"/>
      <c r="K239" s="20"/>
    </row>
    <row r="240" spans="1:11">
      <c r="B240" s="42">
        <v>346</v>
      </c>
      <c r="C240" s="258" t="s">
        <v>265</v>
      </c>
      <c r="D240" s="257" t="s">
        <v>478</v>
      </c>
      <c r="E240" s="13"/>
      <c r="F240" s="13"/>
      <c r="G240" s="13"/>
      <c r="H240" s="13"/>
      <c r="I240" s="13"/>
      <c r="J240" s="13"/>
      <c r="K240" s="20"/>
    </row>
    <row r="241" spans="1:11">
      <c r="B241" s="42">
        <v>356</v>
      </c>
      <c r="C241" s="258" t="s">
        <v>275</v>
      </c>
      <c r="D241" s="257" t="s">
        <v>479</v>
      </c>
      <c r="E241" s="13"/>
      <c r="F241" s="13"/>
      <c r="G241" s="13"/>
      <c r="H241" s="13"/>
      <c r="I241" s="13"/>
      <c r="J241" s="13"/>
      <c r="K241" s="20"/>
    </row>
    <row r="242" spans="1:11">
      <c r="B242" s="42">
        <v>366</v>
      </c>
      <c r="C242" s="258" t="s">
        <v>285</v>
      </c>
      <c r="D242" s="257" t="s">
        <v>618</v>
      </c>
      <c r="E242" s="13"/>
      <c r="F242" s="13"/>
      <c r="G242" s="13"/>
      <c r="H242" s="13"/>
      <c r="I242" s="13"/>
      <c r="J242" s="13"/>
      <c r="K242" s="20"/>
    </row>
    <row r="243" spans="1:11">
      <c r="B243" s="42">
        <v>376</v>
      </c>
      <c r="C243" s="258" t="s">
        <v>295</v>
      </c>
      <c r="D243" s="257" t="s">
        <v>619</v>
      </c>
      <c r="E243" s="13"/>
      <c r="F243" s="13"/>
      <c r="G243" s="13"/>
      <c r="H243" s="13"/>
      <c r="I243" s="13"/>
      <c r="J243" s="13"/>
      <c r="K243" s="20"/>
    </row>
    <row r="244" spans="1:11">
      <c r="B244" s="42">
        <v>386</v>
      </c>
      <c r="C244" s="258" t="s">
        <v>305</v>
      </c>
      <c r="D244" s="257" t="s">
        <v>480</v>
      </c>
      <c r="E244" s="13"/>
      <c r="F244" s="13"/>
      <c r="G244" s="13"/>
      <c r="H244" s="13"/>
      <c r="I244" s="13"/>
      <c r="J244" s="13"/>
      <c r="K244" s="20"/>
    </row>
    <row r="245" spans="1:11">
      <c r="B245" s="42">
        <v>396</v>
      </c>
      <c r="C245" s="258" t="s">
        <v>315</v>
      </c>
      <c r="D245" s="257" t="s">
        <v>481</v>
      </c>
      <c r="E245" s="13"/>
      <c r="F245" s="13"/>
      <c r="G245" s="13"/>
      <c r="H245" s="13"/>
      <c r="I245" s="13"/>
      <c r="J245" s="13"/>
      <c r="K245" s="20"/>
    </row>
    <row r="246" spans="1:11">
      <c r="A246" s="272" t="s">
        <v>881</v>
      </c>
      <c r="B246" s="42">
        <v>7</v>
      </c>
      <c r="C246" s="258" t="s">
        <v>343</v>
      </c>
      <c r="D246" s="257" t="s">
        <v>620</v>
      </c>
      <c r="E246" s="13"/>
      <c r="F246" s="13"/>
      <c r="G246" s="13"/>
      <c r="H246" s="13"/>
      <c r="I246" s="13"/>
      <c r="J246" s="13"/>
      <c r="K246" s="20"/>
    </row>
    <row r="247" spans="1:11">
      <c r="A247" s="272" t="s">
        <v>881</v>
      </c>
      <c r="B247" s="42">
        <v>17</v>
      </c>
      <c r="C247" s="258" t="s">
        <v>353</v>
      </c>
      <c r="D247" s="257" t="s">
        <v>621</v>
      </c>
      <c r="E247" s="13"/>
      <c r="F247" s="13"/>
      <c r="G247" s="13"/>
      <c r="H247" s="13"/>
      <c r="I247" s="13"/>
      <c r="J247" s="13"/>
      <c r="K247" s="20"/>
    </row>
    <row r="248" spans="1:11">
      <c r="A248" s="272" t="s">
        <v>881</v>
      </c>
      <c r="B248" s="42">
        <v>27</v>
      </c>
      <c r="C248" s="258" t="s">
        <v>363</v>
      </c>
      <c r="D248" s="257" t="s">
        <v>622</v>
      </c>
      <c r="E248" s="13"/>
      <c r="F248" s="13"/>
      <c r="G248" s="13"/>
      <c r="H248" s="13"/>
      <c r="I248" s="13"/>
      <c r="J248" s="13"/>
      <c r="K248" s="20"/>
    </row>
    <row r="249" spans="1:11">
      <c r="A249" s="272" t="s">
        <v>881</v>
      </c>
      <c r="B249" s="42">
        <v>37</v>
      </c>
      <c r="C249" s="258" t="s">
        <v>373</v>
      </c>
      <c r="D249" s="257" t="s">
        <v>623</v>
      </c>
      <c r="E249" s="13"/>
      <c r="F249" s="13"/>
      <c r="G249" s="13"/>
      <c r="H249" s="13"/>
      <c r="I249" s="13"/>
      <c r="J249" s="13"/>
      <c r="K249" s="20"/>
    </row>
    <row r="250" spans="1:11">
      <c r="A250" s="272" t="s">
        <v>881</v>
      </c>
      <c r="B250" s="42">
        <v>47</v>
      </c>
      <c r="C250" s="258" t="s">
        <v>383</v>
      </c>
      <c r="D250" s="271" t="s">
        <v>482</v>
      </c>
      <c r="E250" s="13"/>
      <c r="F250" s="13"/>
      <c r="G250" s="13"/>
      <c r="H250" s="13"/>
      <c r="I250" s="13"/>
      <c r="J250" s="13"/>
      <c r="K250" s="20"/>
    </row>
    <row r="251" spans="1:11">
      <c r="A251" s="272" t="s">
        <v>881</v>
      </c>
      <c r="B251" s="42">
        <v>57</v>
      </c>
      <c r="C251" s="258" t="s">
        <v>393</v>
      </c>
      <c r="D251" s="271" t="s">
        <v>482</v>
      </c>
      <c r="E251" s="13"/>
      <c r="F251" s="13"/>
      <c r="G251" s="13"/>
      <c r="H251" s="13"/>
      <c r="I251" s="13"/>
      <c r="J251" s="13"/>
      <c r="K251" s="20"/>
    </row>
    <row r="252" spans="1:11">
      <c r="A252" s="272" t="s">
        <v>881</v>
      </c>
      <c r="B252" s="42">
        <v>67</v>
      </c>
      <c r="C252" s="258" t="s">
        <v>403</v>
      </c>
      <c r="D252" s="271" t="s">
        <v>482</v>
      </c>
      <c r="E252" s="13"/>
      <c r="F252" s="13"/>
      <c r="G252" s="13"/>
      <c r="H252" s="13"/>
      <c r="I252" s="13"/>
      <c r="J252" s="13"/>
      <c r="K252" s="20"/>
    </row>
    <row r="253" spans="1:11">
      <c r="A253" s="272" t="s">
        <v>881</v>
      </c>
      <c r="B253" s="42">
        <v>77</v>
      </c>
      <c r="C253" s="258" t="s">
        <v>413</v>
      </c>
      <c r="D253" s="271" t="s">
        <v>482</v>
      </c>
      <c r="E253" s="13"/>
      <c r="F253" s="13"/>
      <c r="G253" s="13"/>
      <c r="H253" s="13"/>
      <c r="I253" s="13"/>
      <c r="J253" s="13"/>
      <c r="K253" s="20"/>
    </row>
    <row r="254" spans="1:11">
      <c r="A254" s="272" t="s">
        <v>881</v>
      </c>
      <c r="B254" s="42">
        <v>87</v>
      </c>
      <c r="C254" s="258" t="s">
        <v>423</v>
      </c>
      <c r="D254" s="257" t="s">
        <v>482</v>
      </c>
      <c r="E254" s="13"/>
      <c r="F254" s="13"/>
      <c r="G254" s="13"/>
      <c r="H254" s="13"/>
      <c r="I254" s="13"/>
      <c r="J254" s="13"/>
      <c r="K254" s="20"/>
    </row>
    <row r="255" spans="1:11">
      <c r="A255" s="272" t="s">
        <v>881</v>
      </c>
      <c r="B255" s="42">
        <v>97</v>
      </c>
      <c r="C255" s="258" t="s">
        <v>9</v>
      </c>
      <c r="D255" s="257" t="s">
        <v>474</v>
      </c>
      <c r="E255" s="13"/>
      <c r="F255" s="13"/>
      <c r="G255" s="13"/>
      <c r="H255" s="13"/>
      <c r="I255" s="13"/>
      <c r="J255" s="13"/>
      <c r="K255" s="20"/>
    </row>
    <row r="256" spans="1:11">
      <c r="A256" s="272" t="s">
        <v>881</v>
      </c>
      <c r="B256" s="42">
        <v>107</v>
      </c>
      <c r="C256" s="258" t="s">
        <v>26</v>
      </c>
      <c r="D256" s="257" t="s">
        <v>474</v>
      </c>
      <c r="E256" s="13"/>
      <c r="F256" s="13"/>
      <c r="G256" s="13"/>
      <c r="H256" s="13"/>
      <c r="I256" s="13"/>
      <c r="J256" s="13"/>
      <c r="K256" s="20"/>
    </row>
    <row r="257" spans="1:11">
      <c r="A257" s="272" t="s">
        <v>881</v>
      </c>
      <c r="B257" s="42">
        <v>117</v>
      </c>
      <c r="C257" s="258" t="s">
        <v>36</v>
      </c>
      <c r="D257" s="257" t="s">
        <v>624</v>
      </c>
      <c r="E257" s="13"/>
      <c r="F257" s="13"/>
      <c r="G257" s="13"/>
      <c r="H257" s="13"/>
      <c r="I257" s="13"/>
      <c r="J257" s="13"/>
      <c r="K257" s="20"/>
    </row>
    <row r="258" spans="1:11">
      <c r="A258" s="272" t="s">
        <v>881</v>
      </c>
      <c r="B258" s="42">
        <v>127</v>
      </c>
      <c r="C258" s="258" t="s">
        <v>46</v>
      </c>
      <c r="D258" s="257" t="s">
        <v>483</v>
      </c>
      <c r="E258" s="13"/>
      <c r="F258" s="13"/>
      <c r="G258" s="13"/>
      <c r="H258" s="13"/>
      <c r="I258" s="13"/>
      <c r="J258" s="13"/>
      <c r="K258" s="20"/>
    </row>
    <row r="259" spans="1:11">
      <c r="A259" s="272" t="s">
        <v>881</v>
      </c>
      <c r="B259" s="42">
        <v>137</v>
      </c>
      <c r="C259" s="258" t="s">
        <v>56</v>
      </c>
      <c r="D259" s="257" t="s">
        <v>625</v>
      </c>
      <c r="E259" s="13"/>
      <c r="F259" s="13"/>
      <c r="G259" s="13"/>
      <c r="H259" s="13"/>
      <c r="I259" s="13"/>
      <c r="J259" s="13"/>
      <c r="K259" s="20"/>
    </row>
    <row r="260" spans="1:11">
      <c r="A260" s="272" t="s">
        <v>881</v>
      </c>
      <c r="B260" s="42">
        <v>147</v>
      </c>
      <c r="C260" s="258" t="s">
        <v>66</v>
      </c>
      <c r="D260" s="257" t="s">
        <v>626</v>
      </c>
      <c r="E260" s="13"/>
      <c r="F260" s="13"/>
      <c r="G260" s="13"/>
      <c r="H260" s="13"/>
      <c r="I260" s="13"/>
      <c r="J260" s="13"/>
      <c r="K260" s="20"/>
    </row>
    <row r="261" spans="1:11">
      <c r="A261" s="272" t="s">
        <v>881</v>
      </c>
      <c r="B261" s="42">
        <v>157</v>
      </c>
      <c r="C261" s="258" t="s">
        <v>76</v>
      </c>
      <c r="D261" s="257" t="s">
        <v>627</v>
      </c>
      <c r="E261" s="13"/>
      <c r="F261" s="13"/>
      <c r="G261" s="13"/>
      <c r="H261" s="13"/>
      <c r="I261" s="13"/>
      <c r="J261" s="13"/>
      <c r="K261" s="20"/>
    </row>
    <row r="262" spans="1:11">
      <c r="A262" s="272" t="s">
        <v>881</v>
      </c>
      <c r="B262" s="42">
        <v>167</v>
      </c>
      <c r="C262" s="258" t="s">
        <v>86</v>
      </c>
      <c r="D262" s="257" t="s">
        <v>628</v>
      </c>
      <c r="E262" s="13"/>
      <c r="F262" s="13"/>
      <c r="G262" s="13"/>
      <c r="H262" s="13"/>
      <c r="I262" s="13"/>
      <c r="J262" s="13"/>
      <c r="K262" s="20"/>
    </row>
    <row r="263" spans="1:11">
      <c r="B263" s="42">
        <v>177</v>
      </c>
      <c r="C263" s="258" t="s">
        <v>96</v>
      </c>
      <c r="D263" s="257" t="s">
        <v>629</v>
      </c>
      <c r="E263" s="13"/>
      <c r="F263" s="13"/>
      <c r="G263" s="13"/>
      <c r="H263" s="13"/>
      <c r="I263" s="13"/>
      <c r="J263" s="13"/>
      <c r="K263" s="20"/>
    </row>
    <row r="264" spans="1:11">
      <c r="B264" s="42">
        <v>187</v>
      </c>
      <c r="C264" s="258" t="s">
        <v>106</v>
      </c>
      <c r="D264" s="257" t="s">
        <v>630</v>
      </c>
      <c r="E264" s="13"/>
      <c r="F264" s="13"/>
      <c r="G264" s="13"/>
      <c r="H264" s="13"/>
      <c r="I264" s="13"/>
      <c r="J264" s="13"/>
      <c r="K264" s="20"/>
    </row>
    <row r="265" spans="1:11">
      <c r="B265" s="42">
        <v>197</v>
      </c>
      <c r="C265" s="258" t="s">
        <v>116</v>
      </c>
      <c r="D265" s="257" t="s">
        <v>631</v>
      </c>
      <c r="E265" s="13"/>
      <c r="F265" s="13"/>
      <c r="G265" s="13"/>
      <c r="H265" s="13"/>
      <c r="I265" s="13"/>
      <c r="J265" s="13"/>
      <c r="K265" s="20"/>
    </row>
    <row r="266" spans="1:11">
      <c r="B266" s="42">
        <v>207</v>
      </c>
      <c r="C266" s="258" t="s">
        <v>126</v>
      </c>
      <c r="D266" s="257" t="s">
        <v>632</v>
      </c>
      <c r="E266" s="13"/>
      <c r="F266" s="13"/>
      <c r="G266" s="13"/>
      <c r="H266" s="13"/>
      <c r="I266" s="13"/>
      <c r="J266" s="13"/>
      <c r="K266" s="20"/>
    </row>
    <row r="267" spans="1:11">
      <c r="B267" s="42">
        <v>217</v>
      </c>
      <c r="C267" s="258" t="s">
        <v>136</v>
      </c>
      <c r="D267" s="257" t="s">
        <v>633</v>
      </c>
      <c r="E267" s="13"/>
      <c r="F267" s="13"/>
      <c r="G267" s="13"/>
      <c r="H267" s="13"/>
      <c r="I267" s="13"/>
      <c r="J267" s="13"/>
      <c r="K267" s="20"/>
    </row>
    <row r="268" spans="1:11">
      <c r="B268" s="42">
        <v>227</v>
      </c>
      <c r="C268" s="258" t="s">
        <v>146</v>
      </c>
      <c r="D268" s="257" t="s">
        <v>634</v>
      </c>
      <c r="E268" s="13"/>
      <c r="F268" s="13"/>
      <c r="G268" s="13"/>
      <c r="H268" s="13"/>
      <c r="I268" s="13"/>
      <c r="J268" s="13"/>
      <c r="K268" s="20"/>
    </row>
    <row r="269" spans="1:11">
      <c r="B269" s="42">
        <v>237</v>
      </c>
      <c r="C269" s="258" t="s">
        <v>156</v>
      </c>
      <c r="D269" s="257" t="s">
        <v>475</v>
      </c>
      <c r="E269" s="13"/>
      <c r="F269" s="13"/>
      <c r="G269" s="13"/>
      <c r="H269" s="13"/>
      <c r="I269" s="13"/>
      <c r="J269" s="13"/>
      <c r="K269" s="20"/>
    </row>
    <row r="270" spans="1:11">
      <c r="B270" s="42">
        <v>247</v>
      </c>
      <c r="C270" s="258" t="s">
        <v>166</v>
      </c>
      <c r="D270" s="257" t="s">
        <v>475</v>
      </c>
      <c r="E270" s="13"/>
      <c r="F270" s="13"/>
      <c r="G270" s="13"/>
      <c r="H270" s="13"/>
      <c r="I270" s="13"/>
      <c r="J270" s="13"/>
      <c r="K270" s="20"/>
    </row>
    <row r="271" spans="1:11">
      <c r="B271" s="42">
        <v>257</v>
      </c>
      <c r="C271" s="258" t="s">
        <v>176</v>
      </c>
      <c r="D271" s="257" t="s">
        <v>484</v>
      </c>
      <c r="E271" s="13"/>
      <c r="F271" s="13"/>
      <c r="G271" s="13"/>
      <c r="H271" s="13"/>
      <c r="I271" s="13"/>
      <c r="J271" s="13"/>
      <c r="K271" s="20"/>
    </row>
    <row r="272" spans="1:11">
      <c r="B272" s="42">
        <v>267</v>
      </c>
      <c r="C272" s="258" t="s">
        <v>186</v>
      </c>
      <c r="D272" s="257" t="s">
        <v>485</v>
      </c>
      <c r="E272" s="13"/>
      <c r="F272" s="13"/>
      <c r="G272" s="13"/>
      <c r="H272" s="13"/>
      <c r="I272" s="13"/>
      <c r="J272" s="13"/>
      <c r="K272" s="20"/>
    </row>
    <row r="273" spans="1:11">
      <c r="B273" s="42">
        <v>277</v>
      </c>
      <c r="C273" s="258" t="s">
        <v>196</v>
      </c>
      <c r="D273" s="257" t="s">
        <v>635</v>
      </c>
      <c r="E273" s="13"/>
      <c r="F273" s="13"/>
      <c r="G273" s="13"/>
      <c r="H273" s="13"/>
      <c r="I273" s="13"/>
      <c r="J273" s="13"/>
      <c r="K273" s="20"/>
    </row>
    <row r="274" spans="1:11">
      <c r="B274" s="42">
        <v>287</v>
      </c>
      <c r="C274" s="258" t="s">
        <v>206</v>
      </c>
      <c r="D274" s="257" t="s">
        <v>636</v>
      </c>
      <c r="E274" s="13"/>
      <c r="F274" s="13"/>
      <c r="G274" s="13"/>
      <c r="H274" s="13"/>
      <c r="I274" s="13"/>
      <c r="J274" s="13"/>
      <c r="K274" s="20"/>
    </row>
    <row r="275" spans="1:11">
      <c r="B275" s="42">
        <v>297</v>
      </c>
      <c r="C275" s="258" t="s">
        <v>216</v>
      </c>
      <c r="D275" s="257" t="s">
        <v>637</v>
      </c>
      <c r="E275" s="13"/>
      <c r="F275" s="13"/>
      <c r="G275" s="13"/>
      <c r="H275" s="13"/>
      <c r="I275" s="13"/>
      <c r="J275" s="13"/>
      <c r="K275" s="20"/>
    </row>
    <row r="276" spans="1:11">
      <c r="B276" s="42">
        <v>307</v>
      </c>
      <c r="C276" s="258" t="s">
        <v>226</v>
      </c>
      <c r="D276" s="257" t="s">
        <v>638</v>
      </c>
      <c r="E276" s="13"/>
      <c r="F276" s="13"/>
      <c r="G276" s="13"/>
      <c r="H276" s="13"/>
      <c r="I276" s="13"/>
      <c r="J276" s="13"/>
      <c r="K276" s="20"/>
    </row>
    <row r="277" spans="1:11">
      <c r="B277" s="42">
        <v>317</v>
      </c>
      <c r="C277" s="258" t="s">
        <v>236</v>
      </c>
      <c r="D277" s="257" t="s">
        <v>639</v>
      </c>
      <c r="E277" s="13"/>
      <c r="F277" s="13"/>
      <c r="G277" s="13"/>
      <c r="H277" s="13"/>
      <c r="I277" s="13"/>
      <c r="J277" s="13"/>
      <c r="K277" s="20"/>
    </row>
    <row r="278" spans="1:11">
      <c r="B278" s="42">
        <v>327</v>
      </c>
      <c r="C278" s="258" t="s">
        <v>246</v>
      </c>
      <c r="D278" s="257" t="s">
        <v>486</v>
      </c>
      <c r="E278" s="13"/>
      <c r="F278" s="13"/>
      <c r="G278" s="13"/>
      <c r="H278" s="13"/>
      <c r="I278" s="13"/>
      <c r="J278" s="13"/>
      <c r="K278" s="20"/>
    </row>
    <row r="279" spans="1:11">
      <c r="B279" s="42">
        <v>337</v>
      </c>
      <c r="C279" s="258" t="s">
        <v>256</v>
      </c>
      <c r="D279" s="257" t="s">
        <v>487</v>
      </c>
      <c r="E279" s="13"/>
      <c r="F279" s="13"/>
      <c r="G279" s="13"/>
      <c r="H279" s="13"/>
      <c r="I279" s="13"/>
      <c r="J279" s="13"/>
      <c r="K279" s="20"/>
    </row>
    <row r="280" spans="1:11">
      <c r="B280" s="42">
        <v>347</v>
      </c>
      <c r="C280" s="258" t="s">
        <v>266</v>
      </c>
      <c r="D280" s="257" t="s">
        <v>488</v>
      </c>
      <c r="E280" s="13"/>
      <c r="F280" s="13"/>
      <c r="G280" s="13"/>
      <c r="H280" s="13"/>
      <c r="I280" s="13"/>
      <c r="J280" s="13"/>
      <c r="K280" s="20"/>
    </row>
    <row r="281" spans="1:11">
      <c r="B281" s="42">
        <v>357</v>
      </c>
      <c r="C281" s="258" t="s">
        <v>276</v>
      </c>
      <c r="D281" s="257" t="s">
        <v>488</v>
      </c>
      <c r="E281" s="13"/>
      <c r="F281" s="13"/>
      <c r="G281" s="13"/>
      <c r="H281" s="13"/>
      <c r="I281" s="13"/>
      <c r="J281" s="13"/>
      <c r="K281" s="20"/>
    </row>
    <row r="282" spans="1:11">
      <c r="B282" s="42">
        <v>367</v>
      </c>
      <c r="C282" s="258" t="s">
        <v>286</v>
      </c>
      <c r="D282" s="257" t="s">
        <v>640</v>
      </c>
      <c r="E282" s="13"/>
      <c r="F282" s="13"/>
      <c r="G282" s="13"/>
      <c r="H282" s="13"/>
      <c r="I282" s="13"/>
      <c r="J282" s="13"/>
      <c r="K282" s="20"/>
    </row>
    <row r="283" spans="1:11">
      <c r="B283" s="42">
        <v>377</v>
      </c>
      <c r="C283" s="258" t="s">
        <v>296</v>
      </c>
      <c r="D283" s="257" t="s">
        <v>641</v>
      </c>
      <c r="E283" s="13"/>
      <c r="F283" s="13"/>
      <c r="G283" s="13"/>
      <c r="H283" s="13"/>
      <c r="I283" s="13"/>
      <c r="J283" s="13"/>
      <c r="K283" s="20"/>
    </row>
    <row r="284" spans="1:11">
      <c r="B284" s="42">
        <v>387</v>
      </c>
      <c r="C284" s="258" t="s">
        <v>306</v>
      </c>
      <c r="D284" s="257" t="s">
        <v>489</v>
      </c>
      <c r="E284" s="13"/>
      <c r="F284" s="13"/>
      <c r="G284" s="13"/>
      <c r="H284" s="13"/>
      <c r="I284" s="13"/>
      <c r="J284" s="13"/>
      <c r="K284" s="20"/>
    </row>
    <row r="285" spans="1:11">
      <c r="B285" s="42">
        <v>397</v>
      </c>
      <c r="C285" s="258" t="s">
        <v>316</v>
      </c>
      <c r="D285" s="257" t="s">
        <v>642</v>
      </c>
      <c r="E285" s="13"/>
      <c r="F285" s="13"/>
      <c r="G285" s="13"/>
      <c r="H285" s="13"/>
      <c r="I285" s="13"/>
      <c r="J285" s="13"/>
      <c r="K285" s="20"/>
    </row>
    <row r="286" spans="1:11">
      <c r="A286" s="272" t="s">
        <v>881</v>
      </c>
      <c r="B286" s="42">
        <v>8</v>
      </c>
      <c r="C286" s="258" t="s">
        <v>344</v>
      </c>
      <c r="D286" s="257" t="s">
        <v>643</v>
      </c>
      <c r="E286" s="13"/>
      <c r="F286" s="13"/>
      <c r="G286" s="13"/>
      <c r="H286" s="13"/>
      <c r="I286" s="13"/>
      <c r="J286" s="13"/>
      <c r="K286" s="20"/>
    </row>
    <row r="287" spans="1:11">
      <c r="A287" s="272" t="s">
        <v>881</v>
      </c>
      <c r="B287" s="42">
        <v>18</v>
      </c>
      <c r="C287" s="258" t="s">
        <v>354</v>
      </c>
      <c r="D287" s="257" t="s">
        <v>644</v>
      </c>
      <c r="E287" s="13"/>
      <c r="F287" s="13"/>
      <c r="G287" s="13"/>
      <c r="H287" s="13"/>
      <c r="I287" s="13"/>
      <c r="J287" s="13"/>
      <c r="K287" s="20"/>
    </row>
    <row r="288" spans="1:11">
      <c r="A288" s="272" t="s">
        <v>881</v>
      </c>
      <c r="B288" s="42">
        <v>28</v>
      </c>
      <c r="C288" s="258" t="s">
        <v>364</v>
      </c>
      <c r="D288" s="257" t="s">
        <v>645</v>
      </c>
      <c r="E288" s="13"/>
      <c r="F288" s="13"/>
      <c r="G288" s="13"/>
      <c r="H288" s="13"/>
      <c r="I288" s="13"/>
      <c r="J288" s="13"/>
      <c r="K288" s="20"/>
    </row>
    <row r="289" spans="1:11">
      <c r="A289" s="272" t="s">
        <v>881</v>
      </c>
      <c r="B289" s="42">
        <v>38</v>
      </c>
      <c r="C289" s="258" t="s">
        <v>374</v>
      </c>
      <c r="D289" s="257" t="s">
        <v>646</v>
      </c>
      <c r="E289" s="13"/>
      <c r="F289" s="13"/>
      <c r="G289" s="13"/>
      <c r="H289" s="13"/>
      <c r="I289" s="13"/>
      <c r="J289" s="13"/>
      <c r="K289" s="20"/>
    </row>
    <row r="290" spans="1:11">
      <c r="A290" s="272" t="s">
        <v>881</v>
      </c>
      <c r="B290" s="42">
        <v>48</v>
      </c>
      <c r="C290" s="258" t="s">
        <v>384</v>
      </c>
      <c r="D290" s="271" t="s">
        <v>482</v>
      </c>
      <c r="E290" s="13"/>
      <c r="F290" s="13"/>
      <c r="G290" s="13"/>
      <c r="H290" s="13"/>
      <c r="I290" s="13"/>
      <c r="J290" s="13"/>
      <c r="K290" s="20"/>
    </row>
    <row r="291" spans="1:11">
      <c r="A291" s="272" t="s">
        <v>881</v>
      </c>
      <c r="B291" s="42">
        <v>58</v>
      </c>
      <c r="C291" s="258" t="s">
        <v>394</v>
      </c>
      <c r="D291" s="271" t="s">
        <v>482</v>
      </c>
      <c r="E291" s="13"/>
      <c r="F291" s="13"/>
      <c r="G291" s="13"/>
      <c r="H291" s="13"/>
      <c r="I291" s="13"/>
      <c r="J291" s="13"/>
      <c r="K291" s="20"/>
    </row>
    <row r="292" spans="1:11">
      <c r="A292" s="272" t="s">
        <v>881</v>
      </c>
      <c r="B292" s="42">
        <v>68</v>
      </c>
      <c r="C292" s="258" t="s">
        <v>404</v>
      </c>
      <c r="D292" s="271" t="s">
        <v>482</v>
      </c>
      <c r="E292" s="13"/>
      <c r="F292" s="13"/>
      <c r="G292" s="13"/>
      <c r="H292" s="13"/>
      <c r="I292" s="13"/>
      <c r="J292" s="13"/>
      <c r="K292" s="20"/>
    </row>
    <row r="293" spans="1:11">
      <c r="A293" s="272" t="s">
        <v>881</v>
      </c>
      <c r="B293" s="42">
        <v>78</v>
      </c>
      <c r="C293" s="258" t="s">
        <v>414</v>
      </c>
      <c r="D293" s="271" t="s">
        <v>490</v>
      </c>
      <c r="E293" s="13"/>
      <c r="F293" s="13"/>
      <c r="G293" s="13"/>
      <c r="H293" s="13"/>
      <c r="I293" s="13"/>
      <c r="J293" s="13"/>
      <c r="K293" s="20"/>
    </row>
    <row r="294" spans="1:11">
      <c r="A294" s="272" t="s">
        <v>881</v>
      </c>
      <c r="B294" s="42">
        <v>88</v>
      </c>
      <c r="C294" s="258" t="s">
        <v>424</v>
      </c>
      <c r="D294" s="257" t="s">
        <v>491</v>
      </c>
      <c r="E294" s="13"/>
      <c r="F294" s="13"/>
      <c r="G294" s="13"/>
      <c r="H294" s="13"/>
      <c r="I294" s="13"/>
      <c r="J294" s="13"/>
      <c r="K294" s="20"/>
    </row>
    <row r="295" spans="1:11">
      <c r="A295" s="272" t="s">
        <v>881</v>
      </c>
      <c r="B295" s="42">
        <v>98</v>
      </c>
      <c r="C295" s="258" t="s">
        <v>10</v>
      </c>
      <c r="D295" s="257" t="s">
        <v>474</v>
      </c>
      <c r="E295" s="13"/>
      <c r="F295" s="13"/>
      <c r="G295" s="13"/>
      <c r="H295" s="13"/>
      <c r="I295" s="13"/>
      <c r="J295" s="13"/>
      <c r="K295" s="20"/>
    </row>
    <row r="296" spans="1:11">
      <c r="A296" s="272" t="s">
        <v>881</v>
      </c>
      <c r="B296" s="42">
        <v>108</v>
      </c>
      <c r="C296" s="258" t="s">
        <v>27</v>
      </c>
      <c r="D296" s="257" t="s">
        <v>474</v>
      </c>
      <c r="E296" s="13"/>
      <c r="F296" s="13"/>
      <c r="G296" s="13"/>
      <c r="H296" s="13"/>
      <c r="I296" s="13"/>
      <c r="J296" s="13"/>
      <c r="K296" s="20"/>
    </row>
    <row r="297" spans="1:11">
      <c r="A297" s="272" t="s">
        <v>881</v>
      </c>
      <c r="B297" s="42">
        <v>118</v>
      </c>
      <c r="C297" s="258" t="s">
        <v>37</v>
      </c>
      <c r="D297" s="257" t="s">
        <v>647</v>
      </c>
      <c r="E297" s="13"/>
      <c r="F297" s="13"/>
      <c r="G297" s="13"/>
      <c r="H297" s="13"/>
      <c r="I297" s="13"/>
      <c r="J297" s="13"/>
      <c r="K297" s="20"/>
    </row>
    <row r="298" spans="1:11">
      <c r="A298" s="272" t="s">
        <v>881</v>
      </c>
      <c r="B298" s="42">
        <v>128</v>
      </c>
      <c r="C298" s="258" t="s">
        <v>47</v>
      </c>
      <c r="D298" s="257" t="s">
        <v>492</v>
      </c>
      <c r="E298" s="13"/>
      <c r="F298" s="13"/>
      <c r="G298" s="13"/>
      <c r="H298" s="13"/>
      <c r="I298" s="13"/>
      <c r="J298" s="13"/>
      <c r="K298" s="20"/>
    </row>
    <row r="299" spans="1:11">
      <c r="A299" s="272" t="s">
        <v>881</v>
      </c>
      <c r="B299" s="42">
        <v>138</v>
      </c>
      <c r="C299" s="258" t="s">
        <v>57</v>
      </c>
      <c r="D299" s="257" t="s">
        <v>648</v>
      </c>
      <c r="E299" s="13"/>
      <c r="F299" s="13"/>
      <c r="G299" s="13"/>
      <c r="H299" s="13"/>
      <c r="I299" s="13"/>
      <c r="J299" s="13"/>
      <c r="K299" s="20"/>
    </row>
    <row r="300" spans="1:11">
      <c r="A300" s="272" t="s">
        <v>881</v>
      </c>
      <c r="B300" s="42">
        <v>148</v>
      </c>
      <c r="C300" s="258" t="s">
        <v>67</v>
      </c>
      <c r="D300" s="257" t="s">
        <v>649</v>
      </c>
      <c r="E300" s="13"/>
      <c r="F300" s="13"/>
      <c r="G300" s="13"/>
      <c r="H300" s="13"/>
      <c r="I300" s="13"/>
      <c r="J300" s="13"/>
      <c r="K300" s="20"/>
    </row>
    <row r="301" spans="1:11">
      <c r="A301" s="272" t="s">
        <v>881</v>
      </c>
      <c r="B301" s="42">
        <v>158</v>
      </c>
      <c r="C301" s="258" t="s">
        <v>77</v>
      </c>
      <c r="D301" s="257" t="s">
        <v>650</v>
      </c>
      <c r="E301" s="13"/>
      <c r="F301" s="13"/>
      <c r="G301" s="13"/>
      <c r="H301" s="13"/>
      <c r="I301" s="13"/>
      <c r="J301" s="13"/>
      <c r="K301" s="20"/>
    </row>
    <row r="302" spans="1:11">
      <c r="A302" s="272" t="s">
        <v>881</v>
      </c>
      <c r="B302" s="42">
        <v>168</v>
      </c>
      <c r="C302" s="258" t="s">
        <v>87</v>
      </c>
      <c r="D302" s="257" t="s">
        <v>651</v>
      </c>
      <c r="E302" s="13"/>
      <c r="F302" s="13"/>
      <c r="G302" s="13"/>
      <c r="H302" s="13"/>
      <c r="I302" s="13"/>
      <c r="J302" s="13"/>
      <c r="K302" s="20"/>
    </row>
    <row r="303" spans="1:11">
      <c r="B303" s="42">
        <v>178</v>
      </c>
      <c r="C303" s="258" t="s">
        <v>97</v>
      </c>
      <c r="D303" s="257" t="s">
        <v>652</v>
      </c>
      <c r="E303" s="13"/>
      <c r="F303" s="13"/>
      <c r="G303" s="13"/>
      <c r="H303" s="13"/>
      <c r="I303" s="13"/>
      <c r="J303" s="13"/>
      <c r="K303" s="20"/>
    </row>
    <row r="304" spans="1:11">
      <c r="B304" s="42">
        <v>188</v>
      </c>
      <c r="C304" s="258" t="s">
        <v>107</v>
      </c>
      <c r="D304" s="257" t="s">
        <v>653</v>
      </c>
      <c r="E304" s="13"/>
      <c r="F304" s="13"/>
      <c r="G304" s="13"/>
      <c r="H304" s="13"/>
      <c r="I304" s="13"/>
      <c r="J304" s="13"/>
      <c r="K304" s="20"/>
    </row>
    <row r="305" spans="2:11">
      <c r="B305" s="42">
        <v>198</v>
      </c>
      <c r="C305" s="258" t="s">
        <v>117</v>
      </c>
      <c r="D305" s="257" t="s">
        <v>654</v>
      </c>
      <c r="E305" s="13"/>
      <c r="F305" s="13"/>
      <c r="G305" s="13"/>
      <c r="H305" s="13"/>
      <c r="I305" s="13"/>
      <c r="J305" s="13"/>
      <c r="K305" s="20"/>
    </row>
    <row r="306" spans="2:11">
      <c r="B306" s="42">
        <v>208</v>
      </c>
      <c r="C306" s="258" t="s">
        <v>127</v>
      </c>
      <c r="D306" s="257" t="s">
        <v>655</v>
      </c>
      <c r="E306" s="13"/>
      <c r="F306" s="13"/>
      <c r="G306" s="13"/>
      <c r="H306" s="13"/>
      <c r="I306" s="13"/>
      <c r="J306" s="13"/>
      <c r="K306" s="20"/>
    </row>
    <row r="307" spans="2:11">
      <c r="B307" s="42">
        <v>218</v>
      </c>
      <c r="C307" s="258" t="s">
        <v>137</v>
      </c>
      <c r="D307" s="257" t="s">
        <v>656</v>
      </c>
      <c r="E307" s="13"/>
      <c r="F307" s="13"/>
      <c r="G307" s="13"/>
      <c r="H307" s="13"/>
      <c r="I307" s="13"/>
      <c r="J307" s="13"/>
      <c r="K307" s="20"/>
    </row>
    <row r="308" spans="2:11">
      <c r="B308" s="42">
        <v>228</v>
      </c>
      <c r="C308" s="258" t="s">
        <v>147</v>
      </c>
      <c r="D308" s="257" t="s">
        <v>657</v>
      </c>
      <c r="E308" s="13"/>
      <c r="F308" s="13"/>
      <c r="G308" s="13"/>
      <c r="H308" s="13"/>
      <c r="I308" s="13"/>
      <c r="J308" s="13"/>
      <c r="K308" s="20"/>
    </row>
    <row r="309" spans="2:11">
      <c r="B309" s="42">
        <v>238</v>
      </c>
      <c r="C309" s="258" t="s">
        <v>157</v>
      </c>
      <c r="D309" s="257" t="s">
        <v>475</v>
      </c>
      <c r="E309" s="13"/>
      <c r="F309" s="13"/>
      <c r="G309" s="13"/>
      <c r="H309" s="13"/>
      <c r="I309" s="13"/>
      <c r="J309" s="13"/>
      <c r="K309" s="20"/>
    </row>
    <row r="310" spans="2:11">
      <c r="B310" s="42">
        <v>248</v>
      </c>
      <c r="C310" s="258" t="s">
        <v>167</v>
      </c>
      <c r="D310" s="257" t="s">
        <v>475</v>
      </c>
      <c r="E310" s="13"/>
      <c r="F310" s="13"/>
      <c r="G310" s="13"/>
      <c r="H310" s="13"/>
      <c r="I310" s="13"/>
      <c r="J310" s="13"/>
      <c r="K310" s="20"/>
    </row>
    <row r="311" spans="2:11">
      <c r="B311" s="42">
        <v>258</v>
      </c>
      <c r="C311" s="258" t="s">
        <v>177</v>
      </c>
      <c r="D311" s="257" t="s">
        <v>493</v>
      </c>
      <c r="E311" s="13"/>
      <c r="F311" s="13"/>
      <c r="G311" s="13"/>
      <c r="H311" s="13"/>
      <c r="I311" s="13"/>
      <c r="J311" s="13"/>
      <c r="K311" s="20"/>
    </row>
    <row r="312" spans="2:11">
      <c r="B312" s="42">
        <v>268</v>
      </c>
      <c r="C312" s="258" t="s">
        <v>187</v>
      </c>
      <c r="D312" s="257" t="s">
        <v>494</v>
      </c>
      <c r="E312" s="13"/>
      <c r="F312" s="13"/>
      <c r="G312" s="13"/>
      <c r="H312" s="13"/>
      <c r="I312" s="13"/>
      <c r="J312" s="13"/>
      <c r="K312" s="20"/>
    </row>
    <row r="313" spans="2:11">
      <c r="B313" s="42">
        <v>278</v>
      </c>
      <c r="C313" s="258" t="s">
        <v>197</v>
      </c>
      <c r="D313" s="257" t="s">
        <v>658</v>
      </c>
      <c r="E313" s="13"/>
      <c r="F313" s="13"/>
      <c r="G313" s="13"/>
      <c r="H313" s="13"/>
      <c r="I313" s="13"/>
      <c r="J313" s="13"/>
      <c r="K313" s="20"/>
    </row>
    <row r="314" spans="2:11">
      <c r="B314" s="42">
        <v>288</v>
      </c>
      <c r="C314" s="258" t="s">
        <v>207</v>
      </c>
      <c r="D314" s="257" t="s">
        <v>659</v>
      </c>
      <c r="E314" s="13"/>
      <c r="F314" s="13"/>
      <c r="G314" s="13"/>
      <c r="H314" s="13"/>
      <c r="I314" s="13"/>
      <c r="J314" s="13"/>
      <c r="K314" s="20"/>
    </row>
    <row r="315" spans="2:11">
      <c r="B315" s="42">
        <v>298</v>
      </c>
      <c r="C315" s="258" t="s">
        <v>217</v>
      </c>
      <c r="D315" s="257" t="s">
        <v>660</v>
      </c>
      <c r="E315" s="13"/>
      <c r="F315" s="13"/>
      <c r="G315" s="13"/>
      <c r="H315" s="13"/>
      <c r="I315" s="13"/>
      <c r="J315" s="13"/>
      <c r="K315" s="20"/>
    </row>
    <row r="316" spans="2:11">
      <c r="B316" s="42">
        <v>308</v>
      </c>
      <c r="C316" s="258" t="s">
        <v>227</v>
      </c>
      <c r="D316" s="257" t="s">
        <v>661</v>
      </c>
      <c r="E316" s="13"/>
      <c r="F316" s="13"/>
      <c r="G316" s="13"/>
      <c r="H316" s="13"/>
      <c r="I316" s="13"/>
      <c r="J316" s="13"/>
      <c r="K316" s="20"/>
    </row>
    <row r="317" spans="2:11">
      <c r="B317" s="42">
        <v>318</v>
      </c>
      <c r="C317" s="258" t="s">
        <v>237</v>
      </c>
      <c r="D317" s="257" t="s">
        <v>662</v>
      </c>
      <c r="E317" s="13"/>
      <c r="F317" s="13"/>
      <c r="G317" s="13"/>
      <c r="H317" s="13"/>
      <c r="I317" s="13"/>
      <c r="J317" s="13"/>
      <c r="K317" s="20"/>
    </row>
    <row r="318" spans="2:11">
      <c r="B318" s="42">
        <v>328</v>
      </c>
      <c r="C318" s="258" t="s">
        <v>247</v>
      </c>
      <c r="D318" s="257" t="s">
        <v>476</v>
      </c>
      <c r="E318" s="13"/>
      <c r="F318" s="13"/>
      <c r="G318" s="13"/>
      <c r="H318" s="13"/>
      <c r="I318" s="13"/>
      <c r="J318" s="13"/>
      <c r="K318" s="20"/>
    </row>
    <row r="319" spans="2:11">
      <c r="B319" s="42">
        <v>338</v>
      </c>
      <c r="C319" s="258" t="s">
        <v>257</v>
      </c>
      <c r="D319" s="257" t="s">
        <v>488</v>
      </c>
      <c r="E319" s="13"/>
      <c r="F319" s="13"/>
      <c r="G319" s="13"/>
      <c r="H319" s="13"/>
      <c r="I319" s="13"/>
      <c r="J319" s="13"/>
      <c r="K319" s="20"/>
    </row>
    <row r="320" spans="2:11">
      <c r="B320" s="42">
        <v>348</v>
      </c>
      <c r="C320" s="258" t="s">
        <v>267</v>
      </c>
      <c r="D320" s="257" t="s">
        <v>488</v>
      </c>
      <c r="E320" s="13"/>
      <c r="F320" s="13"/>
      <c r="G320" s="13"/>
      <c r="H320" s="13"/>
      <c r="I320" s="13"/>
      <c r="J320" s="13"/>
      <c r="K320" s="20"/>
    </row>
    <row r="321" spans="1:11">
      <c r="B321" s="42">
        <v>358</v>
      </c>
      <c r="C321" s="258" t="s">
        <v>277</v>
      </c>
      <c r="D321" s="257" t="s">
        <v>488</v>
      </c>
      <c r="E321" s="13"/>
      <c r="F321" s="13"/>
      <c r="G321" s="13"/>
      <c r="H321" s="13"/>
      <c r="I321" s="13"/>
      <c r="J321" s="13"/>
      <c r="K321" s="20"/>
    </row>
    <row r="322" spans="1:11">
      <c r="B322" s="42">
        <v>368</v>
      </c>
      <c r="C322" s="258" t="s">
        <v>287</v>
      </c>
      <c r="D322" s="257" t="s">
        <v>663</v>
      </c>
      <c r="E322" s="13"/>
      <c r="F322" s="13"/>
      <c r="G322" s="13"/>
      <c r="H322" s="13"/>
      <c r="I322" s="13"/>
      <c r="J322" s="13"/>
      <c r="K322" s="20"/>
    </row>
    <row r="323" spans="1:11">
      <c r="B323" s="42">
        <v>378</v>
      </c>
      <c r="C323" s="258" t="s">
        <v>297</v>
      </c>
      <c r="D323" s="257" t="s">
        <v>664</v>
      </c>
      <c r="E323" s="13"/>
      <c r="F323" s="13"/>
      <c r="G323" s="13"/>
      <c r="H323" s="13"/>
      <c r="I323" s="13"/>
      <c r="J323" s="13"/>
      <c r="K323" s="20"/>
    </row>
    <row r="324" spans="1:11">
      <c r="B324" s="42">
        <v>388</v>
      </c>
      <c r="C324" s="258" t="s">
        <v>307</v>
      </c>
      <c r="D324" s="257" t="s">
        <v>495</v>
      </c>
      <c r="E324" s="13"/>
      <c r="F324" s="13"/>
      <c r="G324" s="13"/>
      <c r="H324" s="13"/>
      <c r="I324" s="13"/>
      <c r="J324" s="13"/>
      <c r="K324" s="20"/>
    </row>
    <row r="325" spans="1:11">
      <c r="B325" s="42">
        <v>398</v>
      </c>
      <c r="C325" s="258" t="s">
        <v>317</v>
      </c>
      <c r="D325" s="257" t="s">
        <v>665</v>
      </c>
      <c r="E325" s="13"/>
      <c r="F325" s="13"/>
      <c r="G325" s="13"/>
      <c r="H325" s="13"/>
      <c r="I325" s="13"/>
      <c r="J325" s="13"/>
      <c r="K325" s="20"/>
    </row>
    <row r="326" spans="1:11">
      <c r="A326" s="272" t="s">
        <v>881</v>
      </c>
      <c r="B326" s="42">
        <v>9</v>
      </c>
      <c r="C326" s="258" t="s">
        <v>345</v>
      </c>
      <c r="D326" s="257" t="s">
        <v>666</v>
      </c>
      <c r="E326" s="13"/>
      <c r="F326" s="13"/>
      <c r="G326" s="13"/>
      <c r="H326" s="13"/>
      <c r="I326" s="13"/>
      <c r="J326" s="13"/>
      <c r="K326" s="20"/>
    </row>
    <row r="327" spans="1:11">
      <c r="A327" s="272" t="s">
        <v>881</v>
      </c>
      <c r="B327" s="42">
        <v>19</v>
      </c>
      <c r="C327" s="258" t="s">
        <v>355</v>
      </c>
      <c r="D327" s="257" t="s">
        <v>667</v>
      </c>
      <c r="E327" s="13"/>
      <c r="F327" s="13"/>
      <c r="G327" s="13"/>
      <c r="H327" s="13"/>
      <c r="I327" s="13"/>
      <c r="J327" s="13"/>
      <c r="K327" s="20"/>
    </row>
    <row r="328" spans="1:11">
      <c r="A328" s="272" t="s">
        <v>881</v>
      </c>
      <c r="B328" s="42">
        <v>29</v>
      </c>
      <c r="C328" s="258" t="s">
        <v>365</v>
      </c>
      <c r="D328" s="257" t="s">
        <v>496</v>
      </c>
      <c r="E328" s="13"/>
      <c r="F328" s="13"/>
      <c r="G328" s="13"/>
      <c r="H328" s="13"/>
      <c r="I328" s="13"/>
      <c r="J328" s="13"/>
      <c r="K328" s="20"/>
    </row>
    <row r="329" spans="1:11">
      <c r="A329" s="272" t="s">
        <v>881</v>
      </c>
      <c r="B329" s="42">
        <v>39</v>
      </c>
      <c r="C329" s="258" t="s">
        <v>375</v>
      </c>
      <c r="D329" s="257" t="s">
        <v>497</v>
      </c>
      <c r="E329" s="13"/>
      <c r="F329" s="13"/>
      <c r="G329" s="13"/>
      <c r="H329" s="13"/>
      <c r="I329" s="13"/>
      <c r="J329" s="13"/>
      <c r="K329" s="20"/>
    </row>
    <row r="330" spans="1:11">
      <c r="A330" s="272" t="s">
        <v>881</v>
      </c>
      <c r="B330" s="42">
        <v>49</v>
      </c>
      <c r="C330" s="258" t="s">
        <v>385</v>
      </c>
      <c r="D330" s="271" t="s">
        <v>668</v>
      </c>
      <c r="E330" s="13"/>
      <c r="F330" s="13"/>
      <c r="G330" s="13"/>
      <c r="H330" s="13"/>
      <c r="I330" s="13"/>
      <c r="J330" s="13"/>
      <c r="K330" s="20"/>
    </row>
    <row r="331" spans="1:11">
      <c r="A331" s="272" t="s">
        <v>881</v>
      </c>
      <c r="B331" s="42">
        <v>59</v>
      </c>
      <c r="C331" s="258" t="s">
        <v>395</v>
      </c>
      <c r="D331" s="271" t="s">
        <v>669</v>
      </c>
      <c r="E331" s="13"/>
      <c r="F331" s="13"/>
      <c r="G331" s="13"/>
      <c r="H331" s="13"/>
      <c r="I331" s="13"/>
      <c r="J331" s="13"/>
      <c r="K331" s="20"/>
    </row>
    <row r="332" spans="1:11">
      <c r="A332" s="272" t="s">
        <v>881</v>
      </c>
      <c r="B332" s="42">
        <v>69</v>
      </c>
      <c r="C332" s="258" t="s">
        <v>405</v>
      </c>
      <c r="D332" s="271" t="s">
        <v>482</v>
      </c>
      <c r="E332" s="13"/>
      <c r="F332" s="13"/>
      <c r="G332" s="13"/>
      <c r="H332" s="13"/>
      <c r="I332" s="13"/>
      <c r="J332" s="13"/>
      <c r="K332" s="20"/>
    </row>
    <row r="333" spans="1:11">
      <c r="A333" s="272" t="s">
        <v>881</v>
      </c>
      <c r="B333" s="42">
        <v>79</v>
      </c>
      <c r="C333" s="258" t="s">
        <v>415</v>
      </c>
      <c r="D333" s="271" t="s">
        <v>498</v>
      </c>
      <c r="E333" s="13"/>
      <c r="F333" s="13"/>
      <c r="G333" s="13"/>
      <c r="H333" s="13"/>
      <c r="I333" s="13"/>
      <c r="J333" s="13"/>
      <c r="K333" s="20"/>
    </row>
    <row r="334" spans="1:11">
      <c r="A334" s="272" t="s">
        <v>881</v>
      </c>
      <c r="B334" s="42">
        <v>89</v>
      </c>
      <c r="C334" s="258" t="s">
        <v>425</v>
      </c>
      <c r="D334" s="257" t="s">
        <v>499</v>
      </c>
      <c r="E334" s="13"/>
      <c r="F334" s="13"/>
      <c r="G334" s="13"/>
      <c r="H334" s="13"/>
      <c r="I334" s="13"/>
      <c r="J334" s="13"/>
      <c r="K334" s="20"/>
    </row>
    <row r="335" spans="1:11">
      <c r="B335" s="213">
        <v>99</v>
      </c>
      <c r="C335" s="214" t="s">
        <v>11</v>
      </c>
      <c r="D335" s="267" t="s">
        <v>454</v>
      </c>
      <c r="E335" s="216"/>
      <c r="F335" s="216"/>
      <c r="G335" s="216"/>
      <c r="H335" s="216"/>
      <c r="I335" s="216"/>
      <c r="J335" s="216"/>
      <c r="K335" s="217"/>
    </row>
    <row r="336" spans="1:11">
      <c r="A336" s="272" t="s">
        <v>881</v>
      </c>
      <c r="B336" s="42">
        <v>109</v>
      </c>
      <c r="C336" s="258" t="s">
        <v>28</v>
      </c>
      <c r="D336" s="257" t="s">
        <v>474</v>
      </c>
      <c r="E336" s="13"/>
      <c r="F336" s="13"/>
      <c r="G336" s="13"/>
      <c r="H336" s="13"/>
      <c r="I336" s="13"/>
      <c r="J336" s="13"/>
      <c r="K336" s="20"/>
    </row>
    <row r="337" spans="1:11">
      <c r="A337" s="272" t="s">
        <v>881</v>
      </c>
      <c r="B337" s="42">
        <v>119</v>
      </c>
      <c r="C337" s="258" t="s">
        <v>38</v>
      </c>
      <c r="D337" s="257" t="s">
        <v>500</v>
      </c>
      <c r="E337" s="13"/>
      <c r="F337" s="13"/>
      <c r="G337" s="13"/>
      <c r="H337" s="13"/>
      <c r="I337" s="13"/>
      <c r="J337" s="13"/>
      <c r="K337" s="20"/>
    </row>
    <row r="338" spans="1:11">
      <c r="A338" s="272" t="s">
        <v>881</v>
      </c>
      <c r="B338" s="42">
        <v>129</v>
      </c>
      <c r="C338" s="258" t="s">
        <v>48</v>
      </c>
      <c r="D338" s="257" t="s">
        <v>670</v>
      </c>
      <c r="E338" s="13"/>
      <c r="F338" s="13"/>
      <c r="G338" s="13"/>
      <c r="H338" s="13"/>
      <c r="I338" s="13"/>
      <c r="J338" s="13"/>
      <c r="K338" s="20"/>
    </row>
    <row r="339" spans="1:11">
      <c r="A339" s="272" t="s">
        <v>881</v>
      </c>
      <c r="B339" s="42">
        <v>139</v>
      </c>
      <c r="C339" s="258" t="s">
        <v>58</v>
      </c>
      <c r="D339" s="257" t="s">
        <v>671</v>
      </c>
      <c r="E339" s="13"/>
      <c r="F339" s="13"/>
      <c r="G339" s="13"/>
      <c r="H339" s="13"/>
      <c r="I339" s="13"/>
      <c r="J339" s="13"/>
      <c r="K339" s="20"/>
    </row>
    <row r="340" spans="1:11">
      <c r="A340" s="272" t="s">
        <v>881</v>
      </c>
      <c r="B340" s="42">
        <v>149</v>
      </c>
      <c r="C340" s="258" t="s">
        <v>68</v>
      </c>
      <c r="D340" s="257" t="s">
        <v>672</v>
      </c>
      <c r="E340" s="13"/>
      <c r="F340" s="13"/>
      <c r="G340" s="13"/>
      <c r="H340" s="13"/>
      <c r="I340" s="13"/>
      <c r="J340" s="13"/>
      <c r="K340" s="20"/>
    </row>
    <row r="341" spans="1:11">
      <c r="A341" s="272" t="s">
        <v>881</v>
      </c>
      <c r="B341" s="42">
        <v>159</v>
      </c>
      <c r="C341" s="258" t="s">
        <v>78</v>
      </c>
      <c r="D341" s="257" t="s">
        <v>673</v>
      </c>
      <c r="E341" s="13"/>
      <c r="F341" s="13"/>
      <c r="G341" s="13"/>
      <c r="H341" s="13"/>
      <c r="I341" s="13"/>
      <c r="J341" s="13"/>
      <c r="K341" s="20"/>
    </row>
    <row r="342" spans="1:11">
      <c r="A342" s="272" t="s">
        <v>881</v>
      </c>
      <c r="B342" s="42">
        <v>169</v>
      </c>
      <c r="C342" s="258" t="s">
        <v>88</v>
      </c>
      <c r="D342" s="257" t="s">
        <v>674</v>
      </c>
      <c r="E342" s="13"/>
      <c r="F342" s="13"/>
      <c r="G342" s="13"/>
      <c r="H342" s="13"/>
      <c r="I342" s="13"/>
      <c r="J342" s="13"/>
      <c r="K342" s="20"/>
    </row>
    <row r="343" spans="1:11">
      <c r="B343" s="42">
        <v>179</v>
      </c>
      <c r="C343" s="258" t="s">
        <v>98</v>
      </c>
      <c r="D343" s="257" t="s">
        <v>675</v>
      </c>
      <c r="E343" s="13"/>
      <c r="F343" s="13"/>
      <c r="G343" s="13"/>
      <c r="H343" s="13"/>
      <c r="I343" s="13"/>
      <c r="J343" s="13"/>
      <c r="K343" s="20"/>
    </row>
    <row r="344" spans="1:11">
      <c r="B344" s="42">
        <v>189</v>
      </c>
      <c r="C344" s="258" t="s">
        <v>108</v>
      </c>
      <c r="D344" s="257" t="s">
        <v>676</v>
      </c>
      <c r="E344" s="13"/>
      <c r="F344" s="13"/>
      <c r="G344" s="13"/>
      <c r="H344" s="13"/>
      <c r="I344" s="13"/>
      <c r="J344" s="13"/>
      <c r="K344" s="20"/>
    </row>
    <row r="345" spans="1:11">
      <c r="B345" s="42">
        <v>199</v>
      </c>
      <c r="C345" s="258" t="s">
        <v>118</v>
      </c>
      <c r="D345" s="257" t="s">
        <v>677</v>
      </c>
      <c r="E345" s="13"/>
      <c r="F345" s="13"/>
      <c r="G345" s="13"/>
      <c r="H345" s="13"/>
      <c r="I345" s="13"/>
      <c r="J345" s="13"/>
      <c r="K345" s="20"/>
    </row>
    <row r="346" spans="1:11">
      <c r="B346" s="42">
        <v>209</v>
      </c>
      <c r="C346" s="258" t="s">
        <v>128</v>
      </c>
      <c r="D346" s="257" t="s">
        <v>678</v>
      </c>
      <c r="E346" s="13"/>
      <c r="F346" s="13"/>
      <c r="G346" s="13"/>
      <c r="H346" s="13"/>
      <c r="I346" s="13"/>
      <c r="J346" s="13"/>
      <c r="K346" s="20"/>
    </row>
    <row r="347" spans="1:11">
      <c r="B347" s="42">
        <v>219</v>
      </c>
      <c r="C347" s="258" t="s">
        <v>138</v>
      </c>
      <c r="D347" s="257" t="s">
        <v>501</v>
      </c>
      <c r="E347" s="13"/>
      <c r="F347" s="13"/>
      <c r="G347" s="13"/>
      <c r="H347" s="13"/>
      <c r="I347" s="13"/>
      <c r="J347" s="13"/>
      <c r="K347" s="20"/>
    </row>
    <row r="348" spans="1:11">
      <c r="B348" s="42">
        <v>229</v>
      </c>
      <c r="C348" s="258" t="s">
        <v>148</v>
      </c>
      <c r="D348" s="257" t="s">
        <v>502</v>
      </c>
      <c r="E348" s="13"/>
      <c r="F348" s="13"/>
      <c r="G348" s="13"/>
      <c r="H348" s="13"/>
      <c r="I348" s="13"/>
      <c r="J348" s="13"/>
      <c r="K348" s="20"/>
    </row>
    <row r="349" spans="1:11">
      <c r="B349" s="42">
        <v>239</v>
      </c>
      <c r="C349" s="258" t="s">
        <v>158</v>
      </c>
      <c r="D349" s="257" t="s">
        <v>475</v>
      </c>
      <c r="E349" s="13"/>
      <c r="F349" s="13"/>
      <c r="G349" s="13"/>
      <c r="H349" s="13"/>
      <c r="I349" s="13"/>
      <c r="J349" s="13"/>
      <c r="K349" s="20"/>
    </row>
    <row r="350" spans="1:11">
      <c r="B350" s="42">
        <v>249</v>
      </c>
      <c r="C350" s="258" t="s">
        <v>168</v>
      </c>
      <c r="D350" s="257" t="s">
        <v>503</v>
      </c>
      <c r="E350" s="13"/>
      <c r="F350" s="13"/>
      <c r="G350" s="13"/>
      <c r="H350" s="13"/>
      <c r="I350" s="13"/>
      <c r="J350" s="13"/>
      <c r="K350" s="20"/>
    </row>
    <row r="351" spans="1:11">
      <c r="B351" s="42">
        <v>259</v>
      </c>
      <c r="C351" s="258" t="s">
        <v>178</v>
      </c>
      <c r="D351" s="257" t="s">
        <v>504</v>
      </c>
      <c r="E351" s="13"/>
      <c r="F351" s="13"/>
      <c r="G351" s="13"/>
      <c r="H351" s="13"/>
      <c r="I351" s="13"/>
      <c r="J351" s="13"/>
      <c r="K351" s="20"/>
    </row>
    <row r="352" spans="1:11">
      <c r="A352" s="272" t="s">
        <v>881</v>
      </c>
      <c r="B352" s="42">
        <v>269</v>
      </c>
      <c r="C352" s="258" t="s">
        <v>188</v>
      </c>
      <c r="D352" s="257" t="s">
        <v>505</v>
      </c>
      <c r="E352" s="13"/>
      <c r="F352" s="13"/>
      <c r="G352" s="13"/>
      <c r="H352" s="13"/>
      <c r="I352" s="13"/>
      <c r="J352" s="13"/>
      <c r="K352" s="20"/>
    </row>
    <row r="353" spans="1:11">
      <c r="B353" s="42">
        <v>279</v>
      </c>
      <c r="C353" s="258" t="s">
        <v>198</v>
      </c>
      <c r="D353" s="257" t="s">
        <v>679</v>
      </c>
      <c r="E353" s="13"/>
      <c r="F353" s="13"/>
      <c r="G353" s="13"/>
      <c r="H353" s="13"/>
      <c r="I353" s="13"/>
      <c r="J353" s="13"/>
      <c r="K353" s="20"/>
    </row>
    <row r="354" spans="1:11">
      <c r="B354" s="42">
        <v>289</v>
      </c>
      <c r="C354" s="258" t="s">
        <v>208</v>
      </c>
      <c r="D354" s="257" t="s">
        <v>680</v>
      </c>
      <c r="E354" s="13"/>
      <c r="F354" s="13"/>
      <c r="G354" s="13"/>
      <c r="H354" s="13"/>
      <c r="I354" s="13"/>
      <c r="J354" s="13"/>
      <c r="K354" s="20"/>
    </row>
    <row r="355" spans="1:11">
      <c r="B355" s="42">
        <v>299</v>
      </c>
      <c r="C355" s="258" t="s">
        <v>218</v>
      </c>
      <c r="D355" s="257" t="s">
        <v>681</v>
      </c>
      <c r="E355" s="13"/>
      <c r="F355" s="13"/>
      <c r="G355" s="13"/>
      <c r="H355" s="13"/>
      <c r="I355" s="13"/>
      <c r="J355" s="13"/>
      <c r="K355" s="20"/>
    </row>
    <row r="356" spans="1:11">
      <c r="B356" s="42">
        <v>309</v>
      </c>
      <c r="C356" s="258" t="s">
        <v>228</v>
      </c>
      <c r="D356" s="257" t="s">
        <v>682</v>
      </c>
      <c r="E356" s="13"/>
      <c r="F356" s="13"/>
      <c r="G356" s="13"/>
      <c r="H356" s="13"/>
      <c r="I356" s="13"/>
      <c r="J356" s="13"/>
      <c r="K356" s="20"/>
    </row>
    <row r="357" spans="1:11">
      <c r="B357" s="42">
        <v>319</v>
      </c>
      <c r="C357" s="258" t="s">
        <v>238</v>
      </c>
      <c r="D357" s="257" t="s">
        <v>683</v>
      </c>
      <c r="E357" s="13"/>
      <c r="F357" s="13"/>
      <c r="G357" s="13"/>
      <c r="H357" s="13"/>
      <c r="I357" s="13"/>
      <c r="J357" s="13"/>
      <c r="K357" s="20"/>
    </row>
    <row r="358" spans="1:11">
      <c r="B358" s="42">
        <v>329</v>
      </c>
      <c r="C358" s="258" t="s">
        <v>248</v>
      </c>
      <c r="D358" s="257" t="s">
        <v>476</v>
      </c>
      <c r="E358" s="13"/>
      <c r="F358" s="13"/>
      <c r="G358" s="13"/>
      <c r="H358" s="13"/>
      <c r="I358" s="13"/>
      <c r="J358" s="13"/>
      <c r="K358" s="20"/>
    </row>
    <row r="359" spans="1:11">
      <c r="B359" s="42">
        <v>339</v>
      </c>
      <c r="C359" s="258" t="s">
        <v>258</v>
      </c>
      <c r="D359" s="257" t="s">
        <v>488</v>
      </c>
      <c r="E359" s="13"/>
      <c r="F359" s="13"/>
      <c r="G359" s="13"/>
      <c r="H359" s="13"/>
      <c r="I359" s="13"/>
      <c r="J359" s="13"/>
      <c r="K359" s="20"/>
    </row>
    <row r="360" spans="1:11">
      <c r="B360" s="42">
        <v>349</v>
      </c>
      <c r="C360" s="258" t="s">
        <v>268</v>
      </c>
      <c r="D360" s="257" t="s">
        <v>488</v>
      </c>
      <c r="E360" s="13"/>
      <c r="F360" s="13"/>
      <c r="G360" s="13"/>
      <c r="H360" s="13"/>
      <c r="I360" s="13"/>
      <c r="J360" s="13"/>
      <c r="K360" s="20"/>
    </row>
    <row r="361" spans="1:11">
      <c r="B361" s="42">
        <v>359</v>
      </c>
      <c r="C361" s="258" t="s">
        <v>278</v>
      </c>
      <c r="D361" s="257" t="s">
        <v>488</v>
      </c>
      <c r="E361" s="13"/>
      <c r="F361" s="13"/>
      <c r="G361" s="13"/>
      <c r="H361" s="13"/>
      <c r="I361" s="13"/>
      <c r="J361" s="13"/>
      <c r="K361" s="20"/>
    </row>
    <row r="362" spans="1:11">
      <c r="B362" s="42">
        <v>369</v>
      </c>
      <c r="C362" s="258" t="s">
        <v>288</v>
      </c>
      <c r="D362" s="257" t="s">
        <v>684</v>
      </c>
      <c r="E362" s="13"/>
      <c r="F362" s="13"/>
      <c r="G362" s="13"/>
      <c r="H362" s="13"/>
      <c r="I362" s="13"/>
      <c r="J362" s="13"/>
      <c r="K362" s="20"/>
    </row>
    <row r="363" spans="1:11">
      <c r="B363" s="42">
        <v>379</v>
      </c>
      <c r="C363" s="258" t="s">
        <v>298</v>
      </c>
      <c r="D363" s="257" t="s">
        <v>685</v>
      </c>
      <c r="E363" s="13"/>
      <c r="F363" s="13"/>
      <c r="G363" s="13"/>
      <c r="H363" s="13"/>
      <c r="I363" s="13"/>
      <c r="J363" s="13"/>
      <c r="K363" s="20"/>
    </row>
    <row r="364" spans="1:11">
      <c r="B364" s="42">
        <v>389</v>
      </c>
      <c r="C364" s="258" t="s">
        <v>308</v>
      </c>
      <c r="D364" s="257" t="s">
        <v>686</v>
      </c>
      <c r="E364" s="13"/>
      <c r="F364" s="13"/>
      <c r="G364" s="13"/>
      <c r="H364" s="13"/>
      <c r="I364" s="13"/>
      <c r="J364" s="13"/>
      <c r="K364" s="20"/>
    </row>
    <row r="365" spans="1:11">
      <c r="B365" s="42">
        <v>399</v>
      </c>
      <c r="C365" s="258" t="s">
        <v>318</v>
      </c>
      <c r="D365" s="257" t="s">
        <v>687</v>
      </c>
      <c r="E365" s="13"/>
      <c r="F365" s="13"/>
      <c r="G365" s="13"/>
      <c r="H365" s="13"/>
      <c r="I365" s="13"/>
      <c r="J365" s="13"/>
      <c r="K365" s="20"/>
    </row>
    <row r="366" spans="1:11">
      <c r="A366" s="272" t="s">
        <v>881</v>
      </c>
      <c r="B366" s="42">
        <v>10</v>
      </c>
      <c r="C366" s="258" t="s">
        <v>346</v>
      </c>
      <c r="D366" s="257" t="s">
        <v>688</v>
      </c>
      <c r="E366" s="13"/>
      <c r="F366" s="13"/>
      <c r="G366" s="13"/>
      <c r="H366" s="13"/>
      <c r="I366" s="13"/>
      <c r="J366" s="13"/>
      <c r="K366" s="20"/>
    </row>
    <row r="367" spans="1:11">
      <c r="A367" s="272" t="s">
        <v>881</v>
      </c>
      <c r="B367" s="42">
        <v>20</v>
      </c>
      <c r="C367" s="258" t="s">
        <v>356</v>
      </c>
      <c r="D367" s="257" t="s">
        <v>689</v>
      </c>
      <c r="E367" s="13"/>
      <c r="F367" s="13"/>
      <c r="G367" s="13"/>
      <c r="H367" s="13"/>
      <c r="I367" s="13"/>
      <c r="J367" s="13"/>
      <c r="K367" s="20"/>
    </row>
    <row r="368" spans="1:11">
      <c r="A368" s="272" t="s">
        <v>881</v>
      </c>
      <c r="B368" s="42">
        <v>30</v>
      </c>
      <c r="C368" s="258" t="s">
        <v>366</v>
      </c>
      <c r="D368" s="257" t="s">
        <v>506</v>
      </c>
      <c r="E368" s="13"/>
      <c r="F368" s="13"/>
      <c r="G368" s="13"/>
      <c r="H368" s="13"/>
      <c r="I368" s="13"/>
      <c r="J368" s="13"/>
      <c r="K368" s="20"/>
    </row>
    <row r="369" spans="1:11">
      <c r="A369" s="272" t="s">
        <v>881</v>
      </c>
      <c r="B369" s="42">
        <v>40</v>
      </c>
      <c r="C369" s="258" t="s">
        <v>376</v>
      </c>
      <c r="D369" s="257" t="s">
        <v>507</v>
      </c>
      <c r="E369" s="13"/>
      <c r="F369" s="13"/>
      <c r="G369" s="13"/>
      <c r="H369" s="13"/>
      <c r="I369" s="13"/>
      <c r="J369" s="13"/>
      <c r="K369" s="20"/>
    </row>
    <row r="370" spans="1:11">
      <c r="A370" s="272" t="s">
        <v>881</v>
      </c>
      <c r="B370" s="42">
        <v>50</v>
      </c>
      <c r="C370" s="258" t="s">
        <v>386</v>
      </c>
      <c r="D370" s="271" t="s">
        <v>690</v>
      </c>
      <c r="E370" s="13"/>
      <c r="F370" s="13"/>
      <c r="G370" s="13"/>
      <c r="H370" s="13"/>
      <c r="I370" s="13"/>
      <c r="J370" s="13"/>
      <c r="K370" s="20"/>
    </row>
    <row r="371" spans="1:11">
      <c r="A371" s="272" t="s">
        <v>881</v>
      </c>
      <c r="B371" s="42">
        <v>60</v>
      </c>
      <c r="C371" s="258" t="s">
        <v>396</v>
      </c>
      <c r="D371" s="271" t="s">
        <v>691</v>
      </c>
      <c r="E371" s="13"/>
      <c r="F371" s="13"/>
      <c r="G371" s="13"/>
      <c r="H371" s="13"/>
      <c r="I371" s="13"/>
      <c r="J371" s="13"/>
      <c r="K371" s="20"/>
    </row>
    <row r="372" spans="1:11">
      <c r="B372" s="42">
        <v>70</v>
      </c>
      <c r="C372" s="258" t="s">
        <v>406</v>
      </c>
      <c r="D372" s="271" t="s">
        <v>508</v>
      </c>
      <c r="E372" s="13"/>
      <c r="F372" s="13"/>
      <c r="G372" s="13"/>
      <c r="H372" s="13"/>
      <c r="I372" s="13"/>
      <c r="J372" s="13"/>
      <c r="K372" s="20"/>
    </row>
    <row r="373" spans="1:11">
      <c r="A373" s="272" t="s">
        <v>881</v>
      </c>
      <c r="B373" s="42">
        <v>80</v>
      </c>
      <c r="C373" s="258" t="s">
        <v>416</v>
      </c>
      <c r="D373" s="271" t="s">
        <v>509</v>
      </c>
      <c r="E373" s="13"/>
      <c r="F373" s="13"/>
      <c r="G373" s="13"/>
      <c r="H373" s="13"/>
      <c r="I373" s="13"/>
      <c r="J373" s="13"/>
      <c r="K373" s="20"/>
    </row>
    <row r="374" spans="1:11">
      <c r="A374" s="272" t="s">
        <v>881</v>
      </c>
      <c r="B374" s="42">
        <v>90</v>
      </c>
      <c r="C374" s="258" t="s">
        <v>426</v>
      </c>
      <c r="D374" s="257" t="s">
        <v>510</v>
      </c>
      <c r="E374" s="13"/>
      <c r="F374" s="13"/>
      <c r="G374" s="13"/>
      <c r="H374" s="13"/>
      <c r="I374" s="13"/>
      <c r="J374" s="13"/>
      <c r="K374" s="20"/>
    </row>
    <row r="375" spans="1:11">
      <c r="A375" s="272" t="s">
        <v>881</v>
      </c>
      <c r="B375" s="42">
        <v>100</v>
      </c>
      <c r="C375" s="258" t="s">
        <v>12</v>
      </c>
      <c r="D375" s="257" t="s">
        <v>474</v>
      </c>
      <c r="E375" s="13"/>
      <c r="F375" s="13"/>
      <c r="G375" s="13"/>
      <c r="H375" s="13"/>
      <c r="I375" s="13"/>
      <c r="J375" s="13"/>
      <c r="K375" s="20"/>
    </row>
    <row r="376" spans="1:11">
      <c r="A376" s="272" t="s">
        <v>881</v>
      </c>
      <c r="B376" s="42">
        <v>110</v>
      </c>
      <c r="C376" s="258" t="s">
        <v>29</v>
      </c>
      <c r="D376" s="257" t="s">
        <v>474</v>
      </c>
      <c r="E376" s="13"/>
      <c r="F376" s="13"/>
      <c r="G376" s="13"/>
      <c r="H376" s="13"/>
      <c r="I376" s="13"/>
      <c r="J376" s="13"/>
      <c r="K376" s="20"/>
    </row>
    <row r="377" spans="1:11">
      <c r="A377" s="272" t="s">
        <v>881</v>
      </c>
      <c r="B377" s="42">
        <v>120</v>
      </c>
      <c r="C377" s="258" t="s">
        <v>39</v>
      </c>
      <c r="D377" s="257" t="s">
        <v>511</v>
      </c>
      <c r="E377" s="13"/>
      <c r="F377" s="13"/>
      <c r="G377" s="13"/>
      <c r="H377" s="13"/>
      <c r="I377" s="13"/>
      <c r="J377" s="13"/>
      <c r="K377" s="20"/>
    </row>
    <row r="378" spans="1:11">
      <c r="A378" s="272" t="s">
        <v>881</v>
      </c>
      <c r="B378" s="42">
        <v>130</v>
      </c>
      <c r="C378" s="258" t="s">
        <v>49</v>
      </c>
      <c r="D378" s="257" t="s">
        <v>692</v>
      </c>
      <c r="E378" s="13"/>
      <c r="F378" s="13"/>
      <c r="G378" s="13"/>
      <c r="H378" s="13"/>
      <c r="I378" s="13"/>
      <c r="J378" s="13"/>
      <c r="K378" s="20"/>
    </row>
    <row r="379" spans="1:11">
      <c r="A379" s="272" t="s">
        <v>881</v>
      </c>
      <c r="B379" s="42">
        <v>140</v>
      </c>
      <c r="C379" s="258" t="s">
        <v>59</v>
      </c>
      <c r="D379" s="257" t="s">
        <v>693</v>
      </c>
      <c r="E379" s="13"/>
      <c r="F379" s="13"/>
      <c r="G379" s="13"/>
      <c r="H379" s="13"/>
      <c r="I379" s="13"/>
      <c r="J379" s="13"/>
      <c r="K379" s="20"/>
    </row>
    <row r="380" spans="1:11">
      <c r="A380" s="272" t="s">
        <v>881</v>
      </c>
      <c r="B380" s="42">
        <v>150</v>
      </c>
      <c r="C380" s="258" t="s">
        <v>69</v>
      </c>
      <c r="D380" s="257" t="s">
        <v>694</v>
      </c>
      <c r="E380" s="13"/>
      <c r="F380" s="13"/>
      <c r="G380" s="13"/>
      <c r="H380" s="13"/>
      <c r="I380" s="13"/>
      <c r="J380" s="13"/>
      <c r="K380" s="20"/>
    </row>
    <row r="381" spans="1:11">
      <c r="A381" s="272" t="s">
        <v>881</v>
      </c>
      <c r="B381" s="42">
        <v>160</v>
      </c>
      <c r="C381" s="258" t="s">
        <v>79</v>
      </c>
      <c r="D381" s="257" t="s">
        <v>695</v>
      </c>
      <c r="E381" s="13"/>
      <c r="F381" s="13"/>
      <c r="G381" s="13"/>
      <c r="H381" s="13"/>
      <c r="I381" s="13"/>
      <c r="J381" s="13"/>
      <c r="K381" s="20"/>
    </row>
    <row r="382" spans="1:11">
      <c r="A382" s="272" t="s">
        <v>881</v>
      </c>
      <c r="B382" s="42">
        <v>170</v>
      </c>
      <c r="C382" s="258" t="s">
        <v>89</v>
      </c>
      <c r="D382" s="257" t="s">
        <v>696</v>
      </c>
      <c r="E382" s="13"/>
      <c r="F382" s="13"/>
      <c r="G382" s="13"/>
      <c r="H382" s="13"/>
      <c r="I382" s="13"/>
      <c r="J382" s="13"/>
      <c r="K382" s="20"/>
    </row>
    <row r="383" spans="1:11">
      <c r="B383" s="42">
        <v>180</v>
      </c>
      <c r="C383" s="258" t="s">
        <v>99</v>
      </c>
      <c r="D383" s="257" t="s">
        <v>697</v>
      </c>
      <c r="E383" s="13"/>
      <c r="F383" s="13"/>
      <c r="G383" s="13"/>
      <c r="H383" s="13"/>
      <c r="I383" s="13"/>
      <c r="J383" s="13"/>
      <c r="K383" s="20"/>
    </row>
    <row r="384" spans="1:11">
      <c r="B384" s="42">
        <v>190</v>
      </c>
      <c r="C384" s="258" t="s">
        <v>109</v>
      </c>
      <c r="D384" s="257" t="s">
        <v>698</v>
      </c>
      <c r="E384" s="13"/>
      <c r="F384" s="13"/>
      <c r="G384" s="13"/>
      <c r="H384" s="13"/>
      <c r="I384" s="13"/>
      <c r="J384" s="13"/>
      <c r="K384" s="20"/>
    </row>
    <row r="385" spans="1:11">
      <c r="B385" s="42">
        <v>200</v>
      </c>
      <c r="C385" s="258" t="s">
        <v>119</v>
      </c>
      <c r="D385" s="257" t="s">
        <v>699</v>
      </c>
      <c r="E385" s="13"/>
      <c r="F385" s="13"/>
      <c r="G385" s="13"/>
      <c r="H385" s="13"/>
      <c r="I385" s="13"/>
      <c r="J385" s="13"/>
      <c r="K385" s="20"/>
    </row>
    <row r="386" spans="1:11">
      <c r="B386" s="42">
        <v>210</v>
      </c>
      <c r="C386" s="258" t="s">
        <v>129</v>
      </c>
      <c r="D386" s="257" t="s">
        <v>700</v>
      </c>
      <c r="E386" s="13"/>
      <c r="F386" s="13"/>
      <c r="G386" s="13"/>
      <c r="H386" s="13"/>
      <c r="I386" s="13"/>
      <c r="J386" s="13"/>
      <c r="K386" s="20"/>
    </row>
    <row r="387" spans="1:11">
      <c r="B387" s="42">
        <v>220</v>
      </c>
      <c r="C387" s="258" t="s">
        <v>139</v>
      </c>
      <c r="D387" s="257" t="s">
        <v>512</v>
      </c>
      <c r="E387" s="13"/>
      <c r="F387" s="13"/>
      <c r="G387" s="13"/>
      <c r="H387" s="13"/>
      <c r="I387" s="13"/>
      <c r="J387" s="13"/>
      <c r="K387" s="20"/>
    </row>
    <row r="388" spans="1:11">
      <c r="B388" s="42">
        <v>230</v>
      </c>
      <c r="C388" s="258" t="s">
        <v>149</v>
      </c>
      <c r="D388" s="257" t="s">
        <v>513</v>
      </c>
      <c r="E388" s="13"/>
      <c r="F388" s="13"/>
      <c r="G388" s="13"/>
      <c r="H388" s="13"/>
      <c r="I388" s="13"/>
      <c r="J388" s="13"/>
      <c r="K388" s="20"/>
    </row>
    <row r="389" spans="1:11">
      <c r="B389" s="42">
        <v>240</v>
      </c>
      <c r="C389" s="258" t="s">
        <v>159</v>
      </c>
      <c r="D389" s="257" t="s">
        <v>514</v>
      </c>
      <c r="E389" s="13"/>
      <c r="F389" s="13"/>
      <c r="G389" s="13"/>
      <c r="H389" s="13"/>
      <c r="I389" s="13"/>
      <c r="J389" s="13"/>
      <c r="K389" s="20"/>
    </row>
    <row r="390" spans="1:11">
      <c r="B390" s="42">
        <v>250</v>
      </c>
      <c r="C390" s="258" t="s">
        <v>169</v>
      </c>
      <c r="D390" s="257" t="s">
        <v>515</v>
      </c>
      <c r="E390" s="13"/>
      <c r="F390" s="13"/>
      <c r="G390" s="13"/>
      <c r="H390" s="13"/>
      <c r="I390" s="13"/>
      <c r="J390" s="13"/>
      <c r="K390" s="20"/>
    </row>
    <row r="391" spans="1:11">
      <c r="B391" s="42">
        <v>260</v>
      </c>
      <c r="C391" s="258" t="s">
        <v>179</v>
      </c>
      <c r="D391" s="257" t="s">
        <v>516</v>
      </c>
      <c r="E391" s="13"/>
      <c r="F391" s="13"/>
      <c r="G391" s="13"/>
      <c r="H391" s="13"/>
      <c r="I391" s="13"/>
      <c r="J391" s="13"/>
      <c r="K391" s="20"/>
    </row>
    <row r="392" spans="1:11">
      <c r="A392" s="272" t="s">
        <v>881</v>
      </c>
      <c r="B392" s="42">
        <v>270</v>
      </c>
      <c r="C392" s="258" t="s">
        <v>189</v>
      </c>
      <c r="D392" s="257" t="s">
        <v>517</v>
      </c>
      <c r="E392" s="13"/>
      <c r="F392" s="13"/>
      <c r="G392" s="13"/>
      <c r="H392" s="13"/>
      <c r="I392" s="13"/>
      <c r="J392" s="13"/>
      <c r="K392" s="20"/>
    </row>
    <row r="393" spans="1:11">
      <c r="B393" s="42">
        <v>280</v>
      </c>
      <c r="C393" s="258" t="s">
        <v>199</v>
      </c>
      <c r="D393" s="257" t="s">
        <v>701</v>
      </c>
      <c r="E393" s="13"/>
      <c r="F393" s="13"/>
      <c r="G393" s="13"/>
      <c r="H393" s="13"/>
      <c r="I393" s="13"/>
      <c r="J393" s="13"/>
      <c r="K393" s="20"/>
    </row>
    <row r="394" spans="1:11">
      <c r="B394" s="42">
        <v>290</v>
      </c>
      <c r="C394" s="258" t="s">
        <v>209</v>
      </c>
      <c r="D394" s="257" t="s">
        <v>702</v>
      </c>
      <c r="E394" s="13"/>
      <c r="F394" s="13"/>
      <c r="G394" s="13"/>
      <c r="H394" s="13"/>
      <c r="I394" s="13"/>
      <c r="J394" s="13"/>
      <c r="K394" s="20"/>
    </row>
    <row r="395" spans="1:11">
      <c r="B395" s="42">
        <v>300</v>
      </c>
      <c r="C395" s="258" t="s">
        <v>219</v>
      </c>
      <c r="D395" s="257" t="s">
        <v>703</v>
      </c>
      <c r="E395" s="13"/>
      <c r="F395" s="13"/>
      <c r="G395" s="13"/>
      <c r="H395" s="13"/>
      <c r="I395" s="13"/>
      <c r="J395" s="13"/>
      <c r="K395" s="20"/>
    </row>
    <row r="396" spans="1:11">
      <c r="B396" s="42">
        <v>310</v>
      </c>
      <c r="C396" s="258" t="s">
        <v>229</v>
      </c>
      <c r="D396" s="257" t="s">
        <v>704</v>
      </c>
      <c r="E396" s="13"/>
      <c r="F396" s="13"/>
      <c r="G396" s="13"/>
      <c r="H396" s="13"/>
      <c r="I396" s="13"/>
      <c r="J396" s="13"/>
      <c r="K396" s="20"/>
    </row>
    <row r="397" spans="1:11">
      <c r="B397" s="42">
        <v>320</v>
      </c>
      <c r="C397" s="258" t="s">
        <v>239</v>
      </c>
      <c r="D397" s="257" t="s">
        <v>705</v>
      </c>
      <c r="E397" s="13"/>
      <c r="F397" s="13"/>
      <c r="G397" s="13"/>
      <c r="H397" s="13"/>
      <c r="I397" s="13"/>
      <c r="J397" s="13"/>
      <c r="K397" s="20"/>
    </row>
    <row r="398" spans="1:11">
      <c r="B398" s="42">
        <v>330</v>
      </c>
      <c r="C398" s="258" t="s">
        <v>249</v>
      </c>
      <c r="D398" s="257" t="s">
        <v>476</v>
      </c>
      <c r="E398" s="13"/>
      <c r="F398" s="13"/>
      <c r="G398" s="13"/>
      <c r="H398" s="13"/>
      <c r="I398" s="13"/>
      <c r="J398" s="13"/>
      <c r="K398" s="20"/>
    </row>
    <row r="399" spans="1:11">
      <c r="B399" s="42">
        <v>340</v>
      </c>
      <c r="C399" s="258" t="s">
        <v>259</v>
      </c>
      <c r="D399" s="257" t="s">
        <v>488</v>
      </c>
      <c r="E399" s="13"/>
      <c r="F399" s="13"/>
      <c r="G399" s="13"/>
      <c r="H399" s="13"/>
      <c r="I399" s="13"/>
      <c r="J399" s="13"/>
      <c r="K399" s="20"/>
    </row>
    <row r="400" spans="1:11">
      <c r="B400" s="42">
        <v>350</v>
      </c>
      <c r="C400" s="258" t="s">
        <v>269</v>
      </c>
      <c r="D400" s="257" t="s">
        <v>488</v>
      </c>
      <c r="E400" s="13"/>
      <c r="F400" s="13"/>
      <c r="G400" s="13"/>
      <c r="H400" s="13"/>
      <c r="I400" s="13"/>
      <c r="J400" s="13"/>
      <c r="K400" s="20"/>
    </row>
    <row r="401" spans="2:11">
      <c r="B401" s="42">
        <v>360</v>
      </c>
      <c r="C401" s="258" t="s">
        <v>279</v>
      </c>
      <c r="D401" s="257" t="s">
        <v>488</v>
      </c>
      <c r="E401" s="13"/>
      <c r="F401" s="13"/>
      <c r="G401" s="13"/>
      <c r="H401" s="13"/>
      <c r="I401" s="13"/>
      <c r="J401" s="13"/>
      <c r="K401" s="20"/>
    </row>
    <row r="402" spans="2:11">
      <c r="B402" s="42">
        <v>370</v>
      </c>
      <c r="C402" s="258" t="s">
        <v>289</v>
      </c>
      <c r="D402" s="257" t="s">
        <v>706</v>
      </c>
      <c r="E402" s="13"/>
      <c r="F402" s="13"/>
      <c r="G402" s="13"/>
      <c r="H402" s="13"/>
      <c r="I402" s="13"/>
      <c r="J402" s="13"/>
      <c r="K402" s="20"/>
    </row>
    <row r="403" spans="2:11">
      <c r="B403" s="42">
        <v>380</v>
      </c>
      <c r="C403" s="258" t="s">
        <v>299</v>
      </c>
      <c r="D403" s="257" t="s">
        <v>707</v>
      </c>
      <c r="E403" s="13"/>
      <c r="F403" s="13"/>
      <c r="G403" s="13"/>
      <c r="H403" s="13"/>
      <c r="I403" s="13"/>
      <c r="J403" s="13"/>
      <c r="K403" s="20"/>
    </row>
    <row r="404" spans="2:11">
      <c r="B404" s="42">
        <v>390</v>
      </c>
      <c r="C404" s="258" t="s">
        <v>309</v>
      </c>
      <c r="D404" s="257" t="s">
        <v>708</v>
      </c>
      <c r="E404" s="13"/>
      <c r="F404" s="13"/>
      <c r="G404" s="13"/>
      <c r="H404" s="13"/>
      <c r="I404" s="13"/>
      <c r="J404" s="13"/>
      <c r="K404" s="20"/>
    </row>
    <row r="405" spans="2:11" ht="16.5" thickBot="1">
      <c r="B405" s="281">
        <v>400</v>
      </c>
      <c r="C405" s="282" t="s">
        <v>319</v>
      </c>
      <c r="D405" s="287" t="s">
        <v>709</v>
      </c>
      <c r="E405" s="283"/>
      <c r="F405" s="283"/>
      <c r="G405" s="283"/>
      <c r="H405" s="283"/>
      <c r="I405" s="283"/>
      <c r="J405" s="283"/>
      <c r="K405" s="284"/>
    </row>
  </sheetData>
  <sortState ref="B6:K405">
    <sortCondition ref="C6:C405"/>
  </sortState>
  <mergeCells count="11">
    <mergeCell ref="M24:AO24"/>
    <mergeCell ref="E2:F2"/>
    <mergeCell ref="B4:K4"/>
    <mergeCell ref="M23:AO23"/>
    <mergeCell ref="L20:AP20"/>
    <mergeCell ref="L21:AP21"/>
    <mergeCell ref="G2:I2"/>
    <mergeCell ref="T11:U11"/>
    <mergeCell ref="R11:S11"/>
    <mergeCell ref="R19:S19"/>
    <mergeCell ref="P19:Q19"/>
  </mergeCells>
  <conditionalFormatting sqref="B401:K405">
    <cfRule type="expression" dxfId="1" priority="3">
      <formula>MOD(ROW(),2)=0</formula>
    </cfRule>
  </conditionalFormatting>
  <conditionalFormatting sqref="B6:K400">
    <cfRule type="expression" dxfId="0" priority="1">
      <formula>MOD(ROW(),2)=0</formula>
    </cfRule>
  </conditionalFormatting>
  <hyperlinks>
    <hyperlink ref="AL17" location="'0'!A1" tooltip="X stave 0, Front" display="'0'!A1"/>
    <hyperlink ref="AJ17" location="'1'!A1" tooltip="X stave 1, Back" display="'1'!A1"/>
    <hyperlink ref="AH17" location="'2'!A1" tooltip="Stereo stave 0, Back" display="'2'!A1"/>
    <hyperlink ref="AF17" location="'3'!A1" tooltip="Stereo stave 0, Front" display="'3'!A1"/>
    <hyperlink ref="AD17" location="'4'!A1" tooltip="X stave 1, Front" display="'4'!A1"/>
    <hyperlink ref="AB17" location="'5'!A1" tooltip="X stave 1, Back" display="'5'!A1"/>
    <hyperlink ref="Z17" location="'6'!A1" tooltip="Stereo stave 1, Back" display="'6'!A1"/>
    <hyperlink ref="X17" location="'7'!A1" tooltip="Stereo stave 1, Front" display="'7'!A1"/>
    <hyperlink ref="V17" location="'8'!A1" tooltip="X stave 2, Front" display="'8'!A1"/>
    <hyperlink ref="T17" location="'9'!A1" tooltip="X stave 2, Back" display="'9'!A1"/>
    <hyperlink ref="R17" location="'10'!A1" tooltip="Stereo stave 2, Back" display="'10'!A1"/>
    <hyperlink ref="P17" location="'11'!A1" tooltip="Stereo stave 2, Front" display="'11'!A1"/>
    <hyperlink ref="AL18" location="'0'!A1" tooltip="X stave 0, Front" display="'0'!A1"/>
    <hyperlink ref="AJ18" location="'1'!A1" tooltip="X stave 1, Back" display="'1'!A1"/>
    <hyperlink ref="AH18" location="'2'!A1" tooltip="Stereo stave 0, Back" display="'2'!A1"/>
    <hyperlink ref="AF18" location="'3'!A1" tooltip="Stereo stave 0, Front" display="'3'!A1"/>
    <hyperlink ref="AD18" location="'4'!A1" tooltip="X stave 1, Front" display="'4'!A1"/>
    <hyperlink ref="AB18" location="'5'!A1" tooltip="X stave 1, Back" display="'5'!A1"/>
    <hyperlink ref="Z18" location="'6'!A1" tooltip="Stereo stave 1, Back" display="'6'!A1"/>
    <hyperlink ref="X18" location="'7'!A1" tooltip="Stereo stave 1, Front" display="'7'!A1"/>
    <hyperlink ref="V18" location="'8'!A1" tooltip="X stave 2, Front" display="'8'!A1"/>
    <hyperlink ref="T18" location="'9'!A1" tooltip="X stave 2, Back" display="'9'!A1"/>
    <hyperlink ref="R18" location="'10'!A1" tooltip="Stereo stave 2, Back" display="'10'!A1"/>
    <hyperlink ref="P18" location="'11'!A1" tooltip="Stereo stave 2, Front" display="'11'!A1"/>
  </hyperlinks>
  <pageMargins left="0.75" right="0.75" top="1" bottom="1" header="0.5" footer="0.5"/>
  <pageSetup orientation="portrait" horizontalDpi="4294967292" verticalDpi="429496729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B9"/>
  <sheetViews>
    <sheetView workbookViewId="0">
      <selection activeCell="B10" sqref="B10"/>
    </sheetView>
  </sheetViews>
  <sheetFormatPr defaultColWidth="11" defaultRowHeight="15.75"/>
  <cols>
    <col min="1" max="1" width="11" style="211"/>
  </cols>
  <sheetData>
    <row r="2" spans="1:2">
      <c r="A2" s="210">
        <v>42804</v>
      </c>
      <c r="B2" t="s">
        <v>877</v>
      </c>
    </row>
    <row r="4" spans="1:2">
      <c r="A4" s="210">
        <v>42866</v>
      </c>
      <c r="B4" t="s">
        <v>878</v>
      </c>
    </row>
    <row r="5" spans="1:2">
      <c r="B5" t="s">
        <v>879</v>
      </c>
    </row>
    <row r="6" spans="1:2">
      <c r="B6" s="210"/>
    </row>
    <row r="7" spans="1:2">
      <c r="A7" s="210">
        <v>42873</v>
      </c>
      <c r="B7" t="s">
        <v>882</v>
      </c>
    </row>
    <row r="9" spans="1:2">
      <c r="A9" s="210">
        <v>42885</v>
      </c>
      <c r="B9" t="s">
        <v>884</v>
      </c>
    </row>
  </sheetData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2</vt:i4>
      </vt:variant>
    </vt:vector>
  </HeadingPairs>
  <TitlesOfParts>
    <vt:vector size="20" baseType="lpstr">
      <vt:lpstr>Backplane diagram</vt:lpstr>
      <vt:lpstr>Hybrid-to-GBTx master</vt:lpstr>
      <vt:lpstr>Hybrid Positions</vt:lpstr>
      <vt:lpstr>0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template</vt:lpstr>
      <vt:lpstr>previous template</vt:lpstr>
      <vt:lpstr>notes</vt:lpstr>
      <vt:lpstr>'Hybrid-to-GBTx master'!__xlnm.Print_Area</vt:lpstr>
      <vt:lpstr>'Hybrid-to-GBTx master'!Print_Area</vt:lpstr>
    </vt:vector>
  </TitlesOfParts>
  <Company>University of Maryland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Andrews;Zishuo Yang</dc:creator>
  <cp:lastModifiedBy>ZYNG</cp:lastModifiedBy>
  <dcterms:created xsi:type="dcterms:W3CDTF">2017-01-25T17:31:57Z</dcterms:created>
  <dcterms:modified xsi:type="dcterms:W3CDTF">2017-12-12T18:39:31Z</dcterms:modified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arkAsFinal">
    <vt:bool>true</vt:bool>
  </property>
</Properties>
</file>